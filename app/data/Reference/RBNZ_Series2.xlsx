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csvnewzealand-my.sharepoint.com/personal/mike_csv_co_nz/Documents/Altitude/data/Reference/"/>
    </mc:Choice>
  </mc:AlternateContent>
  <xr:revisionPtr revIDLastSave="66" documentId="8_{9F0D7BF2-4E92-4405-81C6-468B5859189A}" xr6:coauthVersionLast="47" xr6:coauthVersionMax="47" xr10:uidLastSave="{7DC5A55B-7A5D-4078-BCB7-C0ADB11A9574}"/>
  <bookViews>
    <workbookView xWindow="13515" yWindow="-21720" windowWidth="38640" windowHeight="21120" activeTab="1" xr2:uid="{3553F27D-D304-4856-A86D-E4F41AA213AD}"/>
  </bookViews>
  <sheets>
    <sheet name="Series Definitions" sheetId="2" r:id="rId1"/>
    <sheet name="Sheet2" sheetId="7" r:id="rId2"/>
    <sheet name="Series Definitions (3)" sheetId="6" r:id="rId3"/>
    <sheet name="Graphs" sheetId="3" r:id="rId4"/>
    <sheet name="Series Definitions (2)" sheetId="4" r:id="rId5"/>
    <sheet name="Sheet1" sheetId="5" r:id="rId6"/>
  </sheets>
  <definedNames>
    <definedName name="_xlnm._FilterDatabase" localSheetId="0" hidden="1">'Series Definitions'!$A$1:$O$443</definedName>
    <definedName name="_xlnm._FilterDatabase" localSheetId="4" hidden="1">'Series Definitions (2)'!$A$1:$M$23</definedName>
    <definedName name="_xlnm._FilterDatabase" localSheetId="2" hidden="1">'Series Definitions (3)'!$A$1:$P$411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2" i="7"/>
  <c r="K80" i="2" l="1"/>
  <c r="K90" i="2" s="1"/>
  <c r="I409" i="6"/>
  <c r="I408" i="6"/>
  <c r="I407" i="6"/>
  <c r="I406" i="6"/>
  <c r="I405" i="6"/>
  <c r="I404" i="6"/>
  <c r="I403" i="6"/>
  <c r="I402" i="6"/>
  <c r="I401" i="6"/>
  <c r="I400" i="6"/>
  <c r="I399" i="6"/>
  <c r="I398" i="6"/>
  <c r="I397" i="6"/>
  <c r="I396" i="6"/>
  <c r="I395" i="6"/>
  <c r="I394" i="6"/>
  <c r="I393" i="6"/>
  <c r="I392" i="6"/>
  <c r="I391" i="6"/>
  <c r="I390" i="6"/>
  <c r="I389" i="6"/>
  <c r="I388" i="6"/>
  <c r="I387" i="6"/>
  <c r="I386" i="6"/>
  <c r="I385" i="6"/>
  <c r="I384" i="6"/>
  <c r="I383" i="6"/>
  <c r="I382" i="6"/>
  <c r="I381" i="6"/>
  <c r="I380" i="6"/>
  <c r="I379" i="6"/>
  <c r="I378" i="6"/>
  <c r="I377" i="6"/>
  <c r="I376" i="6"/>
  <c r="I375" i="6"/>
  <c r="G341" i="6"/>
  <c r="G340" i="6"/>
  <c r="G339" i="6"/>
  <c r="G338" i="6"/>
  <c r="G337" i="6"/>
  <c r="G336" i="6"/>
  <c r="G335" i="6"/>
  <c r="G334" i="6"/>
  <c r="G333" i="6"/>
  <c r="G332" i="6"/>
  <c r="G331" i="6"/>
  <c r="G330" i="6"/>
  <c r="G329" i="6"/>
  <c r="G328" i="6"/>
  <c r="G327" i="6"/>
  <c r="G326" i="6"/>
  <c r="G325" i="6"/>
  <c r="G324" i="6"/>
  <c r="G323" i="6"/>
  <c r="G322" i="6"/>
  <c r="G321" i="6"/>
  <c r="G320" i="6"/>
  <c r="G319" i="6"/>
  <c r="H317" i="6"/>
  <c r="G317" i="6"/>
  <c r="H316" i="6"/>
  <c r="G316" i="6"/>
  <c r="H315" i="6"/>
  <c r="G315" i="6"/>
  <c r="H314" i="6"/>
  <c r="G314" i="6"/>
  <c r="H313" i="6"/>
  <c r="G313" i="6"/>
  <c r="H312" i="6"/>
  <c r="G312" i="6"/>
  <c r="H311" i="6"/>
  <c r="G311" i="6"/>
  <c r="H310" i="6"/>
  <c r="G310" i="6"/>
  <c r="H309" i="6"/>
  <c r="G309" i="6"/>
  <c r="H308" i="6"/>
  <c r="G308" i="6"/>
  <c r="H307" i="6"/>
  <c r="G307" i="6"/>
  <c r="H306" i="6"/>
  <c r="G306" i="6"/>
  <c r="H305" i="6"/>
  <c r="G305" i="6"/>
  <c r="H304" i="6"/>
  <c r="G304" i="6"/>
  <c r="H303" i="6"/>
  <c r="G303" i="6"/>
  <c r="H302" i="6"/>
  <c r="G302" i="6"/>
  <c r="H301" i="6"/>
  <c r="G301" i="6"/>
  <c r="H300" i="6"/>
  <c r="G300" i="6"/>
  <c r="H299" i="6"/>
  <c r="G299" i="6"/>
  <c r="H298" i="6"/>
  <c r="G298" i="6"/>
  <c r="H297" i="6"/>
  <c r="G297" i="6"/>
  <c r="H296" i="6"/>
  <c r="G296" i="6"/>
  <c r="K270" i="6"/>
  <c r="K269" i="6"/>
  <c r="K268" i="6"/>
  <c r="K267" i="6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N98" i="6"/>
  <c r="M98" i="6"/>
  <c r="N97" i="6"/>
  <c r="N95" i="6"/>
  <c r="M95" i="6"/>
  <c r="M94" i="6"/>
  <c r="N93" i="6"/>
  <c r="M92" i="6"/>
  <c r="N91" i="6"/>
  <c r="M90" i="6"/>
  <c r="N88" i="6"/>
  <c r="M88" i="6"/>
  <c r="N87" i="6"/>
  <c r="M87" i="6"/>
  <c r="M97" i="6" s="1"/>
  <c r="N86" i="6"/>
  <c r="N96" i="6" s="1"/>
  <c r="M86" i="6"/>
  <c r="M96" i="6" s="1"/>
  <c r="N85" i="6"/>
  <c r="M85" i="6"/>
  <c r="N84" i="6"/>
  <c r="N94" i="6" s="1"/>
  <c r="M84" i="6"/>
  <c r="N83" i="6"/>
  <c r="M83" i="6"/>
  <c r="M93" i="6" s="1"/>
  <c r="N82" i="6"/>
  <c r="N92" i="6" s="1"/>
  <c r="M82" i="6"/>
  <c r="N81" i="6"/>
  <c r="M81" i="6"/>
  <c r="M91" i="6" s="1"/>
  <c r="N80" i="6"/>
  <c r="N90" i="6" s="1"/>
  <c r="M80" i="6"/>
  <c r="C341" i="2"/>
  <c r="C340" i="2"/>
  <c r="C339" i="2"/>
  <c r="C338" i="2"/>
  <c r="C337" i="2"/>
  <c r="C336" i="2"/>
  <c r="C335" i="2"/>
  <c r="C334" i="2"/>
  <c r="C333" i="2"/>
  <c r="C332" i="2"/>
  <c r="C331" i="2"/>
  <c r="C330" i="2"/>
  <c r="C329" i="2"/>
  <c r="C328" i="2"/>
  <c r="C327" i="2"/>
  <c r="C326" i="2"/>
  <c r="C325" i="2"/>
  <c r="C324" i="2"/>
  <c r="C323" i="2"/>
  <c r="C322" i="2"/>
  <c r="C321" i="2"/>
  <c r="C320" i="2"/>
  <c r="C319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2" i="2"/>
  <c r="F233" i="2"/>
  <c r="F234" i="2"/>
  <c r="F235" i="2"/>
  <c r="F236" i="2"/>
  <c r="F237" i="2"/>
  <c r="F238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269" i="2"/>
  <c r="F268" i="2"/>
  <c r="F267" i="2"/>
  <c r="F266" i="2"/>
  <c r="F265" i="2"/>
  <c r="F264" i="2"/>
  <c r="F263" i="2"/>
  <c r="F270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375" i="2"/>
  <c r="C297" i="2"/>
  <c r="C298" i="2"/>
  <c r="C299" i="2"/>
  <c r="C300" i="2"/>
  <c r="C301" i="2"/>
  <c r="C302" i="2"/>
  <c r="C303" i="2"/>
  <c r="C304" i="2"/>
  <c r="C305" i="2"/>
  <c r="C306" i="2"/>
  <c r="C307" i="2"/>
  <c r="C308" i="2"/>
  <c r="C309" i="2"/>
  <c r="C310" i="2"/>
  <c r="C311" i="2"/>
  <c r="C312" i="2"/>
  <c r="C313" i="2"/>
  <c r="C314" i="2"/>
  <c r="C315" i="2"/>
  <c r="C316" i="2"/>
  <c r="C317" i="2"/>
  <c r="C296" i="2"/>
  <c r="J23" i="4" l="1"/>
  <c r="J22" i="4"/>
  <c r="J21" i="4"/>
  <c r="J20" i="4"/>
  <c r="J19" i="4"/>
  <c r="J18" i="4"/>
  <c r="J17" i="4"/>
  <c r="J16" i="4"/>
  <c r="J15" i="4"/>
  <c r="J14" i="4"/>
  <c r="J13" i="4"/>
  <c r="J12" i="4"/>
  <c r="J11" i="4"/>
  <c r="J10" i="4"/>
  <c r="J9" i="4"/>
  <c r="J8" i="4"/>
  <c r="J7" i="4"/>
  <c r="J6" i="4"/>
  <c r="J5" i="4"/>
  <c r="J4" i="4"/>
  <c r="J3" i="4"/>
  <c r="J2" i="4"/>
</calcChain>
</file>

<file path=xl/sharedStrings.xml><?xml version="1.0" encoding="utf-8"?>
<sst xmlns="http://schemas.openxmlformats.org/spreadsheetml/2006/main" count="15267" uniqueCount="1200">
  <si>
    <t>Group</t>
  </si>
  <si>
    <t>Series</t>
  </si>
  <si>
    <t>Series Id</t>
  </si>
  <si>
    <t>Unit</t>
  </si>
  <si>
    <t>Note</t>
  </si>
  <si>
    <t>Export values</t>
  </si>
  <si>
    <t>($m s.a.)</t>
  </si>
  <si>
    <t>OTIX.Q.UA.ns</t>
  </si>
  <si>
    <t>m</t>
  </si>
  <si>
    <t>Import values</t>
  </si>
  <si>
    <t>OTIM.Q.UA.ns</t>
  </si>
  <si>
    <t>($m)</t>
  </si>
  <si>
    <t>OTIX.Q.UA.na</t>
  </si>
  <si>
    <t>OTIM.Q.UA.na</t>
  </si>
  <si>
    <t>(q/q% s.a.)</t>
  </si>
  <si>
    <t>OTIX.Q.UA.nsq</t>
  </si>
  <si>
    <t>%</t>
  </si>
  <si>
    <t>OTIM.Q.UA.nsq</t>
  </si>
  <si>
    <t>(y/y%)</t>
  </si>
  <si>
    <t>OTIX.Q.UA.nay</t>
  </si>
  <si>
    <t>OTIM.Q.UA.nay</t>
  </si>
  <si>
    <t>Export prices</t>
  </si>
  <si>
    <t>(Index)</t>
  </si>
  <si>
    <t>OTIX.Q.U1A.ia</t>
  </si>
  <si>
    <t>Import prices</t>
  </si>
  <si>
    <t>OTIM.Q.U1A.ia</t>
  </si>
  <si>
    <t>(q/q%)</t>
  </si>
  <si>
    <t>OTIX.Q.U1A.iaq</t>
  </si>
  <si>
    <t>OTIM.Q.U1A.iaq</t>
  </si>
  <si>
    <t>OTIX.Q.U1A.iay</t>
  </si>
  <si>
    <t>OTIM.Q.U1A.iay</t>
  </si>
  <si>
    <t>Export volumes</t>
  </si>
  <si>
    <t>OTIX.Q.U2A.ia</t>
  </si>
  <si>
    <t>Import volumes</t>
  </si>
  <si>
    <t>OTIM.Q.U2A.ia</t>
  </si>
  <si>
    <t>OTIX.Q.U2A.isq</t>
  </si>
  <si>
    <t>OTIM.Q.U2A.isq</t>
  </si>
  <si>
    <t>OTIX.Q.U2A.iay</t>
  </si>
  <si>
    <t>OTIM.Q.U2A.iay</t>
  </si>
  <si>
    <t>(Index s.a.)</t>
  </si>
  <si>
    <t>OTIX.Q.U2A.is</t>
  </si>
  <si>
    <t>OTIM.Q.U2A.is</t>
  </si>
  <si>
    <t>Data</t>
  </si>
  <si>
    <t>Graph</t>
  </si>
  <si>
    <t>Export</t>
  </si>
  <si>
    <t>Import</t>
  </si>
  <si>
    <t>Grouping</t>
  </si>
  <si>
    <t>Dim</t>
  </si>
  <si>
    <t>hm8</t>
  </si>
  <si>
    <t>Primary</t>
  </si>
  <si>
    <t>Secondary</t>
  </si>
  <si>
    <t>Names</t>
  </si>
  <si>
    <t>teal_base</t>
  </si>
  <si>
    <t>teal_dark</t>
  </si>
  <si>
    <t>Split</t>
  </si>
  <si>
    <t>TWI</t>
  </si>
  <si>
    <t>17 currency basket</t>
  </si>
  <si>
    <t>EXRT.DS41.NZB17</t>
  </si>
  <si>
    <t>Index</t>
  </si>
  <si>
    <t>Exchange rates (quoted per NZ$)</t>
  </si>
  <si>
    <t>United States dollar</t>
  </si>
  <si>
    <t>EXR.DS11.D06</t>
  </si>
  <si>
    <t>NZD/USD</t>
  </si>
  <si>
    <t>UK pound sterling</t>
  </si>
  <si>
    <t>EXR.DS11.D04</t>
  </si>
  <si>
    <t>NZD/GBP</t>
  </si>
  <si>
    <t>Australian dollar</t>
  </si>
  <si>
    <t>EXR.DS11.D01</t>
  </si>
  <si>
    <t>NZD/AUD</t>
  </si>
  <si>
    <t>Japanese yen</t>
  </si>
  <si>
    <t>EXR.DS11.D05</t>
  </si>
  <si>
    <t>NZD/JPY</t>
  </si>
  <si>
    <t>German deutsche mark</t>
  </si>
  <si>
    <t>EXR.DS11.D25</t>
  </si>
  <si>
    <t>NZD/DEM</t>
  </si>
  <si>
    <t>Canadian dollar</t>
  </si>
  <si>
    <t>EXR.DS11.D02</t>
  </si>
  <si>
    <t>NZD/CAD</t>
  </si>
  <si>
    <t>South Korean won</t>
  </si>
  <si>
    <t>EXR.DS11.D12</t>
  </si>
  <si>
    <t>NZD/KRW</t>
  </si>
  <si>
    <t>Chinese renminbi</t>
  </si>
  <si>
    <t>EXR.DS11.D11</t>
  </si>
  <si>
    <t>NZD/CNY</t>
  </si>
  <si>
    <t>Malaysian ringgit</t>
  </si>
  <si>
    <t>EXR.DS11.D14</t>
  </si>
  <si>
    <t>NZD/MYR</t>
  </si>
  <si>
    <t>Hong Kong dollar</t>
  </si>
  <si>
    <t>EXR.DS11.D08</t>
  </si>
  <si>
    <t>NZD/HKD</t>
  </si>
  <si>
    <t>Indonesian rupiah</t>
  </si>
  <si>
    <t>EXR.DS11.D13</t>
  </si>
  <si>
    <t>NZD/IDR</t>
  </si>
  <si>
    <t>Thai baht</t>
  </si>
  <si>
    <t>EXR.DS11.D15</t>
  </si>
  <si>
    <t>NZD/THB</t>
  </si>
  <si>
    <t>Singapore dollar</t>
  </si>
  <si>
    <t>EXR.DS11.D09</t>
  </si>
  <si>
    <t>NZD/SGD</t>
  </si>
  <si>
    <t>New Taiwan dollar</t>
  </si>
  <si>
    <t>EXR.DS11.D16</t>
  </si>
  <si>
    <t>NZD/TWD</t>
  </si>
  <si>
    <t>Indian rupee</t>
  </si>
  <si>
    <t>EXR.DS11.D31</t>
  </si>
  <si>
    <t>NZD/INR</t>
  </si>
  <si>
    <t>Philippine peso</t>
  </si>
  <si>
    <t>EXR.DS11.D32</t>
  </si>
  <si>
    <t>NZD/PHP</t>
  </si>
  <si>
    <t>Vietnamese dong</t>
  </si>
  <si>
    <t>EXR.DS11.D33</t>
  </si>
  <si>
    <t>NZD/VND</t>
  </si>
  <si>
    <t>Historical TWI</t>
  </si>
  <si>
    <t>Base June 1979=100</t>
  </si>
  <si>
    <t>EXRT.DS41.N</t>
  </si>
  <si>
    <t>hb1</t>
  </si>
  <si>
    <t>European euro</t>
  </si>
  <si>
    <t>EXR.DS11.D03</t>
  </si>
  <si>
    <t>NZD/EUR</t>
  </si>
  <si>
    <t>Cash rate</t>
  </si>
  <si>
    <t>Official Cash Rate (OCR)</t>
  </si>
  <si>
    <t>INM.DP1.N</t>
  </si>
  <si>
    <t>%pa</t>
  </si>
  <si>
    <t>Overnight Deposit Rate</t>
  </si>
  <si>
    <t>INM.DD1.N</t>
  </si>
  <si>
    <t>Overnight Reverse Repurchase Facility Rate</t>
  </si>
  <si>
    <t>INM.DD2.N</t>
  </si>
  <si>
    <t>Overnight interbank cash rate</t>
  </si>
  <si>
    <t>INM.DN.NZK</t>
  </si>
  <si>
    <t>Bank bill yields</t>
  </si>
  <si>
    <t>30 days</t>
  </si>
  <si>
    <t>INM.DB01.NZZV</t>
  </si>
  <si>
    <t>60 days</t>
  </si>
  <si>
    <t>INM.DB02.NZZV</t>
  </si>
  <si>
    <t>90 days</t>
  </si>
  <si>
    <t>INM.DB03.NZZV</t>
  </si>
  <si>
    <t>Secondary market government bond closing yields</t>
  </si>
  <si>
    <t>1 year</t>
  </si>
  <si>
    <t>INM.DG101.NZZCF</t>
  </si>
  <si>
    <t>2 year</t>
  </si>
  <si>
    <t>INM.DG102.NZZCF</t>
  </si>
  <si>
    <t>5 year</t>
  </si>
  <si>
    <t>INM.DG105.NZZCF</t>
  </si>
  <si>
    <t>10 year</t>
  </si>
  <si>
    <t>INM.DG110.NZZCF</t>
  </si>
  <si>
    <t>March 2019</t>
  </si>
  <si>
    <t>INM.DG19.NS1903ZC</t>
  </si>
  <si>
    <t>April 2020</t>
  </si>
  <si>
    <t>INM.DG19.NS2004ZC</t>
  </si>
  <si>
    <t>May 2021</t>
  </si>
  <si>
    <t>INM.DG19.NS2105ZC</t>
  </si>
  <si>
    <t>April 2023</t>
  </si>
  <si>
    <t>INM.DG19.NS2304ZC</t>
  </si>
  <si>
    <t>May 2024</t>
  </si>
  <si>
    <t>INM.DG19.NS2405ZC</t>
  </si>
  <si>
    <t>April 2025</t>
  </si>
  <si>
    <t>INM.DG19.NS2504ZC</t>
  </si>
  <si>
    <t>May 2026</t>
  </si>
  <si>
    <t>INM.DG19.NS2605ZC</t>
  </si>
  <si>
    <t>April 2027</t>
  </si>
  <si>
    <t>INM.DG19.NS2704ZC</t>
  </si>
  <si>
    <t>May 2028</t>
  </si>
  <si>
    <t>INM.DG19.NS2805ZC</t>
  </si>
  <si>
    <t>April 2029</t>
  </si>
  <si>
    <t>INM.DG19.NS2904ZC</t>
  </si>
  <si>
    <t>May 2030</t>
  </si>
  <si>
    <t>INM.DG19.NS3005ZCF</t>
  </si>
  <si>
    <t>May 2031</t>
  </si>
  <si>
    <t>INM.DG19.NS3105ZC</t>
  </si>
  <si>
    <t>May 2032</t>
  </si>
  <si>
    <t>INM.DG19.NS3205ZC</t>
  </si>
  <si>
    <t>April 2033</t>
  </si>
  <si>
    <t>INM.DG19.NS3304ZC</t>
  </si>
  <si>
    <t>May 2034</t>
  </si>
  <si>
    <t>INM.DG19.NS3405ZC</t>
  </si>
  <si>
    <t>May 2035</t>
  </si>
  <si>
    <t>INM.DG19.NS3505ZCF</t>
  </si>
  <si>
    <t>May 2036</t>
  </si>
  <si>
    <t>INM.DG19.NS3605ZCF</t>
  </si>
  <si>
    <t>April 2037</t>
  </si>
  <si>
    <t>INM.DG19.NS3704ZC</t>
  </si>
  <si>
    <t>May 2041</t>
  </si>
  <si>
    <t>INM.DG19.NS4105ZC</t>
  </si>
  <si>
    <t>May 2051</t>
  </si>
  <si>
    <t>INM.DG19.NS5105ZC</t>
  </si>
  <si>
    <t>May 2054</t>
  </si>
  <si>
    <t>INM.DG19.NS5405ZCF</t>
  </si>
  <si>
    <t>Inflation indexed bond</t>
  </si>
  <si>
    <t>20 September 2025</t>
  </si>
  <si>
    <t>INM.DG29.NS2509ZC</t>
  </si>
  <si>
    <t>20 September 2030</t>
  </si>
  <si>
    <t>INM.DG29.NS3009ZC</t>
  </si>
  <si>
    <t>20 September 2035</t>
  </si>
  <si>
    <t>INM.DG29.NS3509ZC</t>
  </si>
  <si>
    <t>20 September 2040</t>
  </si>
  <si>
    <t>INM.DG29.NS4009ZC</t>
  </si>
  <si>
    <t>20 September 2050</t>
  </si>
  <si>
    <t>INM.DG29.NS5009ZCF</t>
  </si>
  <si>
    <t>Swap rates close</t>
  </si>
  <si>
    <t>INM.DS01.NZZC</t>
  </si>
  <si>
    <t>INM.DS02.NZZC</t>
  </si>
  <si>
    <t>3 year</t>
  </si>
  <si>
    <t>INM.DS03.NZZC</t>
  </si>
  <si>
    <t>4 year</t>
  </si>
  <si>
    <t>INM.DS04.NZZC</t>
  </si>
  <si>
    <t>INM.DS05.NZZC</t>
  </si>
  <si>
    <t>7 year</t>
  </si>
  <si>
    <t>INM.DS07.NZZC</t>
  </si>
  <si>
    <t>INM.DS10.NZZC</t>
  </si>
  <si>
    <t>15 year</t>
  </si>
  <si>
    <t>INM.DS15.NZZC</t>
  </si>
  <si>
    <t>Spread 2-10 year</t>
  </si>
  <si>
    <t>INM.DS61.NZZC</t>
  </si>
  <si>
    <t>bps</t>
  </si>
  <si>
    <t>hb2</t>
  </si>
  <si>
    <t>Total lending</t>
  </si>
  <si>
    <t>A1. Opening position</t>
  </si>
  <si>
    <t>LVRP.QME1.A</t>
  </si>
  <si>
    <t>NZDm</t>
  </si>
  <si>
    <t>A2. Drawdowns</t>
  </si>
  <si>
    <t>LVRP.QME31.A</t>
  </si>
  <si>
    <t>A3. Interest charged</t>
  </si>
  <si>
    <t>LVRP.QME32.A</t>
  </si>
  <si>
    <t>A4. Scheduled repayments</t>
  </si>
  <si>
    <t>LVRP.QME33.A</t>
  </si>
  <si>
    <t>A5. Repayment of loan in full</t>
  </si>
  <si>
    <t>LVRP.QME34.A</t>
  </si>
  <si>
    <t>A6. Other excess repayments</t>
  </si>
  <si>
    <t>LVRP.QME35.A</t>
  </si>
  <si>
    <t>A7. Repayment deficiencies</t>
  </si>
  <si>
    <t>LVRP.QME36.A</t>
  </si>
  <si>
    <t>A8. Net write-offs</t>
  </si>
  <si>
    <t>LVRP.QME37.A</t>
  </si>
  <si>
    <t>A9. Other adjustments</t>
  </si>
  <si>
    <t>LVRP.QME38.A</t>
  </si>
  <si>
    <t>A10. Closing position (A1+A2+A3-A4-A5-A6+A7-A8+A9)</t>
  </si>
  <si>
    <t>LVRP.QMF2.A</t>
  </si>
  <si>
    <t>Higher than 80% LVR lending</t>
  </si>
  <si>
    <t>B1. Opening position</t>
  </si>
  <si>
    <t>LVRP.QME1.B</t>
  </si>
  <si>
    <t>B2. Drawdowns</t>
  </si>
  <si>
    <t>LVRP.QME31.B</t>
  </si>
  <si>
    <t>B3. Interest charged</t>
  </si>
  <si>
    <t>LVRP.QME32.B</t>
  </si>
  <si>
    <t>B4. Scheduled repayments</t>
  </si>
  <si>
    <t>LVRP.QME33.B</t>
  </si>
  <si>
    <t>B5. Repayment of loan in full</t>
  </si>
  <si>
    <t>LVRP.QME34.B</t>
  </si>
  <si>
    <t>B6. Other excess repayment</t>
  </si>
  <si>
    <t>LVRP.QME35.B</t>
  </si>
  <si>
    <t>B7. Repayment deficiencies</t>
  </si>
  <si>
    <t>LVRP.QME36.B</t>
  </si>
  <si>
    <t>B8. Net write-offs</t>
  </si>
  <si>
    <t>LVRP.QME37.B</t>
  </si>
  <si>
    <t>B9. Other adjustments</t>
  </si>
  <si>
    <t>LVRP.QME38.B</t>
  </si>
  <si>
    <t>B10. Closing position (B1+B2+B3-B4-B5-B6+B7-B8+B9)</t>
  </si>
  <si>
    <t>LVRP.QMF2.B</t>
  </si>
  <si>
    <t>Less than or equal to 80% LVR lending</t>
  </si>
  <si>
    <t>C1. Opening position</t>
  </si>
  <si>
    <t>LVRP.QME1.C</t>
  </si>
  <si>
    <t>C2. Drawdowns</t>
  </si>
  <si>
    <t>LVRP.QME31.C</t>
  </si>
  <si>
    <t>C3. Interest charged</t>
  </si>
  <si>
    <t>LVRP.QME32.C</t>
  </si>
  <si>
    <t>C4. Scheduled repayments</t>
  </si>
  <si>
    <t>LVRP.QME33.C</t>
  </si>
  <si>
    <t>C5. Repayment of loan in full</t>
  </si>
  <si>
    <t>LVRP.QME34.C</t>
  </si>
  <si>
    <t>C6. Other excess repayments</t>
  </si>
  <si>
    <t>LVRP.QME35.C</t>
  </si>
  <si>
    <t>C7. Repayment deficiencies</t>
  </si>
  <si>
    <t>LVRP.QME36.C</t>
  </si>
  <si>
    <t>C8. Net write-offs</t>
  </si>
  <si>
    <t>LVRP.QME37.C</t>
  </si>
  <si>
    <t>C9. Other adjustments</t>
  </si>
  <si>
    <t>LVRP.QME38.C</t>
  </si>
  <si>
    <t>C10. Closing position (C1+C2+C3-C4-C5-C6+C7-C8+C9)</t>
  </si>
  <si>
    <t>LVRP.QMF2.C</t>
  </si>
  <si>
    <t>hc35</t>
  </si>
  <si>
    <t>Consumers price index (CPI)</t>
  </si>
  <si>
    <t>CPI.Q.C.ia</t>
  </si>
  <si>
    <t>CPI.Q.C.iaq</t>
  </si>
  <si>
    <t>CPI.Q.C.iay</t>
  </si>
  <si>
    <t>Tradable inflation</t>
  </si>
  <si>
    <t>CPIT.Q.C.ia</t>
  </si>
  <si>
    <t>CPIT.Q.C.iaq</t>
  </si>
  <si>
    <t>CPIT.Q.C.iay</t>
  </si>
  <si>
    <t>Non-tradable inflation</t>
  </si>
  <si>
    <t>CPIN.Q.C.ia</t>
  </si>
  <si>
    <t>CPIN.Q.C.iaq</t>
  </si>
  <si>
    <t>CPIN.Q.C.iay</t>
  </si>
  <si>
    <t>Food</t>
  </si>
  <si>
    <t>CPI.Q.C01.ia</t>
  </si>
  <si>
    <t>CPI.Q.C01.iaq</t>
  </si>
  <si>
    <t>CPI.Q.C01.iay</t>
  </si>
  <si>
    <t>Housing and household utilities</t>
  </si>
  <si>
    <t>CPI.Q.C04.ia</t>
  </si>
  <si>
    <t>CPI.Q.C04.iaq</t>
  </si>
  <si>
    <t>CPI.Q.C04.iay</t>
  </si>
  <si>
    <t>Transportation</t>
  </si>
  <si>
    <t>CPI.Q.C07.ia</t>
  </si>
  <si>
    <t>CPI.Q.C07.iaq</t>
  </si>
  <si>
    <t>CPI.Q.C07.iay</t>
  </si>
  <si>
    <t>Petrol</t>
  </si>
  <si>
    <t>CPI.Q.C07202.ia</t>
  </si>
  <si>
    <t>CPI.Q.C07202.iaq</t>
  </si>
  <si>
    <t>CPI.Q.C07202.iay</t>
  </si>
  <si>
    <t>CPI excluding petrol</t>
  </si>
  <si>
    <t>CPI.Q.ZC21.ia</t>
  </si>
  <si>
    <t>CPI.Q.ZC21.iaq</t>
  </si>
  <si>
    <t>CPI.Q.ZC21.iay</t>
  </si>
  <si>
    <t>Trimmed mean</t>
  </si>
  <si>
    <t>CPI.Q.ZC40.iaq</t>
  </si>
  <si>
    <t>CPIM.Q.C40T10B17.iay</t>
  </si>
  <si>
    <t>Weighted median</t>
  </si>
  <si>
    <t>CPI.Q.ZC41.iaq</t>
  </si>
  <si>
    <t>CPIW.Q.C41P50B17.iay</t>
  </si>
  <si>
    <t>Factor model</t>
  </si>
  <si>
    <t>CPI.Q.ZC42.iay</t>
  </si>
  <si>
    <t>Sectoral factor model</t>
  </si>
  <si>
    <t>CPI.Q.ZC43.iay</t>
  </si>
  <si>
    <t>Sectoral factor model - tradable core</t>
  </si>
  <si>
    <t>CPI.Q.ZC431.iay</t>
  </si>
  <si>
    <t>Sectoral factor model - non-tradable core</t>
  </si>
  <si>
    <t>CPI.Q.ZC432.iay</t>
  </si>
  <si>
    <t>PropertyIQ House price index (HPI)</t>
  </si>
  <si>
    <t>HPI.Q.H01T0.ia</t>
  </si>
  <si>
    <t>HPI.Q.H01T0.iaq</t>
  </si>
  <si>
    <t>HPI.Q.H01T0.iay</t>
  </si>
  <si>
    <t>GDP deflator</t>
  </si>
  <si>
    <t>GDE.Q.DY.RS</t>
  </si>
  <si>
    <t>GDE.Q.DY.rsq</t>
  </si>
  <si>
    <t>(y/y% s.a.)</t>
  </si>
  <si>
    <t>GDE.Q.DY.rsy</t>
  </si>
  <si>
    <t>Producers price index (PPI) inputs</t>
  </si>
  <si>
    <t>PPI06.Q.T0I1.ia</t>
  </si>
  <si>
    <t>PPI06.Q.T0I1.iaq</t>
  </si>
  <si>
    <t>PPI06.Q.T0I1.iay</t>
  </si>
  <si>
    <t>Producers price index (PPI) outputs</t>
  </si>
  <si>
    <t>PPI06.Q.T0I2.ia</t>
  </si>
  <si>
    <t>PPI06.Q.T0I2.iaq</t>
  </si>
  <si>
    <t>PPI06.Q.T0I2.iay</t>
  </si>
  <si>
    <t>hm1</t>
  </si>
  <si>
    <t>Retail trade sales</t>
  </si>
  <si>
    <t>RTS06.Q.S1G.na</t>
  </si>
  <si>
    <t>RTS06.Q.S1G.ns</t>
  </si>
  <si>
    <t>NZDm s.a.</t>
  </si>
  <si>
    <t>RTS06.Q.S1G.nsq</t>
  </si>
  <si>
    <t>% s.a.</t>
  </si>
  <si>
    <t>RTS06.Q.S1G.nay</t>
  </si>
  <si>
    <t>Retail trade volumes</t>
  </si>
  <si>
    <t>RTS06.Q.S1G.ra</t>
  </si>
  <si>
    <t>NZDm(r)</t>
  </si>
  <si>
    <t>RTS06.Q.S1G.rs</t>
  </si>
  <si>
    <t>NZDm(r) s.a.</t>
  </si>
  <si>
    <t>RTS06.Q.S1G.rsq</t>
  </si>
  <si>
    <t>%(r) s.a.</t>
  </si>
  <si>
    <t>RTS06.Q.S1G.ray</t>
  </si>
  <si>
    <t>%(r)</t>
  </si>
  <si>
    <t>Private consumption expenditure (GDP)</t>
  </si>
  <si>
    <t>(Real $m)</t>
  </si>
  <si>
    <t>GDE.Q.EC1.RA</t>
  </si>
  <si>
    <t>(Real $m s.a.)</t>
  </si>
  <si>
    <t>GDE.Q.EC1.RS</t>
  </si>
  <si>
    <t>(Real q/q% s.a.)</t>
  </si>
  <si>
    <t>GDE.Q.EC1.rsq</t>
  </si>
  <si>
    <t>(Real y/y%)</t>
  </si>
  <si>
    <t>GDE.Q.EC1.ray</t>
  </si>
  <si>
    <t>General government consumption expenditure (GDP)</t>
  </si>
  <si>
    <t>GDE.Q.EG13.RA</t>
  </si>
  <si>
    <t>GDE.Q.EG13.RS</t>
  </si>
  <si>
    <t>GDE.Q.EG13.rsq</t>
  </si>
  <si>
    <t>GDE.Q.EG13.ray</t>
  </si>
  <si>
    <t>hm2</t>
  </si>
  <si>
    <t>Building consents - residential dwellings</t>
  </si>
  <si>
    <t>(Number s.a.)</t>
  </si>
  <si>
    <t>QBLD.Q.B11N1BZR1.ns</t>
  </si>
  <si>
    <t>no s.a.</t>
  </si>
  <si>
    <t>QBLD.Q.B11N1BZR1.nsq</t>
  </si>
  <si>
    <t>Gross fixed capital formation - residential buildings (GDP)</t>
  </si>
  <si>
    <t>GDE.Q.EI24.RA</t>
  </si>
  <si>
    <t>GDE.Q.EI24.RS</t>
  </si>
  <si>
    <t>(Real q/q% s.a)</t>
  </si>
  <si>
    <t>GDE.Q.EI24.rsq</t>
  </si>
  <si>
    <t>GDE.Q.EI24.ray</t>
  </si>
  <si>
    <t>Gross fixed capital formation - other fixed assets (GDP)</t>
  </si>
  <si>
    <t>GDE.Q.EI25.RA</t>
  </si>
  <si>
    <t>GDE.Q.EI25.RS</t>
  </si>
  <si>
    <t>GDE.Q.EI25.rsq</t>
  </si>
  <si>
    <t>GDE.Q.EI25.ray</t>
  </si>
  <si>
    <t>Change in inventories (GDP)</t>
  </si>
  <si>
    <t>GDE.Q.EI23.RA</t>
  </si>
  <si>
    <t>GDE.Q.EI23.RS</t>
  </si>
  <si>
    <t>hm3</t>
  </si>
  <si>
    <t>Manufacturing operating income</t>
  </si>
  <si>
    <t>MAN06.Q.S1C0.ns</t>
  </si>
  <si>
    <t>MAN06.Q.S1C0.na</t>
  </si>
  <si>
    <t>MAN06.Q.S1C0.nsq</t>
  </si>
  <si>
    <t>MAN06.Q.S1C0.nay</t>
  </si>
  <si>
    <t>Manufacturing stocks</t>
  </si>
  <si>
    <t>MAN06.Q.VC0.na</t>
  </si>
  <si>
    <t>MAN06.Q.VC0.nay</t>
  </si>
  <si>
    <t>Meat and dairy manufacturing operating income</t>
  </si>
  <si>
    <t>MAN06.Q.S1C111.ns</t>
  </si>
  <si>
    <t>MAN06.Q.S1C111.na</t>
  </si>
  <si>
    <t>MAN06.Q.S1C111.nsq</t>
  </si>
  <si>
    <t>MAN06.Q.S1C111.nay</t>
  </si>
  <si>
    <t>Retail trade stocks</t>
  </si>
  <si>
    <t>RTS06.Q.VG.na</t>
  </si>
  <si>
    <t>RTS06.Q.VG.nay</t>
  </si>
  <si>
    <t>Wholesale trade sales</t>
  </si>
  <si>
    <t>WTS06.Q.S1F0.ns</t>
  </si>
  <si>
    <t>WTS06.Q.S1F0.na</t>
  </si>
  <si>
    <t>WTS06.Q.S1F0.nsq</t>
  </si>
  <si>
    <t>WTS06.Q.S1F0.nay</t>
  </si>
  <si>
    <t>Wholesale trade stocks</t>
  </si>
  <si>
    <t>WTS06.Q.VF0.na</t>
  </si>
  <si>
    <t>WTS06.Q.VF0.nay</t>
  </si>
  <si>
    <t>hm4</t>
  </si>
  <si>
    <t>Production-based gross domestic product (GDP)</t>
  </si>
  <si>
    <t>GDP06.Q.QT0.ra</t>
  </si>
  <si>
    <t>GDP06.Q.QT0.rs</t>
  </si>
  <si>
    <t>GDP06.Q.QT0.rsq</t>
  </si>
  <si>
    <t>GDP06.Q.QT0.ray</t>
  </si>
  <si>
    <t>Expenditure-based gross domestic product (GDP)</t>
  </si>
  <si>
    <t>(Nominal $m)</t>
  </si>
  <si>
    <t>GDE.Q.EY.NA</t>
  </si>
  <si>
    <t>(Nominal $m s.a.)</t>
  </si>
  <si>
    <t>GDE.Q.EY.NS</t>
  </si>
  <si>
    <t>(Nominal q/q% s.a.)</t>
  </si>
  <si>
    <t>GDE.Q.EY.nsq</t>
  </si>
  <si>
    <t>(Nominal y/y%)</t>
  </si>
  <si>
    <t>GDE.Q.EY.nay</t>
  </si>
  <si>
    <t>GDE.Q.EY.RA</t>
  </si>
  <si>
    <t>GDE.Q.EY.RS</t>
  </si>
  <si>
    <t>GDE.Q.EY.rsq</t>
  </si>
  <si>
    <t>GDE.Q.EY.ray</t>
  </si>
  <si>
    <t xml:space="preserve">(Nominal $m) </t>
  </si>
  <si>
    <t>GDE.Q.EC1.NA</t>
  </si>
  <si>
    <t>GDE.Q.EC1.NS</t>
  </si>
  <si>
    <t>GDE.Q.EC1.nsq</t>
  </si>
  <si>
    <t>GDE.Q.EC1.nay</t>
  </si>
  <si>
    <t>GDE.Q.EG13.NA</t>
  </si>
  <si>
    <t>GDE.Q.EG13.NS</t>
  </si>
  <si>
    <t>GDE.Q.EG13.nsq</t>
  </si>
  <si>
    <t>GDE.Q.EG13.nay</t>
  </si>
  <si>
    <t>Change in inventories</t>
  </si>
  <si>
    <t>GDE.Q.EI23.NA</t>
  </si>
  <si>
    <t>GDE.Q.EI23.NS</t>
  </si>
  <si>
    <t>Gross fixed capital formation - residential buildings</t>
  </si>
  <si>
    <t>GDE.Q.EI24.NA</t>
  </si>
  <si>
    <t>GDE.Q.EI24.NS</t>
  </si>
  <si>
    <t>GDE.Q.EI24.nsq</t>
  </si>
  <si>
    <t>GDE.Q.EI24.nay</t>
  </si>
  <si>
    <t>Gross fixed capital formation - other fixed assets</t>
  </si>
  <si>
    <t>GDE.Q.EI25.NA</t>
  </si>
  <si>
    <t>GDE.Q.EI25.NS</t>
  </si>
  <si>
    <t>GDE.Q.EI25.nsq</t>
  </si>
  <si>
    <t>GDE.Q.EI25.nay</t>
  </si>
  <si>
    <t>Gross national expenditure</t>
  </si>
  <si>
    <t>GDE.Q.EY1.NA</t>
  </si>
  <si>
    <t>GDE.Q.EY1.NS</t>
  </si>
  <si>
    <t>GDE.Q.EY1.nsq</t>
  </si>
  <si>
    <t>GDE.Q.EY1.nay</t>
  </si>
  <si>
    <t>GDE.Q.EY1.RA</t>
  </si>
  <si>
    <t>GDE.Q.EY1.RS</t>
  </si>
  <si>
    <t>GDE.Q.EY1.rsq</t>
  </si>
  <si>
    <t>GDE.Q.EY1.ray</t>
  </si>
  <si>
    <t>Exports of goods and services</t>
  </si>
  <si>
    <t>GDE.Q.EX.NA</t>
  </si>
  <si>
    <t>GDE.Q.EX.NS</t>
  </si>
  <si>
    <t>GDE.Q.EX.nsq</t>
  </si>
  <si>
    <t>GDE.Q.EX.nay</t>
  </si>
  <si>
    <t>GDE.Q.EX.RA</t>
  </si>
  <si>
    <t>GDE.Q.EX.RS</t>
  </si>
  <si>
    <t>GDE.Q.EX.rsq</t>
  </si>
  <si>
    <t>GDE.Q.EX.ray</t>
  </si>
  <si>
    <t>Imports of goods and services</t>
  </si>
  <si>
    <t>GDE.Q.EM.NA</t>
  </si>
  <si>
    <t>GDE.Q.EM.NS</t>
  </si>
  <si>
    <t>GDE.Q.EM.nsq</t>
  </si>
  <si>
    <t>GDE.Q.EM.nay</t>
  </si>
  <si>
    <t>GDE.Q.EM.RA</t>
  </si>
  <si>
    <t>GDE.Q.EM.RS</t>
  </si>
  <si>
    <t>GDE.Q.EM.rsq</t>
  </si>
  <si>
    <t>GDE.Q.EM.ray</t>
  </si>
  <si>
    <t>hm5</t>
  </si>
  <si>
    <t>Gross domestic product ($m)</t>
  </si>
  <si>
    <t>Production-based</t>
  </si>
  <si>
    <t>NATA.Y.G0.na</t>
  </si>
  <si>
    <t>Expenditure-based</t>
  </si>
  <si>
    <t>NATE.Y.E0Y.na</t>
  </si>
  <si>
    <t>Saving ($m)</t>
  </si>
  <si>
    <t>National</t>
  </si>
  <si>
    <t>NATF.Y.D04.na</t>
  </si>
  <si>
    <t>Businesses</t>
  </si>
  <si>
    <t>ISAA.Y.I12.na</t>
  </si>
  <si>
    <t>Financial intermediaries</t>
  </si>
  <si>
    <t>ISAF.Y.I13.na</t>
  </si>
  <si>
    <t>General government</t>
  </si>
  <si>
    <t>ISAG.Y.I13.na</t>
  </si>
  <si>
    <t>Non-profit institutions serving households</t>
  </si>
  <si>
    <t>ISAJ.Y.I12.na</t>
  </si>
  <si>
    <t>Households</t>
  </si>
  <si>
    <t>ISAK.Y.I10.na</t>
  </si>
  <si>
    <t>Household saving rate (%)</t>
  </si>
  <si>
    <t>ISAK.Y.I18.na</t>
  </si>
  <si>
    <t>hm6</t>
  </si>
  <si>
    <t>Terms of Trade</t>
  </si>
  <si>
    <t>OTIT.Q.U1T.iaq</t>
  </si>
  <si>
    <t>OTIT.Q.U1T.iay</t>
  </si>
  <si>
    <t>Balance of Payments (NZD millions)</t>
  </si>
  <si>
    <t>Current account balance to GDP ratio (%)</t>
  </si>
  <si>
    <t>BOPR.Q.TJ101.na</t>
  </si>
  <si>
    <t>International Investment Position (NZD millions)</t>
  </si>
  <si>
    <t>Net international investment position to GDP ratio (%)</t>
  </si>
  <si>
    <t>BOPR.Q.TJ102.na</t>
  </si>
  <si>
    <t>Balance on goods</t>
  </si>
  <si>
    <t>BOP.Q.TB2.na</t>
  </si>
  <si>
    <t>Balance on services</t>
  </si>
  <si>
    <t>BOP.Q.TB3.na</t>
  </si>
  <si>
    <t>Balance on primary income</t>
  </si>
  <si>
    <t>BOP.Q.TB5.na</t>
  </si>
  <si>
    <t>Balance on secondary income</t>
  </si>
  <si>
    <t>BOP.Q.TB6.na</t>
  </si>
  <si>
    <t>Current account balance</t>
  </si>
  <si>
    <t>BOP.Q.TB1.na</t>
  </si>
  <si>
    <t>International assets</t>
  </si>
  <si>
    <t>IIPA.Q.AP1.na</t>
  </si>
  <si>
    <t>International liabilities</t>
  </si>
  <si>
    <t>IIPA.Q.LP2.na</t>
  </si>
  <si>
    <t>Net international investment position (IIP)</t>
  </si>
  <si>
    <t>IIP.Q.TA.NA</t>
  </si>
  <si>
    <t>OTIT.Q.U1T.ia</t>
  </si>
  <si>
    <t>hm7</t>
  </si>
  <si>
    <t xml:space="preserve">Labour force participation rate	</t>
  </si>
  <si>
    <t>(% s.a.)</t>
  </si>
  <si>
    <t>HLFS.Q.L05G001.ns</t>
  </si>
  <si>
    <t xml:space="preserve">Unemployment rate	</t>
  </si>
  <si>
    <t>HLFS.Q.L06G001.ns</t>
  </si>
  <si>
    <t>Not in labour force</t>
  </si>
  <si>
    <t>(000s s.a.)</t>
  </si>
  <si>
    <t>HLFS.Q.L04G001.ns</t>
  </si>
  <si>
    <t>000s</t>
  </si>
  <si>
    <t>Working-age population</t>
  </si>
  <si>
    <t>HLFS.Q.L07G001.ns</t>
  </si>
  <si>
    <t>Labour cost index (LCI)</t>
  </si>
  <si>
    <t>LCI.Q.W1S0T0.ia</t>
  </si>
  <si>
    <t>LCI.Q.W1S0T0.iay</t>
  </si>
  <si>
    <t>HLFS.Q.L04G001.nay</t>
  </si>
  <si>
    <t>HLFS.Q.L07G001.nay</t>
  </si>
  <si>
    <t>Labour force</t>
  </si>
  <si>
    <t>Employed (y/y%)</t>
  </si>
  <si>
    <t>HLFS.Q.L01G001.nay</t>
  </si>
  <si>
    <t>Unemployed (y/y%)</t>
  </si>
  <si>
    <t>HLFS.Q.L02G001.nay</t>
  </si>
  <si>
    <t>Total (y/y%)</t>
  </si>
  <si>
    <t>HLFS.Q.L03G001.nay</t>
  </si>
  <si>
    <t>Employed (000s s.a.)</t>
  </si>
  <si>
    <t>HLFS.Q.L01G001.ns</t>
  </si>
  <si>
    <t>Unemployed (000s s.a.)</t>
  </si>
  <si>
    <t>HLFS.Q.L02G001.ns</t>
  </si>
  <si>
    <t>Total (000s s.a.)</t>
  </si>
  <si>
    <t>HLFS.Q.L03G001.ns</t>
  </si>
  <si>
    <t>Private sector wages</t>
  </si>
  <si>
    <t>($)</t>
  </si>
  <si>
    <t>QESS21.Q.E03S2.na</t>
  </si>
  <si>
    <t>QESS21.Q.E03S2.naq</t>
  </si>
  <si>
    <t>QESS21.Q.E03S2.nay</t>
  </si>
  <si>
    <t>Public sector wages</t>
  </si>
  <si>
    <t>QESS21.Q.E03S1.na</t>
  </si>
  <si>
    <t>QESS21.Q.E03S1.naq</t>
  </si>
  <si>
    <t>QESS21.Q.E03S1.nay</t>
  </si>
  <si>
    <t xml:space="preserve">Average hourly earnings (ordinary time and overtime)	</t>
  </si>
  <si>
    <t>QESS21.Q.E03S0.na</t>
  </si>
  <si>
    <t>QESS21.Q.E03S0.naq</t>
  </si>
  <si>
    <t>QESS21.Q.E03S0.nay</t>
  </si>
  <si>
    <t>hm9</t>
  </si>
  <si>
    <t>House sales</t>
  </si>
  <si>
    <t>(Number)</t>
  </si>
  <si>
    <t>QVB.Q.MR0H01.na</t>
  </si>
  <si>
    <t>no</t>
  </si>
  <si>
    <t>House price index (HPI)</t>
  </si>
  <si>
    <t>Total value of housing stock</t>
  </si>
  <si>
    <t>HHAL.QC1</t>
  </si>
  <si>
    <t>Residential investment (GDP)</t>
  </si>
  <si>
    <t>hm10</t>
  </si>
  <si>
    <t>Perception of monetary conditions (net)</t>
  </si>
  <si>
    <t>A1. End of current quarter</t>
  </si>
  <si>
    <t>SOE.Q.E100.na</t>
  </si>
  <si>
    <t>A2. Next quarter</t>
  </si>
  <si>
    <t>SOE.Q.E101.na</t>
  </si>
  <si>
    <t>A3. 1 year out</t>
  </si>
  <si>
    <t>SOE.Q.E102.na</t>
  </si>
  <si>
    <t>Annual CPI growth</t>
  </si>
  <si>
    <t>B1. 1 year out</t>
  </si>
  <si>
    <t>SOE.Q.E210.na</t>
  </si>
  <si>
    <t>B2. 2 years out</t>
  </si>
  <si>
    <t>SOE.Q.E215.na</t>
  </si>
  <si>
    <t>B3. 5 years out</t>
  </si>
  <si>
    <t>SOE.Q.E220.na</t>
  </si>
  <si>
    <t>B4. 10 years out</t>
  </si>
  <si>
    <t>SOE.Q.E230.na</t>
  </si>
  <si>
    <t>C1. End of current quarter</t>
  </si>
  <si>
    <t>SOE.Q.E350.na</t>
  </si>
  <si>
    <t>C2. 1 year out</t>
  </si>
  <si>
    <t>SOE.Q.E351.na</t>
  </si>
  <si>
    <t>C3. 10 years out</t>
  </si>
  <si>
    <t>SOE.Q.E353.na</t>
  </si>
  <si>
    <t>C4. 10 year average</t>
  </si>
  <si>
    <t>SOE.Q.E356.na</t>
  </si>
  <si>
    <t>10 year government bond yields</t>
  </si>
  <si>
    <t>D1. End of current quarter</t>
  </si>
  <si>
    <t>SOE.Q.E310.na</t>
  </si>
  <si>
    <t>D2. 1 year out</t>
  </si>
  <si>
    <t>SOE.Q.E311.na</t>
  </si>
  <si>
    <t>Annual GDP growth</t>
  </si>
  <si>
    <t>E1. 1 year out</t>
  </si>
  <si>
    <t>SOE.Q.E402.ra</t>
  </si>
  <si>
    <t>E2. 2 years out</t>
  </si>
  <si>
    <t>SOE.Q.E403.ra</t>
  </si>
  <si>
    <t>Annual hourly wage growth</t>
  </si>
  <si>
    <t>F1. 1 year out</t>
  </si>
  <si>
    <t>SOE.Q.E460.na</t>
  </si>
  <si>
    <t>F2. 2 years out</t>
  </si>
  <si>
    <t>SOE.Q.E461.na</t>
  </si>
  <si>
    <t>Unemployment rate</t>
  </si>
  <si>
    <t>G1. 1 year out</t>
  </si>
  <si>
    <t>SOE.Q.E470.na</t>
  </si>
  <si>
    <t>G2. 2 years out</t>
  </si>
  <si>
    <t>SOE.Q.E471.na</t>
  </si>
  <si>
    <t>US dollar exchange rate</t>
  </si>
  <si>
    <t>H1. Next quarter</t>
  </si>
  <si>
    <t>SOE.Q.E320.na</t>
  </si>
  <si>
    <t>H2. 1 year out</t>
  </si>
  <si>
    <t>SOE.Q.E321.na</t>
  </si>
  <si>
    <t>Australian dollar exchange rate</t>
  </si>
  <si>
    <t>I1. Next quarter</t>
  </si>
  <si>
    <t>SOE.Q.E330.na</t>
  </si>
  <si>
    <t>I2. 1 year out</t>
  </si>
  <si>
    <t>SOE.Q.E331.na</t>
  </si>
  <si>
    <t>House price index</t>
  </si>
  <si>
    <t>J1. 1 year out</t>
  </si>
  <si>
    <t>SOE.Q.E480.na</t>
  </si>
  <si>
    <t>J2. 2 years out</t>
  </si>
  <si>
    <t>SOE.Q.E481.na</t>
  </si>
  <si>
    <t>hm14</t>
  </si>
  <si>
    <t>Total loans</t>
  </si>
  <si>
    <t>A. Total (B+C+D+E+F+G+H)</t>
  </si>
  <si>
    <t>BSPA.MALA4.P</t>
  </si>
  <si>
    <t>Owner occupier property use</t>
  </si>
  <si>
    <t>B. Total (B1+B2+B3+B4)</t>
  </si>
  <si>
    <t>BSPA.MAM2A4.P1</t>
  </si>
  <si>
    <t>B1. Interest only</t>
  </si>
  <si>
    <t>BSPA.MAM2A4.P1H1</t>
  </si>
  <si>
    <t>B2. Revolving credit</t>
  </si>
  <si>
    <t>BSPA.MAM2A4.P1H2</t>
  </si>
  <si>
    <t>B3. Principal &amp; interest</t>
  </si>
  <si>
    <t>BSPA.MAM2A4.P1H3</t>
  </si>
  <si>
    <t>B4. Other</t>
  </si>
  <si>
    <t>BSPA.MAM2A4.P1H6</t>
  </si>
  <si>
    <t>Residential investor property use</t>
  </si>
  <si>
    <t>C. Total (C1+C2+C3+C4)</t>
  </si>
  <si>
    <t>BSPA.MAM3A4.P1</t>
  </si>
  <si>
    <t>C1. Interest only</t>
  </si>
  <si>
    <t>BSPA.MAM3A4.P1N1</t>
  </si>
  <si>
    <t>C2. Revolving credit</t>
  </si>
  <si>
    <t>BSPA.MAM3A4.P1N2</t>
  </si>
  <si>
    <t>C3. Principal &amp; interest</t>
  </si>
  <si>
    <t>BSPA.MAM3A4.P1N3</t>
  </si>
  <si>
    <t>C4. Other</t>
  </si>
  <si>
    <t>BSPA.MAM3A4.P1N9</t>
  </si>
  <si>
    <t>Personal consumer loans</t>
  </si>
  <si>
    <t>D. Total (D1+D2+D3+D4)</t>
  </si>
  <si>
    <t>BSPAS.MAN1A4.P2</t>
  </si>
  <si>
    <t>D1. Overdrafts</t>
  </si>
  <si>
    <t>BSPA.MAN1A4.P2C1</t>
  </si>
  <si>
    <t>D2. Credit cards</t>
  </si>
  <si>
    <t>BSPA.MAN1A4.P2C2</t>
  </si>
  <si>
    <t>D3. Term loans</t>
  </si>
  <si>
    <t>BSPA.MAN1A4.P2C3</t>
  </si>
  <si>
    <t>D4. Other</t>
  </si>
  <si>
    <t>BSPA.MAN1A4.P2C9</t>
  </si>
  <si>
    <t>Business loans</t>
  </si>
  <si>
    <t>E. Total (E1+E2+E3+E4)</t>
  </si>
  <si>
    <t>BSPAS.MALA4.P3</t>
  </si>
  <si>
    <t>E1. Interest only</t>
  </si>
  <si>
    <t>BSPA.MALA4.P3N1</t>
  </si>
  <si>
    <t>E2. Revolving credit</t>
  </si>
  <si>
    <t>BSPA.MALA4.P3N2</t>
  </si>
  <si>
    <t>E3. Principal &amp; interest</t>
  </si>
  <si>
    <t>BSPA.MALA4.P3N3</t>
  </si>
  <si>
    <t>E4. Other</t>
  </si>
  <si>
    <t>BSPA.MALA4.P3N6</t>
  </si>
  <si>
    <t>Agriculture loans</t>
  </si>
  <si>
    <t>F. Total (F1+F2+F3+F4)</t>
  </si>
  <si>
    <t>BSPAS.MALA4.P4ZA</t>
  </si>
  <si>
    <t>F1. Interest only</t>
  </si>
  <si>
    <t>BSPA.MALA4.P4N1A</t>
  </si>
  <si>
    <t>F2. Revolving credit</t>
  </si>
  <si>
    <t>BSPA.MALA4.P4N2A</t>
  </si>
  <si>
    <t>F3. Principal &amp; interest</t>
  </si>
  <si>
    <t>BSPA.MALA4.P4N3A</t>
  </si>
  <si>
    <t>F4. Other</t>
  </si>
  <si>
    <t>BSPA.MALA4.P4N6A</t>
  </si>
  <si>
    <t>Financial institutions loans</t>
  </si>
  <si>
    <t>G. Total (G1+G2+G3+G4)</t>
  </si>
  <si>
    <t>BSPA.MALA4.P5</t>
  </si>
  <si>
    <t>G1. Interest only</t>
  </si>
  <si>
    <t>BSPA.MALA4.P5N1</t>
  </si>
  <si>
    <t>G2. Revolving credit</t>
  </si>
  <si>
    <t>BSPA.MALA4.P5N2</t>
  </si>
  <si>
    <t>G3. Principal &amp; interest</t>
  </si>
  <si>
    <t>BSPA.MALA4.P5N3</t>
  </si>
  <si>
    <t>G4. Other</t>
  </si>
  <si>
    <t>BSPA.MALA4.P5N6</t>
  </si>
  <si>
    <t>Other loans</t>
  </si>
  <si>
    <t>H. Total (H1+H2+H3+H4)</t>
  </si>
  <si>
    <t>BSPA.MALA4.P9</t>
  </si>
  <si>
    <t>H1. Interest only</t>
  </si>
  <si>
    <t>BSPA.MALA4.P9N1</t>
  </si>
  <si>
    <t>H2. Revolving credit</t>
  </si>
  <si>
    <t>BSPA.MALA4.P9N2</t>
  </si>
  <si>
    <t>H3. Principal &amp; interest</t>
  </si>
  <si>
    <t>BSPA.MALA4.P9N3</t>
  </si>
  <si>
    <t>H4. Other</t>
  </si>
  <si>
    <t>BSPA.MALA4.P9N6</t>
  </si>
  <si>
    <t>hs32</t>
  </si>
  <si>
    <t>TWI (H)</t>
  </si>
  <si>
    <t>Index Historic</t>
  </si>
  <si>
    <t>Tick</t>
  </si>
  <si>
    <t>.2f</t>
  </si>
  <si>
    <t>NZD to $USD</t>
  </si>
  <si>
    <t>NZD to £GBP</t>
  </si>
  <si>
    <t>NZD to $AUD</t>
  </si>
  <si>
    <t>NZD to ¥JPY</t>
  </si>
  <si>
    <t>NZD to €EUR</t>
  </si>
  <si>
    <t>NZD to $CAD</t>
  </si>
  <si>
    <t>NZD to ₩KRW</t>
  </si>
  <si>
    <t>NZD to ¥CNY</t>
  </si>
  <si>
    <t>NZD to RM</t>
  </si>
  <si>
    <t>NZD to $HK</t>
  </si>
  <si>
    <t>NZD to p (IDR)</t>
  </si>
  <si>
    <t>NZD to B (THB)</t>
  </si>
  <si>
    <t>NZD to $SGD</t>
  </si>
  <si>
    <t>NZD to $NT</t>
  </si>
  <si>
    <t>NZD to ₹INR</t>
  </si>
  <si>
    <t>NZD to ₱PHP</t>
  </si>
  <si>
    <t>NZD to ₫VND</t>
  </si>
  <si>
    <t>gold_dark</t>
  </si>
  <si>
    <t>grey_base</t>
  </si>
  <si>
    <t>teal_snow</t>
  </si>
  <si>
    <t>grey_dark</t>
  </si>
  <si>
    <t>grey_lite</t>
  </si>
  <si>
    <t>teal_lite</t>
  </si>
  <si>
    <t>navy_dark</t>
  </si>
  <si>
    <t>gold_base</t>
  </si>
  <si>
    <t>gold_lite</t>
  </si>
  <si>
    <t>ruby_base</t>
  </si>
  <si>
    <t>navy_lite</t>
  </si>
  <si>
    <t>navy_base</t>
  </si>
  <si>
    <t>ruby_dark</t>
  </si>
  <si>
    <t>Manufacturing</t>
  </si>
  <si>
    <t>Meat and dairy</t>
  </si>
  <si>
    <t>Retail trade</t>
  </si>
  <si>
    <t>Wholesale trade</t>
  </si>
  <si>
    <t/>
  </si>
  <si>
    <t>Opening position</t>
  </si>
  <si>
    <t>Drawdowns</t>
  </si>
  <si>
    <t>Interest charged</t>
  </si>
  <si>
    <t>Scheduled repayments</t>
  </si>
  <si>
    <t>Repayment of loan in full</t>
  </si>
  <si>
    <t>Other excess repayments</t>
  </si>
  <si>
    <t>Repayment deficiencies</t>
  </si>
  <si>
    <t>Net write-offs</t>
  </si>
  <si>
    <t>Other adjustments</t>
  </si>
  <si>
    <t>Other excess repayment</t>
  </si>
  <si>
    <t>2 year (swap)</t>
  </si>
  <si>
    <t>1 year (swap)</t>
  </si>
  <si>
    <t>5 year (swap)</t>
  </si>
  <si>
    <t>10 year (swap)</t>
  </si>
  <si>
    <t>q/q%</t>
  </si>
  <si>
    <t>y/y%</t>
  </si>
  <si>
    <t>Retail trade sales NZDm</t>
  </si>
  <si>
    <t>Retail trade sales NZDm s.a.</t>
  </si>
  <si>
    <t>Retail trade % s.a.</t>
  </si>
  <si>
    <t>Retail trade %</t>
  </si>
  <si>
    <t>Retail trade volumes NZDm(r)</t>
  </si>
  <si>
    <t>Retail trade volumes NZDm(r) s.a.</t>
  </si>
  <si>
    <t>Retail trade volumes %(r) s.a.</t>
  </si>
  <si>
    <t>Retail trade %(r)</t>
  </si>
  <si>
    <t>Private consumption expenditure (GDP) NZDm(r)</t>
  </si>
  <si>
    <t>Private consumption expenditure (GDP) NZDm(r) s.a.</t>
  </si>
  <si>
    <t>Private consumption expenditure (GDP) %(r) s.a.</t>
  </si>
  <si>
    <t>Private consumption expenditure (GDP) %(r)</t>
  </si>
  <si>
    <t>General government consumption expenditure (GDP) NZDm(r)</t>
  </si>
  <si>
    <t>General government consumption expenditure (GDP) NZDm(r) s.a.</t>
  </si>
  <si>
    <t>General government consumption expenditure (GDP) %(r) s.a.</t>
  </si>
  <si>
    <t>General government consumption expenditure (GDP) %(r)</t>
  </si>
  <si>
    <t>Building consents - residential dwellings (Number s.a.)</t>
  </si>
  <si>
    <t>Building consents - residential dwellings (q/q% s.a.)</t>
  </si>
  <si>
    <t>Gross fixed capital formation - residential buildings (GDP) (Real $m)</t>
  </si>
  <si>
    <t>Gross fixed capital formation - residential buildings (GDP) (Real $m s.a.)</t>
  </si>
  <si>
    <t>Gross fixed capital formation - residential buildings (GDP) (Real q/q% s.a)</t>
  </si>
  <si>
    <t>Gross fixed capital formation - residential buildings (GDP) (Real y/y%)</t>
  </si>
  <si>
    <t>Gross fixed capital formation - other fixed assets (GDP) (Real $m)</t>
  </si>
  <si>
    <t>Gross fixed capital formation - other fixed assets (GDP) (Real $m s.a.)</t>
  </si>
  <si>
    <t>Gross fixed capital formation - other fixed assets (GDP) (Real q/q% s.a.)</t>
  </si>
  <si>
    <t>Gross fixed capital formation - other fixed assets (GDP) (Real y/y%)</t>
  </si>
  <si>
    <t>Change in inventories (GDP) (Real $m)</t>
  </si>
  <si>
    <t>Change in inventories (GDP) (Real $m s.a.)</t>
  </si>
  <si>
    <t>Number</t>
  </si>
  <si>
    <t>Real $m</t>
  </si>
  <si>
    <t>Real q/q</t>
  </si>
  <si>
    <t>Real y/y</t>
  </si>
  <si>
    <t>$m s.a.</t>
  </si>
  <si>
    <t>$m</t>
  </si>
  <si>
    <t>q/q% s.a.</t>
  </si>
  <si>
    <t>Gross fixed capital formation</t>
  </si>
  <si>
    <t>Consumption expenditure</t>
  </si>
  <si>
    <t>Change in inventories (Nominal $m)</t>
  </si>
  <si>
    <t>Change in inventories (Nominal $m s.a.)</t>
  </si>
  <si>
    <t>Change in inventories (Real $m)</t>
  </si>
  <si>
    <t>Change in inventories (Real $m s.a.)</t>
  </si>
  <si>
    <t>Consumption expenditureNominal $m)</t>
  </si>
  <si>
    <t>Consumption expenditureNominal $m s.a.</t>
  </si>
  <si>
    <t>Consumption expenditureNominal q/q% s.a.</t>
  </si>
  <si>
    <t>Consumption expenditureNominal y/y%</t>
  </si>
  <si>
    <t>Consumption expenditureReal $m</t>
  </si>
  <si>
    <t>Consumption expenditureReal $m s.a.</t>
  </si>
  <si>
    <t>Consumption expenditureReal q/q% s.a.</t>
  </si>
  <si>
    <t>Consumption expenditureReal y/y%</t>
  </si>
  <si>
    <t>Consumption expenditureNominal $m</t>
  </si>
  <si>
    <t>Change in inventoriesNominal $m</t>
  </si>
  <si>
    <t>Change in inventoriesNominal $m s.a.</t>
  </si>
  <si>
    <t>Change in inventoriesReal $m</t>
  </si>
  <si>
    <t>Change in inventoriesReal $m s.a.</t>
  </si>
  <si>
    <t>Gross fixed capital formationNominal $m</t>
  </si>
  <si>
    <t>Gross fixed capital formationNominal $m s.a.</t>
  </si>
  <si>
    <t>Gross fixed capital formationNominal q/q% s.a.</t>
  </si>
  <si>
    <t>Gross fixed capital formationNominal y/y%</t>
  </si>
  <si>
    <t>Gross fixed capital formationReal $m</t>
  </si>
  <si>
    <t>Gross fixed capital formationReal $m s.a.</t>
  </si>
  <si>
    <t>Gross fixed capital formationReal q/q% s.a.</t>
  </si>
  <si>
    <t>Gross fixed capital formationReal y/y%</t>
  </si>
  <si>
    <t>Adj</t>
  </si>
  <si>
    <t>GFCF - Other Fixed Assets (Nominal $m)</t>
  </si>
  <si>
    <t>GFCF - Other Fixed Assets (Nominal $m s.a.)</t>
  </si>
  <si>
    <t>GFCF - Other Fixed Assets (Nominal q/q% s.a.)</t>
  </si>
  <si>
    <t>GFCF - Other Fixed Assets (Nominal y/y%)</t>
  </si>
  <si>
    <t>GFCF - Other Fixed Assets (Real $m)</t>
  </si>
  <si>
    <t>GFCF - Other Fixed Assets (Real $m s.a.)</t>
  </si>
  <si>
    <t>GFCF - Other Fixed Assets (Real q/q% s.a.)</t>
  </si>
  <si>
    <t>GFCF - Other Fixed Assets (Real y/y%)</t>
  </si>
  <si>
    <t>Values</t>
  </si>
  <si>
    <t>Prices</t>
  </si>
  <si>
    <t>Volumes</t>
  </si>
  <si>
    <t>Index s.a.</t>
  </si>
  <si>
    <t>000s s.a.</t>
  </si>
  <si>
    <t>$</t>
  </si>
  <si>
    <t>000's</t>
  </si>
  <si>
    <t>Total</t>
  </si>
  <si>
    <t>Breakdown</t>
  </si>
  <si>
    <t>teak_lite</t>
  </si>
  <si>
    <t>ruby_lite</t>
  </si>
  <si>
    <t>ruby_snow</t>
  </si>
  <si>
    <t>navy_snow</t>
  </si>
  <si>
    <t>gold_snow</t>
  </si>
  <si>
    <t>NZDm (r.)</t>
  </si>
  <si>
    <t>OCR</t>
  </si>
  <si>
    <t>Style</t>
  </si>
  <si>
    <t>Dashed</t>
  </si>
  <si>
    <t>Fill</t>
  </si>
  <si>
    <t>Line</t>
  </si>
  <si>
    <t>1 year (bond)</t>
  </si>
  <si>
    <t>2 year (bond)</t>
  </si>
  <si>
    <t>5 year (bond)</t>
  </si>
  <si>
    <t>10 year (bond)</t>
  </si>
  <si>
    <t>&gt;80% LVR</t>
  </si>
  <si>
    <t>&lt;=80% LVR</t>
  </si>
  <si>
    <t>Prefix</t>
  </si>
  <si>
    <t>RM</t>
  </si>
  <si>
    <t>p</t>
  </si>
  <si>
    <t>B</t>
  </si>
  <si>
    <t>£</t>
  </si>
  <si>
    <t>¥</t>
  </si>
  <si>
    <t>€</t>
  </si>
  <si>
    <t>₩</t>
  </si>
  <si>
    <t>₹</t>
  </si>
  <si>
    <t>₱</t>
  </si>
  <si>
    <t>₫</t>
  </si>
  <si>
    <t>.0f</t>
  </si>
  <si>
    <t>number</t>
  </si>
  <si>
    <t>Operating income $m s.a.</t>
  </si>
  <si>
    <t>Operating income $m</t>
  </si>
  <si>
    <t>Operating income q/q% s.a.</t>
  </si>
  <si>
    <t>Operating income y/y%</t>
  </si>
  <si>
    <t>Stocks $m</t>
  </si>
  <si>
    <t>Stocks y/y%</t>
  </si>
  <si>
    <t>Sales $m s.a.</t>
  </si>
  <si>
    <t>Sales $m</t>
  </si>
  <si>
    <t>Sales q/q% s.a.</t>
  </si>
  <si>
    <t>Sales y/y%</t>
  </si>
  <si>
    <t>black</t>
  </si>
  <si>
    <t>Residential consents</t>
  </si>
  <si>
    <t>Terms of Trade (q/q%)</t>
  </si>
  <si>
    <t>Terms of Trade (y/y%)</t>
  </si>
  <si>
    <t>fuel</t>
  </si>
  <si>
    <t>.1f</t>
  </si>
  <si>
    <t>navyspread</t>
  </si>
  <si>
    <t xml:space="preserve">NZDm </t>
  </si>
  <si>
    <t>Residential Building Consents (s.a.)</t>
  </si>
  <si>
    <t>Residential Building Consents (q/q% s.a.)</t>
  </si>
  <si>
    <t>Residential buildings (GDP) (Real $m)</t>
  </si>
  <si>
    <t>Residential buildings (GDP) (Real $m s.a.)</t>
  </si>
  <si>
    <t>Residential buildings (GDP) (Real q/q% s.a)</t>
  </si>
  <si>
    <t>Residential buildings (GDP) (Real y/y%)</t>
  </si>
  <si>
    <t>Other fixed assets (GDP) (Real $m)</t>
  </si>
  <si>
    <t>Other fixed assets (GDP) (Real $m s.a.)</t>
  </si>
  <si>
    <t>Other fixed assets (GDP) (Real q/q% s.a.)</t>
  </si>
  <si>
    <t>Other fixed assets (GDP) (Real y/y%)</t>
  </si>
  <si>
    <t>,d</t>
  </si>
  <si>
    <t>GDPReal $m</t>
  </si>
  <si>
    <t>GDP</t>
  </si>
  <si>
    <t>GDPReal $m s.a.</t>
  </si>
  <si>
    <t>GDPReal q/q% s.a.</t>
  </si>
  <si>
    <t>GDPReal y/y%</t>
  </si>
  <si>
    <t>GDPNominal $m</t>
  </si>
  <si>
    <t>GDPNominal $m s.a.</t>
  </si>
  <si>
    <t>GDPNominal q/q% s.a.</t>
  </si>
  <si>
    <t>GDPNominal y/y%</t>
  </si>
  <si>
    <t>GNE (Nominal $m)</t>
  </si>
  <si>
    <t>GNE (Nominal $m s.a.)</t>
  </si>
  <si>
    <t>GNE (Nominal q/q% s.a.)</t>
  </si>
  <si>
    <t>GNE (Nominal y/y%)</t>
  </si>
  <si>
    <t>GNE (Real $m)</t>
  </si>
  <si>
    <t>GNE (Real $m s.a.)</t>
  </si>
  <si>
    <t>GNE (Real q/q% s.a.)</t>
  </si>
  <si>
    <t>GNE (Real y/y%)</t>
  </si>
  <si>
    <t>GFCF - Residential (Nominal $m)</t>
  </si>
  <si>
    <t>GFCF - Residential (Nominal $m s.a.)</t>
  </si>
  <si>
    <t>GFCF - Residential (Nominal q/q% s.a.)</t>
  </si>
  <si>
    <t>GFCF - Residential (Nominal y/y%)</t>
  </si>
  <si>
    <t>GFCF - Residential (Real $m)</t>
  </si>
  <si>
    <t>GFCF - Residential (Real $m s.a.)</t>
  </si>
  <si>
    <t>GFCF - Residential (Real q/q% s.a.)</t>
  </si>
  <si>
    <t>GFCF - Residential (Real y/y%)</t>
  </si>
  <si>
    <t>GDP - Production (Real $m)</t>
  </si>
  <si>
    <t>GDP - Production (Real $m s.a.)</t>
  </si>
  <si>
    <t>GDP - Production (Real q/q% s.a.)</t>
  </si>
  <si>
    <t>GDP - Production (Real y/y%)</t>
  </si>
  <si>
    <t>GDP - Expenditure (Nominal $m)</t>
  </si>
  <si>
    <t>GDP - Expenditure (Nominal $m s.a.)</t>
  </si>
  <si>
    <t>GDP - Expenditure (Nominal q/q% s.a.)</t>
  </si>
  <si>
    <t>GDP - Expenditure (Nominal y/y%)</t>
  </si>
  <si>
    <t>GDP - Expenditure (Real $m)</t>
  </si>
  <si>
    <t>GDP - Expenditure (Real $m s.a.)</t>
  </si>
  <si>
    <t>GDP - Expenditure (Real q/q% s.a.)</t>
  </si>
  <si>
    <t>GDP - Expenditure (Real y/y%)</t>
  </si>
  <si>
    <t>Private Consumption</t>
  </si>
  <si>
    <t>Private Consumption (Nominal $m))</t>
  </si>
  <si>
    <t>Private Consumption (Nominal $m s.a.)</t>
  </si>
  <si>
    <t>Private Consumption (Nominal q/q% s.a.)</t>
  </si>
  <si>
    <t>Private Consumption (Nominal y/y%)</t>
  </si>
  <si>
    <t>Private Consumption (Real $m)</t>
  </si>
  <si>
    <t>Private Consumption (Real $m s.a.)</t>
  </si>
  <si>
    <t>Private Consumption (Real q/q% s.a.)</t>
  </si>
  <si>
    <t>Private Consumption (Real y/y%)</t>
  </si>
  <si>
    <t>Government Consumption</t>
  </si>
  <si>
    <t>Government Consumption (Nominal $m)</t>
  </si>
  <si>
    <t>Government Consumption (Nominal $m s.a.)</t>
  </si>
  <si>
    <t>Government Consumption (Nominal q/q% s.a.)</t>
  </si>
  <si>
    <t>Government Consumption (Nominal y/y%)</t>
  </si>
  <si>
    <t>Government Consumption (Real $m)</t>
  </si>
  <si>
    <t>Government Consumption (Real $m s.a.)</t>
  </si>
  <si>
    <t>Government Consumption (Real q/q% s.a.)</t>
  </si>
  <si>
    <t>Government Consumption (Real y/y%)</t>
  </si>
  <si>
    <t>Export of G&amp;S (Nominal $m)</t>
  </si>
  <si>
    <t>Import/Export of G&amp;SNominal $m</t>
  </si>
  <si>
    <t>Import/Export of G&amp;S</t>
  </si>
  <si>
    <t>Export of G&amp;S (Nominal $m s.a.)</t>
  </si>
  <si>
    <t>Import/Export of G&amp;SNominal $m s.a.</t>
  </si>
  <si>
    <t>Export of G&amp;S (Nominal q/q% s.a.)</t>
  </si>
  <si>
    <t>Import/Export of G&amp;SNominal q/q% s.a.</t>
  </si>
  <si>
    <t>Export of G&amp;S (Nominal y/y%)</t>
  </si>
  <si>
    <t>Import/Export of G&amp;SNominal y/y%</t>
  </si>
  <si>
    <t>Export of G&amp;S (Real $m)</t>
  </si>
  <si>
    <t>Import/Export of G&amp;SReal $m</t>
  </si>
  <si>
    <t>Export of G&amp;S (Real $m s.a.)</t>
  </si>
  <si>
    <t>Import/Export of G&amp;SReal $m s.a.</t>
  </si>
  <si>
    <t>Export of G&amp;S (Real q/q% s.a.)</t>
  </si>
  <si>
    <t>Import/Export of G&amp;SReal q/q% s.a.</t>
  </si>
  <si>
    <t>Export of G&amp;S (Real y/y%)</t>
  </si>
  <si>
    <t>Import/Export of G&amp;SReal y/y%</t>
  </si>
  <si>
    <t>Import of G&amp;S (Nominal $m)</t>
  </si>
  <si>
    <t>Import of G&amp;S (Nominal $m s.a.)</t>
  </si>
  <si>
    <t>Import of G&amp;S (Nominal q/q% s.a.)</t>
  </si>
  <si>
    <t>Import of G&amp;S (Nominal y/y%)</t>
  </si>
  <si>
    <t>Import of G&amp;S (Real $m)</t>
  </si>
  <si>
    <t>Import of G&amp;S (Real $m s.a.)</t>
  </si>
  <si>
    <t>Import of G&amp;S (Real q/q% s.a.)</t>
  </si>
  <si>
    <t>Import of G&amp;S (Real y/y%)</t>
  </si>
  <si>
    <t>Bar</t>
  </si>
  <si>
    <t>Balance of Payments</t>
  </si>
  <si>
    <t>Balance of Payments (Total)</t>
  </si>
  <si>
    <t>International Investment Position</t>
  </si>
  <si>
    <t>Terms of Trade (Index)</t>
  </si>
  <si>
    <t>Labour Force % s.a.</t>
  </si>
  <si>
    <t>Unemployment % s.a.</t>
  </si>
  <si>
    <t>LCI Index</t>
  </si>
  <si>
    <t>LCI y/y%</t>
  </si>
  <si>
    <t>Not in Labour Force y/y%</t>
  </si>
  <si>
    <t>Working-age population %</t>
  </si>
  <si>
    <t>Private sector wages $</t>
  </si>
  <si>
    <t>Private sector wages - q/q%</t>
  </si>
  <si>
    <t>Private sector wages - y/y%</t>
  </si>
  <si>
    <t>Public sector wages - $</t>
  </si>
  <si>
    <t>Public sector wages - q/q%</t>
  </si>
  <si>
    <t>Public sector wages - y/y%</t>
  </si>
  <si>
    <t>Hourly Earnings $</t>
  </si>
  <si>
    <t>Hourly Earnings q/q%</t>
  </si>
  <si>
    <t>Hourly Earnings y/y%</t>
  </si>
  <si>
    <t>Labour Force (000s s.a.)</t>
  </si>
  <si>
    <t>Labour cost index (LCI) - y/y%</t>
  </si>
  <si>
    <t xml:space="preserve">% </t>
  </si>
  <si>
    <t>Total %</t>
  </si>
  <si>
    <t>Annual GDP growth - 2 years out</t>
  </si>
  <si>
    <t>Annual CPI growth - 1 year out</t>
  </si>
  <si>
    <t>Perception of monetary conditions (net) - 1 year out</t>
  </si>
  <si>
    <t>Perception of monetary conditions (net) - End of current quarter</t>
  </si>
  <si>
    <t>Perception of monetary conditions (net) - Next quarter</t>
  </si>
  <si>
    <t>Annual CPI growth - 2 years out</t>
  </si>
  <si>
    <t>Annual CPI growth - 5 years out</t>
  </si>
  <si>
    <t>Annual CPI growth - 10 years out</t>
  </si>
  <si>
    <t>Official Cash Rate (OCR) - End of current quarter</t>
  </si>
  <si>
    <t>Official Cash Rate (OCR) - 1 year out</t>
  </si>
  <si>
    <t>Official Cash Rate (OCR) - 10 years out</t>
  </si>
  <si>
    <t>Official Cash Rate (OCR) - 10 year average</t>
  </si>
  <si>
    <t>10 year government bond yields - End of current quarter</t>
  </si>
  <si>
    <t>10 year government bond yields - 1 year out</t>
  </si>
  <si>
    <t>Annual GDP growth - 1 year out</t>
  </si>
  <si>
    <t>Annual hourly wage growth - 1 year out</t>
  </si>
  <si>
    <t>Annual hourly wage growth - 2 years out</t>
  </si>
  <si>
    <t>Unemployment rate - 1 year out</t>
  </si>
  <si>
    <t>Unemployment rate - 2 years out</t>
  </si>
  <si>
    <t>US dollar exchange rate - Next quarter</t>
  </si>
  <si>
    <t>US dollar exchange rate - 1 year out</t>
  </si>
  <si>
    <t>Australian dollar exchange rate - Next quarter</t>
  </si>
  <si>
    <t>Australian dollar exchange rate - 1 year out</t>
  </si>
  <si>
    <t>House price index - 1 year out</t>
  </si>
  <si>
    <t>House price index - 2 years out</t>
  </si>
  <si>
    <t>Interest only</t>
  </si>
  <si>
    <t>Revolving credit</t>
  </si>
  <si>
    <t>Principal &amp; interest</t>
  </si>
  <si>
    <t>Other</t>
  </si>
  <si>
    <t>Use</t>
  </si>
  <si>
    <t>Type</t>
  </si>
  <si>
    <t>USD per Barrel</t>
  </si>
  <si>
    <t>NZD per Barrel</t>
  </si>
  <si>
    <t>Available monthly stay unit capacity</t>
  </si>
  <si>
    <t>Average guests per stay unit night</t>
  </si>
  <si>
    <t>Average nights stayed per guest</t>
  </si>
  <si>
    <t>Average stay units per establishment</t>
  </si>
  <si>
    <t>Capacity utilisation rate (%)</t>
  </si>
  <si>
    <t>Domestic guest nights</t>
  </si>
  <si>
    <t>Guest arrivals</t>
  </si>
  <si>
    <t>International guest nights</t>
  </si>
  <si>
    <t>Monthly stay unit capacity</t>
  </si>
  <si>
    <t>Number of active establishments</t>
  </si>
  <si>
    <t>Number of establishments</t>
  </si>
  <si>
    <t>Number of stay units</t>
  </si>
  <si>
    <t>Occupancy rate (%)</t>
  </si>
  <si>
    <t>Percentage of stay unit capacity available (%)</t>
  </si>
  <si>
    <t>Proportion of domestic guests (%)</t>
  </si>
  <si>
    <t>Proportion of international guests (%)"</t>
  </si>
  <si>
    <t>Stay unit nights occupied</t>
  </si>
  <si>
    <t>Total guest nights</t>
  </si>
  <si>
    <t>adp</t>
  </si>
  <si>
    <t>Palette</t>
  </si>
  <si>
    <t>ColourKey</t>
  </si>
  <si>
    <t>qual</t>
  </si>
  <si>
    <t>teal</t>
  </si>
  <si>
    <t>navy</t>
  </si>
  <si>
    <t>manual</t>
  </si>
  <si>
    <t>grey_snow</t>
  </si>
  <si>
    <t>Lodged Bonds</t>
  </si>
  <si>
    <t>Active Bonds</t>
  </si>
  <si>
    <t>Closed Bonds</t>
  </si>
  <si>
    <t>Median Rent</t>
  </si>
  <si>
    <t>Geometric Mean Rent</t>
  </si>
  <si>
    <t>Upper Quartile Rent</t>
  </si>
  <si>
    <t>Lower Quartile Rent</t>
  </si>
  <si>
    <t>Log Std Dev Weekly Rent</t>
  </si>
  <si>
    <t>bond</t>
  </si>
  <si>
    <t>line</t>
  </si>
  <si>
    <t>border</t>
  </si>
  <si>
    <t>TotalPassengers</t>
  </si>
  <si>
    <t>ID</t>
  </si>
  <si>
    <t>Class_1</t>
  </si>
  <si>
    <t>Class_2</t>
  </si>
  <si>
    <t>Class_3</t>
  </si>
  <si>
    <t>Name</t>
  </si>
  <si>
    <t>GDP-Production (Real $m)</t>
  </si>
  <si>
    <t>GDP-Production (Real $m s.a.)</t>
  </si>
  <si>
    <t>GDP-Production (Real q/q% s.a.)</t>
  </si>
  <si>
    <t>GDP-Production (Real y/y%)</t>
  </si>
  <si>
    <t>GDP-Expenditure (Nominal $m)</t>
  </si>
  <si>
    <t>GDP-Expenditure (Nominal $m s.a.)</t>
  </si>
  <si>
    <t>GDP-Expenditure (Nominal q/q% s.a.)</t>
  </si>
  <si>
    <t>GDP-Expenditure (Nominal y/y%)</t>
  </si>
  <si>
    <t>GDP-Expenditure (Real $m)</t>
  </si>
  <si>
    <t>GDP-Expenditure (Real $m s.a.)</t>
  </si>
  <si>
    <t>GDP-Expenditure (Real q/q% s.a.)</t>
  </si>
  <si>
    <t>GDP-Expenditure (Real y/y%)</t>
  </si>
  <si>
    <t xml:space="preserve">Private Consumption (Nominal $m) </t>
  </si>
  <si>
    <t>GFCF - Other (Nominal $m)</t>
  </si>
  <si>
    <t>GFCF - Other (Nominal $m s.a.)</t>
  </si>
  <si>
    <t>GFCF - Other (Nominal q/q% s.a.)</t>
  </si>
  <si>
    <t>GFCF - Other (Nominal y/y%)</t>
  </si>
  <si>
    <t>GFCF - Other (Real $m)</t>
  </si>
  <si>
    <t>GFCF - Other (Real $m s.a.)</t>
  </si>
  <si>
    <t>GFCF - Other (Real q/q% s.a.)</t>
  </si>
  <si>
    <t>GFCF - Other (Real y/y%)</t>
  </si>
  <si>
    <t>GNE  (Nominal $m)</t>
  </si>
  <si>
    <t>GNE  (Nominal $m s.a.)</t>
  </si>
  <si>
    <t>GNE  (Nominal q/q% s.a.)</t>
  </si>
  <si>
    <t>GNE  (Nominal y/y%)</t>
  </si>
  <si>
    <t>GNE  (Real $m)</t>
  </si>
  <si>
    <t>GNE  (Real $m s.a.)</t>
  </si>
  <si>
    <t>GNE  (Real q/q% s.a.)</t>
  </si>
  <si>
    <t>GNE  (Real y/y%)</t>
  </si>
  <si>
    <t>Exports G&amp;S (Nominal $m)</t>
  </si>
  <si>
    <t>Exports G&amp;S (Nominal $m s.a.)</t>
  </si>
  <si>
    <t>Exports G&amp;S (Nominal q/q% s.a.)</t>
  </si>
  <si>
    <t>Exports G&amp;S (Nominal y/y%)</t>
  </si>
  <si>
    <t>Exports G&amp;S (Real $m)</t>
  </si>
  <si>
    <t>Exports G&amp;S (Real $m s.a.)</t>
  </si>
  <si>
    <t>Exports G&amp;S (Real q/q% s.a.)</t>
  </si>
  <si>
    <t>Exports G&amp;S (Real y/y%)</t>
  </si>
  <si>
    <t>Import G&amp;S (Nominal $m)</t>
  </si>
  <si>
    <t>Import G&amp;S (Nominal $m s.a.)</t>
  </si>
  <si>
    <t>Import G&amp;S (Nominal q/q% s.a.)</t>
  </si>
  <si>
    <t>Import G&amp;S (Nominal y/y%)</t>
  </si>
  <si>
    <t>Import G&amp;S (Real $m)</t>
  </si>
  <si>
    <t>Import G&amp;S (Real $m s.a.)</t>
  </si>
  <si>
    <t>Import G&amp;S (Real q/q% s.a.)</t>
  </si>
  <si>
    <t>Import G&amp;S (Real y/y%)</t>
  </si>
  <si>
    <t>Export values $m s.a.</t>
  </si>
  <si>
    <t>Values ($m s.a.)</t>
  </si>
  <si>
    <t>Import values $m s.a.</t>
  </si>
  <si>
    <t>Export values $m</t>
  </si>
  <si>
    <t>Values ($m)</t>
  </si>
  <si>
    <t>Import values $m</t>
  </si>
  <si>
    <t>Export values q/q% s.a.</t>
  </si>
  <si>
    <t>Values (q/q% s.a.)</t>
  </si>
  <si>
    <t>Import values q/q% s.a.</t>
  </si>
  <si>
    <t>Export values y/y%</t>
  </si>
  <si>
    <t>Values (y/y%)</t>
  </si>
  <si>
    <t>Import values y/y%</t>
  </si>
  <si>
    <t>Export prices Index</t>
  </si>
  <si>
    <t>Prices (Index)</t>
  </si>
  <si>
    <t>Import prices Index</t>
  </si>
  <si>
    <t>Export prices q/q%</t>
  </si>
  <si>
    <t>Prices (q/q%)</t>
  </si>
  <si>
    <t>Import prices q/q%</t>
  </si>
  <si>
    <t>Export prices y/y%</t>
  </si>
  <si>
    <t>Prices (y/y%)</t>
  </si>
  <si>
    <t>Import prices y/y%</t>
  </si>
  <si>
    <t>Export volumes Index</t>
  </si>
  <si>
    <t>Volumes (Index)</t>
  </si>
  <si>
    <t>Import volumes Index</t>
  </si>
  <si>
    <t>Export volumes q/q% s.a.</t>
  </si>
  <si>
    <t>Volumes (q/q% s.a.)</t>
  </si>
  <si>
    <t>Import volumes q/q% s.a.</t>
  </si>
  <si>
    <t>Export volumes y/y%</t>
  </si>
  <si>
    <t>Volumes (y/y%)</t>
  </si>
  <si>
    <t>Import volumes y/y%</t>
  </si>
  <si>
    <t>Export volumes Index s.a.</t>
  </si>
  <si>
    <t>Volumes (Index s.a.)</t>
  </si>
  <si>
    <t>Import volumes Index s.a.</t>
  </si>
  <si>
    <t>Labour force participation rate	 - % s.a.</t>
  </si>
  <si>
    <t>Unemployment rate	 - % s.a.</t>
  </si>
  <si>
    <t>Not in labour force - 000s s.a.</t>
  </si>
  <si>
    <t>Working-age population - 000s s.a.</t>
  </si>
  <si>
    <t>Labour cost index (LCI) - Index</t>
  </si>
  <si>
    <t>Not in labour force - y/y%</t>
  </si>
  <si>
    <t>Working-age population - y/y%</t>
  </si>
  <si>
    <t>Labour force - Employed (y/y%)</t>
  </si>
  <si>
    <t>Labour force - Unemployed (y/y%)</t>
  </si>
  <si>
    <t>Labour force - Total (y/y%)</t>
  </si>
  <si>
    <t>Labour force - Employed (000s s.a.)</t>
  </si>
  <si>
    <t>Labour force - Unemployed (000s s.a.)</t>
  </si>
  <si>
    <t>Labour force - Total (000s s.a.)</t>
  </si>
  <si>
    <t>Private sector wages - $</t>
  </si>
  <si>
    <t>Average hourly earnings (ordinary time and overtime)	 - $</t>
  </si>
  <si>
    <t>Average hourly earnings (ordinary time and overtime)	 - q/q%</t>
  </si>
  <si>
    <t>Average hourly earnings (ordinary time and overtime)	 - y/y%</t>
  </si>
  <si>
    <t>Overdrafts</t>
  </si>
  <si>
    <t>Credit cards</t>
  </si>
  <si>
    <t>Term loans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</si>
</sst>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8"/>
      <color theme="1"/>
      <name val="Arial"/>
      <family val="2"/>
    </font>
    <font>
      <sz val="11"/>
      <color indexed="8"/>
      <name val="Aptos Narrow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u/>
      <sz val="8"/>
      <color indexed="12"/>
      <name val="Consolas"/>
      <family val="3"/>
    </font>
    <font>
      <sz val="10"/>
      <name val="Arial"/>
      <family val="2"/>
    </font>
    <font>
      <u/>
      <sz val="8"/>
      <color indexed="12"/>
      <name val="Consolas"/>
      <family val="3"/>
    </font>
    <font>
      <b/>
      <sz val="10"/>
      <color theme="0"/>
      <name val="Arial"/>
      <family val="2"/>
    </font>
    <font>
      <sz val="11"/>
      <color theme="0"/>
      <name val="Aptos Narrow"/>
      <family val="2"/>
      <scheme val="minor"/>
    </font>
    <font>
      <sz val="8"/>
      <name val="Arial"/>
      <family val="2"/>
    </font>
    <font>
      <sz val="10"/>
      <color theme="1"/>
      <name val="Arial Unicode MS"/>
    </font>
    <font>
      <sz val="11"/>
      <color theme="1"/>
      <name val="Consolas"/>
      <family val="3"/>
    </font>
  </fonts>
  <fills count="10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0">
    <xf numFmtId="0" fontId="0" fillId="0" borderId="0" xfId="0"/>
    <xf numFmtId="0" fontId="2" fillId="0" borderId="0" xfId="1" applyFont="1" applyAlignment="1">
      <alignment horizontal="left" vertical="top" wrapText="1"/>
    </xf>
    <xf numFmtId="0" fontId="1" fillId="0" borderId="0" xfId="1"/>
    <xf numFmtId="0" fontId="3" fillId="0" borderId="0" xfId="1" applyFont="1" applyAlignment="1">
      <alignment horizontal="left" vertical="top" wrapText="1"/>
    </xf>
    <xf numFmtId="0" fontId="4" fillId="0" borderId="0" xfId="1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7" fillId="2" borderId="0" xfId="1" applyFont="1" applyFill="1" applyAlignment="1">
      <alignment horizontal="left" vertical="top" wrapText="1"/>
    </xf>
    <xf numFmtId="0" fontId="7" fillId="3" borderId="0" xfId="1" applyFont="1" applyFill="1" applyAlignment="1">
      <alignment horizontal="left" vertical="top" wrapText="1"/>
    </xf>
    <xf numFmtId="0" fontId="8" fillId="3" borderId="0" xfId="1" applyFont="1" applyFill="1"/>
    <xf numFmtId="0" fontId="3" fillId="4" borderId="0" xfId="1" applyFont="1" applyFill="1" applyAlignment="1">
      <alignment horizontal="left" vertical="top" wrapText="1"/>
    </xf>
    <xf numFmtId="0" fontId="3" fillId="5" borderId="0" xfId="1" applyFont="1" applyFill="1" applyAlignment="1">
      <alignment horizontal="left" vertical="top" wrapText="1"/>
    </xf>
    <xf numFmtId="0" fontId="3" fillId="6" borderId="0" xfId="1" applyFont="1" applyFill="1" applyAlignment="1">
      <alignment horizontal="left" vertical="top" wrapText="1"/>
    </xf>
    <xf numFmtId="0" fontId="3" fillId="7" borderId="0" xfId="1" applyFont="1" applyFill="1" applyAlignment="1">
      <alignment horizontal="left" vertical="top" wrapText="1"/>
    </xf>
    <xf numFmtId="0" fontId="3" fillId="8" borderId="0" xfId="1" applyFont="1" applyFill="1" applyAlignment="1">
      <alignment horizontal="left" vertical="top" wrapText="1"/>
    </xf>
    <xf numFmtId="0" fontId="1" fillId="9" borderId="0" xfId="1" applyFill="1"/>
    <xf numFmtId="0" fontId="3" fillId="0" borderId="0" xfId="0" applyFont="1" applyAlignment="1">
      <alignment horizontal="left" vertical="top" wrapText="1"/>
    </xf>
    <xf numFmtId="0" fontId="10" fillId="0" borderId="0" xfId="0" applyFont="1" applyAlignment="1">
      <alignment vertical="center"/>
    </xf>
    <xf numFmtId="0" fontId="4" fillId="0" borderId="0" xfId="0" applyFont="1" applyAlignment="1">
      <alignment horizontal="left" vertical="top" wrapText="1"/>
    </xf>
    <xf numFmtId="0" fontId="11" fillId="0" borderId="0" xfId="0" applyFont="1" applyAlignment="1">
      <alignment vertical="center"/>
    </xf>
  </cellXfs>
  <cellStyles count="2">
    <cellStyle name="Normal" xfId="0" builtinId="0"/>
    <cellStyle name="Normal 2" xfId="1" xr:uid="{255C4D28-8BBA-4830-B651-FCBD9B42BF9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CSV2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3868B"/>
      </a:accent1>
      <a:accent2>
        <a:srgbClr val="141F52"/>
      </a:accent2>
      <a:accent3>
        <a:srgbClr val="8B2323"/>
      </a:accent3>
      <a:accent4>
        <a:srgbClr val="F97A1F"/>
      </a:accent4>
      <a:accent5>
        <a:srgbClr val="F9C31F"/>
      </a:accent5>
      <a:accent6>
        <a:srgbClr val="92BAB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1F0BF-F4F4-4018-91DD-7578A3106959}">
  <sheetPr filterMode="1"/>
  <dimension ref="A1:R443"/>
  <sheetViews>
    <sheetView zoomScale="70" zoomScaleNormal="70" workbookViewId="0">
      <pane ySplit="1" topLeftCell="A381" activePane="bottomLeft" state="frozen"/>
      <selection pane="bottomLeft" sqref="A1:M443"/>
    </sheetView>
  </sheetViews>
  <sheetFormatPr defaultRowHeight="14.25"/>
  <cols>
    <col min="1" max="1" width="8.6640625" style="2"/>
    <col min="2" max="2" width="25.6640625" style="2" customWidth="1" collapsed="1"/>
    <col min="3" max="3" width="30.6640625" style="2" customWidth="1"/>
    <col min="4" max="4" width="28.08203125" style="2" customWidth="1"/>
    <col min="5" max="5" width="41" style="2" customWidth="1"/>
    <col min="6" max="6" width="33.6640625" style="2" customWidth="1"/>
    <col min="7" max="7" width="24.4140625" style="2" customWidth="1" collapsed="1"/>
    <col min="8" max="8" width="24.1640625" style="2" customWidth="1"/>
    <col min="9" max="9" width="14.83203125" style="2" customWidth="1"/>
    <col min="10" max="10" width="18.1640625" style="2" customWidth="1"/>
    <col min="11" max="13" width="17.33203125" style="2" customWidth="1"/>
    <col min="14" max="14" width="60.6640625" style="2" customWidth="1" collapsed="1"/>
    <col min="15" max="15" width="58.6640625" style="2" customWidth="1" collapsed="1"/>
    <col min="16" max="16" width="8.6640625" style="2"/>
    <col min="17" max="17" width="18.1640625" style="2" customWidth="1"/>
    <col min="18" max="18" width="17.33203125" style="2" customWidth="1"/>
    <col min="19" max="16384" width="8.6640625" style="2"/>
  </cols>
  <sheetData>
    <row r="1" spans="1:15">
      <c r="A1" s="7" t="s">
        <v>42</v>
      </c>
      <c r="B1" s="7" t="s">
        <v>1097</v>
      </c>
      <c r="C1" s="7" t="s">
        <v>1101</v>
      </c>
      <c r="D1" s="7" t="s">
        <v>1098</v>
      </c>
      <c r="E1" s="7" t="s">
        <v>1099</v>
      </c>
      <c r="F1" s="7" t="s">
        <v>1100</v>
      </c>
      <c r="G1" s="7" t="s">
        <v>3</v>
      </c>
      <c r="H1" s="7" t="s">
        <v>47</v>
      </c>
      <c r="I1" s="7" t="s">
        <v>730</v>
      </c>
      <c r="J1" s="7" t="s">
        <v>1078</v>
      </c>
      <c r="K1" s="7" t="s">
        <v>1079</v>
      </c>
      <c r="L1" s="7" t="s">
        <v>870</v>
      </c>
      <c r="M1" s="7" t="s">
        <v>880</v>
      </c>
      <c r="N1" s="7" t="s">
        <v>0</v>
      </c>
      <c r="O1" s="7" t="s">
        <v>1</v>
      </c>
    </row>
    <row r="2" spans="1:15" hidden="1">
      <c r="A2" s="8"/>
      <c r="B2" s="8"/>
      <c r="C2" s="8"/>
      <c r="D2" s="8"/>
      <c r="E2" s="8"/>
      <c r="F2" s="8"/>
      <c r="G2" s="8"/>
      <c r="H2" s="8"/>
      <c r="I2" s="8"/>
      <c r="J2" s="9"/>
      <c r="K2" s="9"/>
      <c r="L2" s="9"/>
      <c r="M2" s="9"/>
      <c r="N2" s="8"/>
      <c r="O2" s="8"/>
    </row>
    <row r="3" spans="1:15">
      <c r="A3" s="2" t="s">
        <v>114</v>
      </c>
      <c r="B3" s="6" t="s">
        <v>57</v>
      </c>
      <c r="C3" s="5" t="s">
        <v>56</v>
      </c>
      <c r="D3" s="5" t="s">
        <v>58</v>
      </c>
      <c r="E3" s="5" t="s">
        <v>55</v>
      </c>
      <c r="F3" s="5" t="s">
        <v>56</v>
      </c>
      <c r="G3" s="5" t="s">
        <v>58</v>
      </c>
      <c r="H3" s="2" t="s">
        <v>55</v>
      </c>
      <c r="I3" s="2" t="s">
        <v>891</v>
      </c>
      <c r="J3" s="3" t="s">
        <v>1080</v>
      </c>
      <c r="K3" s="3" t="s">
        <v>903</v>
      </c>
      <c r="L3" s="3" t="s">
        <v>873</v>
      </c>
      <c r="N3" s="5" t="s">
        <v>55</v>
      </c>
      <c r="O3" s="5" t="s">
        <v>56</v>
      </c>
    </row>
    <row r="4" spans="1:15">
      <c r="A4" s="2" t="s">
        <v>114</v>
      </c>
      <c r="B4" s="18" t="s">
        <v>61</v>
      </c>
      <c r="C4" s="5" t="s">
        <v>60</v>
      </c>
      <c r="D4" s="16" t="s">
        <v>62</v>
      </c>
      <c r="E4" s="5" t="s">
        <v>59</v>
      </c>
      <c r="F4" s="5" t="s">
        <v>60</v>
      </c>
      <c r="G4" s="5" t="s">
        <v>62</v>
      </c>
      <c r="H4" s="2" t="s">
        <v>732</v>
      </c>
      <c r="I4" s="2" t="s">
        <v>731</v>
      </c>
      <c r="J4" s="3" t="s">
        <v>1080</v>
      </c>
      <c r="K4" s="3" t="s">
        <v>903</v>
      </c>
      <c r="L4" s="3" t="s">
        <v>873</v>
      </c>
      <c r="M4" s="2" t="s">
        <v>859</v>
      </c>
      <c r="N4" s="5" t="s">
        <v>59</v>
      </c>
      <c r="O4" s="5" t="s">
        <v>60</v>
      </c>
    </row>
    <row r="5" spans="1:15">
      <c r="A5" s="2" t="s">
        <v>114</v>
      </c>
      <c r="B5" s="6" t="s">
        <v>64</v>
      </c>
      <c r="C5" s="5" t="s">
        <v>63</v>
      </c>
      <c r="D5" s="5" t="s">
        <v>65</v>
      </c>
      <c r="E5" s="5" t="s">
        <v>59</v>
      </c>
      <c r="F5" s="5" t="s">
        <v>63</v>
      </c>
      <c r="G5" s="5" t="s">
        <v>65</v>
      </c>
      <c r="H5" s="2" t="s">
        <v>733</v>
      </c>
      <c r="I5" s="2" t="s">
        <v>731</v>
      </c>
      <c r="J5" s="3" t="s">
        <v>1080</v>
      </c>
      <c r="K5" s="3" t="s">
        <v>903</v>
      </c>
      <c r="L5" s="3" t="s">
        <v>873</v>
      </c>
      <c r="M5" s="2" t="s">
        <v>884</v>
      </c>
      <c r="N5" s="5" t="s">
        <v>59</v>
      </c>
      <c r="O5" s="5" t="s">
        <v>63</v>
      </c>
    </row>
    <row r="6" spans="1:15">
      <c r="A6" s="2" t="s">
        <v>114</v>
      </c>
      <c r="B6" s="6" t="s">
        <v>67</v>
      </c>
      <c r="C6" s="5" t="s">
        <v>66</v>
      </c>
      <c r="D6" s="5" t="s">
        <v>68</v>
      </c>
      <c r="E6" s="5" t="s">
        <v>59</v>
      </c>
      <c r="F6" s="5" t="s">
        <v>66</v>
      </c>
      <c r="G6" s="5" t="s">
        <v>68</v>
      </c>
      <c r="H6" s="2" t="s">
        <v>734</v>
      </c>
      <c r="I6" s="2" t="s">
        <v>731</v>
      </c>
      <c r="J6" s="3" t="s">
        <v>1080</v>
      </c>
      <c r="K6" s="3" t="s">
        <v>903</v>
      </c>
      <c r="L6" s="3" t="s">
        <v>873</v>
      </c>
      <c r="M6" s="2" t="s">
        <v>859</v>
      </c>
      <c r="N6" s="5" t="s">
        <v>59</v>
      </c>
      <c r="O6" s="5" t="s">
        <v>66</v>
      </c>
    </row>
    <row r="7" spans="1:15">
      <c r="A7" s="2" t="s">
        <v>114</v>
      </c>
      <c r="B7" s="6" t="s">
        <v>70</v>
      </c>
      <c r="C7" s="5" t="s">
        <v>69</v>
      </c>
      <c r="D7" s="5" t="s">
        <v>71</v>
      </c>
      <c r="E7" s="5" t="s">
        <v>59</v>
      </c>
      <c r="F7" s="5" t="s">
        <v>69</v>
      </c>
      <c r="G7" s="5" t="s">
        <v>71</v>
      </c>
      <c r="H7" s="2" t="s">
        <v>735</v>
      </c>
      <c r="I7" s="2" t="s">
        <v>891</v>
      </c>
      <c r="J7" s="3" t="s">
        <v>1080</v>
      </c>
      <c r="K7" s="3" t="s">
        <v>903</v>
      </c>
      <c r="L7" s="3" t="s">
        <v>873</v>
      </c>
      <c r="M7" s="2" t="s">
        <v>885</v>
      </c>
      <c r="N7" s="5" t="s">
        <v>59</v>
      </c>
      <c r="O7" s="5" t="s">
        <v>69</v>
      </c>
    </row>
    <row r="8" spans="1:15">
      <c r="A8" s="2" t="s">
        <v>114</v>
      </c>
      <c r="B8" s="6" t="s">
        <v>116</v>
      </c>
      <c r="C8" s="5" t="s">
        <v>115</v>
      </c>
      <c r="D8" s="5" t="s">
        <v>117</v>
      </c>
      <c r="E8" s="5" t="s">
        <v>59</v>
      </c>
      <c r="F8" s="5" t="s">
        <v>115</v>
      </c>
      <c r="G8" s="5" t="s">
        <v>117</v>
      </c>
      <c r="H8" s="2" t="s">
        <v>736</v>
      </c>
      <c r="I8" s="2" t="s">
        <v>731</v>
      </c>
      <c r="J8" s="3" t="s">
        <v>1080</v>
      </c>
      <c r="K8" s="3" t="s">
        <v>903</v>
      </c>
      <c r="L8" s="3" t="s">
        <v>873</v>
      </c>
      <c r="M8" s="2" t="s">
        <v>886</v>
      </c>
      <c r="N8" s="5" t="s">
        <v>59</v>
      </c>
      <c r="O8" s="5" t="s">
        <v>115</v>
      </c>
    </row>
    <row r="9" spans="1:15">
      <c r="A9" s="2" t="s">
        <v>114</v>
      </c>
      <c r="B9" s="6" t="s">
        <v>76</v>
      </c>
      <c r="C9" s="5" t="s">
        <v>75</v>
      </c>
      <c r="D9" s="5" t="s">
        <v>77</v>
      </c>
      <c r="E9" s="5" t="s">
        <v>59</v>
      </c>
      <c r="F9" s="5" t="s">
        <v>75</v>
      </c>
      <c r="G9" s="5" t="s">
        <v>77</v>
      </c>
      <c r="H9" s="2" t="s">
        <v>737</v>
      </c>
      <c r="I9" s="2" t="s">
        <v>731</v>
      </c>
      <c r="J9" s="3" t="s">
        <v>1080</v>
      </c>
      <c r="K9" s="3" t="s">
        <v>903</v>
      </c>
      <c r="L9" s="3" t="s">
        <v>873</v>
      </c>
      <c r="M9" s="2" t="s">
        <v>859</v>
      </c>
      <c r="N9" s="5" t="s">
        <v>59</v>
      </c>
      <c r="O9" s="5" t="s">
        <v>75</v>
      </c>
    </row>
    <row r="10" spans="1:15">
      <c r="A10" s="2" t="s">
        <v>114</v>
      </c>
      <c r="B10" s="6" t="s">
        <v>79</v>
      </c>
      <c r="C10" s="5" t="s">
        <v>78</v>
      </c>
      <c r="D10" s="5" t="s">
        <v>80</v>
      </c>
      <c r="E10" s="5" t="s">
        <v>59</v>
      </c>
      <c r="F10" s="5" t="s">
        <v>78</v>
      </c>
      <c r="G10" s="16" t="s">
        <v>80</v>
      </c>
      <c r="H10" s="2" t="s">
        <v>738</v>
      </c>
      <c r="I10" s="2" t="s">
        <v>891</v>
      </c>
      <c r="J10" s="3" t="s">
        <v>1080</v>
      </c>
      <c r="K10" s="3" t="s">
        <v>903</v>
      </c>
      <c r="L10" s="3" t="s">
        <v>873</v>
      </c>
      <c r="M10" s="2" t="s">
        <v>887</v>
      </c>
      <c r="N10" s="5" t="s">
        <v>59</v>
      </c>
      <c r="O10" s="5" t="s">
        <v>78</v>
      </c>
    </row>
    <row r="11" spans="1:15">
      <c r="A11" s="2" t="s">
        <v>114</v>
      </c>
      <c r="B11" s="6" t="s">
        <v>82</v>
      </c>
      <c r="C11" s="5" t="s">
        <v>81</v>
      </c>
      <c r="D11" s="5" t="s">
        <v>83</v>
      </c>
      <c r="E11" s="5" t="s">
        <v>59</v>
      </c>
      <c r="F11" s="5" t="s">
        <v>81</v>
      </c>
      <c r="G11" s="5" t="s">
        <v>83</v>
      </c>
      <c r="H11" s="2" t="s">
        <v>739</v>
      </c>
      <c r="I11" s="2" t="s">
        <v>731</v>
      </c>
      <c r="J11" s="3" t="s">
        <v>1080</v>
      </c>
      <c r="K11" s="3" t="s">
        <v>903</v>
      </c>
      <c r="L11" s="3" t="s">
        <v>873</v>
      </c>
      <c r="M11" s="2" t="s">
        <v>885</v>
      </c>
      <c r="N11" s="5" t="s">
        <v>59</v>
      </c>
      <c r="O11" s="5" t="s">
        <v>81</v>
      </c>
    </row>
    <row r="12" spans="1:15">
      <c r="A12" s="2" t="s">
        <v>114</v>
      </c>
      <c r="B12" s="6" t="s">
        <v>85</v>
      </c>
      <c r="C12" s="5" t="s">
        <v>84</v>
      </c>
      <c r="D12" s="5" t="s">
        <v>86</v>
      </c>
      <c r="E12" s="5" t="s">
        <v>59</v>
      </c>
      <c r="F12" s="5" t="s">
        <v>84</v>
      </c>
      <c r="G12" s="5" t="s">
        <v>86</v>
      </c>
      <c r="H12" s="2" t="s">
        <v>740</v>
      </c>
      <c r="I12" s="2" t="s">
        <v>731</v>
      </c>
      <c r="J12" s="3" t="s">
        <v>1080</v>
      </c>
      <c r="K12" s="3" t="s">
        <v>903</v>
      </c>
      <c r="L12" s="3" t="s">
        <v>873</v>
      </c>
      <c r="M12" s="2" t="s">
        <v>881</v>
      </c>
      <c r="N12" s="5" t="s">
        <v>59</v>
      </c>
      <c r="O12" s="5" t="s">
        <v>84</v>
      </c>
    </row>
    <row r="13" spans="1:15">
      <c r="A13" s="2" t="s">
        <v>114</v>
      </c>
      <c r="B13" s="6" t="s">
        <v>88</v>
      </c>
      <c r="C13" s="5" t="s">
        <v>87</v>
      </c>
      <c r="D13" s="5" t="s">
        <v>89</v>
      </c>
      <c r="E13" s="5" t="s">
        <v>59</v>
      </c>
      <c r="F13" s="5" t="s">
        <v>87</v>
      </c>
      <c r="G13" s="5" t="s">
        <v>89</v>
      </c>
      <c r="H13" s="2" t="s">
        <v>741</v>
      </c>
      <c r="I13" s="2" t="s">
        <v>731</v>
      </c>
      <c r="J13" s="3" t="s">
        <v>1080</v>
      </c>
      <c r="K13" s="3" t="s">
        <v>903</v>
      </c>
      <c r="L13" s="3" t="s">
        <v>873</v>
      </c>
      <c r="M13" s="2" t="s">
        <v>859</v>
      </c>
      <c r="N13" s="5" t="s">
        <v>59</v>
      </c>
      <c r="O13" s="5" t="s">
        <v>87</v>
      </c>
    </row>
    <row r="14" spans="1:15">
      <c r="A14" s="2" t="s">
        <v>114</v>
      </c>
      <c r="B14" s="6" t="s">
        <v>91</v>
      </c>
      <c r="C14" s="5" t="s">
        <v>90</v>
      </c>
      <c r="D14" s="5" t="s">
        <v>92</v>
      </c>
      <c r="E14" s="5" t="s">
        <v>59</v>
      </c>
      <c r="F14" s="5" t="s">
        <v>90</v>
      </c>
      <c r="G14" s="5" t="s">
        <v>92</v>
      </c>
      <c r="H14" s="2" t="s">
        <v>742</v>
      </c>
      <c r="I14" s="2" t="s">
        <v>891</v>
      </c>
      <c r="J14" s="3" t="s">
        <v>1080</v>
      </c>
      <c r="K14" s="3" t="s">
        <v>903</v>
      </c>
      <c r="L14" s="3" t="s">
        <v>873</v>
      </c>
      <c r="M14" s="2" t="s">
        <v>882</v>
      </c>
      <c r="N14" s="5" t="s">
        <v>59</v>
      </c>
      <c r="O14" s="5" t="s">
        <v>90</v>
      </c>
    </row>
    <row r="15" spans="1:15">
      <c r="A15" s="2" t="s">
        <v>114</v>
      </c>
      <c r="B15" s="6" t="s">
        <v>94</v>
      </c>
      <c r="C15" s="5" t="s">
        <v>93</v>
      </c>
      <c r="D15" s="5" t="s">
        <v>95</v>
      </c>
      <c r="E15" s="5" t="s">
        <v>59</v>
      </c>
      <c r="F15" s="5" t="s">
        <v>93</v>
      </c>
      <c r="G15" s="5" t="s">
        <v>95</v>
      </c>
      <c r="H15" s="2" t="s">
        <v>743</v>
      </c>
      <c r="I15" s="2" t="s">
        <v>891</v>
      </c>
      <c r="J15" s="3" t="s">
        <v>1080</v>
      </c>
      <c r="K15" s="3" t="s">
        <v>903</v>
      </c>
      <c r="L15" s="3" t="s">
        <v>873</v>
      </c>
      <c r="M15" s="2" t="s">
        <v>883</v>
      </c>
      <c r="N15" s="5" t="s">
        <v>59</v>
      </c>
      <c r="O15" s="5" t="s">
        <v>93</v>
      </c>
    </row>
    <row r="16" spans="1:15">
      <c r="A16" s="2" t="s">
        <v>114</v>
      </c>
      <c r="B16" s="6" t="s">
        <v>97</v>
      </c>
      <c r="C16" s="5" t="s">
        <v>96</v>
      </c>
      <c r="D16" s="5" t="s">
        <v>98</v>
      </c>
      <c r="E16" s="5" t="s">
        <v>59</v>
      </c>
      <c r="F16" s="5" t="s">
        <v>96</v>
      </c>
      <c r="G16" s="5" t="s">
        <v>98</v>
      </c>
      <c r="H16" s="2" t="s">
        <v>744</v>
      </c>
      <c r="I16" s="2" t="s">
        <v>731</v>
      </c>
      <c r="J16" s="3" t="s">
        <v>1080</v>
      </c>
      <c r="K16" s="3" t="s">
        <v>903</v>
      </c>
      <c r="L16" s="3" t="s">
        <v>873</v>
      </c>
      <c r="M16" s="2" t="s">
        <v>859</v>
      </c>
      <c r="N16" s="5" t="s">
        <v>59</v>
      </c>
      <c r="O16" s="5" t="s">
        <v>96</v>
      </c>
    </row>
    <row r="17" spans="1:15">
      <c r="A17" s="2" t="s">
        <v>114</v>
      </c>
      <c r="B17" s="6" t="s">
        <v>100</v>
      </c>
      <c r="C17" s="5" t="s">
        <v>99</v>
      </c>
      <c r="D17" s="5" t="s">
        <v>101</v>
      </c>
      <c r="E17" s="5" t="s">
        <v>59</v>
      </c>
      <c r="F17" s="5" t="s">
        <v>99</v>
      </c>
      <c r="G17" s="5" t="s">
        <v>101</v>
      </c>
      <c r="H17" s="2" t="s">
        <v>745</v>
      </c>
      <c r="I17" s="2" t="s">
        <v>891</v>
      </c>
      <c r="J17" s="3" t="s">
        <v>1080</v>
      </c>
      <c r="K17" s="3" t="s">
        <v>903</v>
      </c>
      <c r="L17" s="3" t="s">
        <v>873</v>
      </c>
      <c r="M17" s="2" t="s">
        <v>859</v>
      </c>
      <c r="N17" s="5" t="s">
        <v>59</v>
      </c>
      <c r="O17" s="5" t="s">
        <v>99</v>
      </c>
    </row>
    <row r="18" spans="1:15">
      <c r="A18" s="2" t="s">
        <v>114</v>
      </c>
      <c r="B18" s="6" t="s">
        <v>103</v>
      </c>
      <c r="C18" s="5" t="s">
        <v>102</v>
      </c>
      <c r="D18" s="5" t="s">
        <v>104</v>
      </c>
      <c r="E18" s="5" t="s">
        <v>59</v>
      </c>
      <c r="F18" s="5" t="s">
        <v>102</v>
      </c>
      <c r="G18" s="5" t="s">
        <v>104</v>
      </c>
      <c r="H18" s="2" t="s">
        <v>746</v>
      </c>
      <c r="I18" s="2" t="s">
        <v>891</v>
      </c>
      <c r="J18" s="3" t="s">
        <v>1080</v>
      </c>
      <c r="K18" s="3" t="s">
        <v>903</v>
      </c>
      <c r="L18" s="3" t="s">
        <v>873</v>
      </c>
      <c r="M18" s="2" t="s">
        <v>888</v>
      </c>
      <c r="N18" s="5" t="s">
        <v>59</v>
      </c>
      <c r="O18" s="5" t="s">
        <v>102</v>
      </c>
    </row>
    <row r="19" spans="1:15">
      <c r="A19" s="2" t="s">
        <v>114</v>
      </c>
      <c r="B19" s="6" t="s">
        <v>106</v>
      </c>
      <c r="C19" s="5" t="s">
        <v>105</v>
      </c>
      <c r="D19" s="5" t="s">
        <v>107</v>
      </c>
      <c r="E19" s="5" t="s">
        <v>59</v>
      </c>
      <c r="F19" s="5" t="s">
        <v>105</v>
      </c>
      <c r="G19" s="5" t="s">
        <v>107</v>
      </c>
      <c r="H19" s="2" t="s">
        <v>747</v>
      </c>
      <c r="I19" s="2" t="s">
        <v>891</v>
      </c>
      <c r="J19" s="3" t="s">
        <v>1080</v>
      </c>
      <c r="K19" s="3" t="s">
        <v>903</v>
      </c>
      <c r="L19" s="3" t="s">
        <v>873</v>
      </c>
      <c r="M19" s="2" t="s">
        <v>889</v>
      </c>
      <c r="N19" s="5" t="s">
        <v>59</v>
      </c>
      <c r="O19" s="5" t="s">
        <v>105</v>
      </c>
    </row>
    <row r="20" spans="1:15">
      <c r="A20" s="2" t="s">
        <v>114</v>
      </c>
      <c r="B20" s="6" t="s">
        <v>109</v>
      </c>
      <c r="C20" s="5" t="s">
        <v>108</v>
      </c>
      <c r="D20" s="5" t="s">
        <v>110</v>
      </c>
      <c r="E20" s="5" t="s">
        <v>59</v>
      </c>
      <c r="F20" s="5" t="s">
        <v>108</v>
      </c>
      <c r="G20" s="5" t="s">
        <v>110</v>
      </c>
      <c r="H20" s="2" t="s">
        <v>748</v>
      </c>
      <c r="I20" s="2" t="s">
        <v>891</v>
      </c>
      <c r="J20" s="3" t="s">
        <v>1080</v>
      </c>
      <c r="K20" s="3" t="s">
        <v>903</v>
      </c>
      <c r="L20" s="3" t="s">
        <v>873</v>
      </c>
      <c r="M20" s="2" t="s">
        <v>890</v>
      </c>
      <c r="N20" s="5" t="s">
        <v>59</v>
      </c>
      <c r="O20" s="5" t="s">
        <v>108</v>
      </c>
    </row>
    <row r="21" spans="1:15">
      <c r="A21" s="2" t="s">
        <v>114</v>
      </c>
      <c r="B21" s="6" t="s">
        <v>113</v>
      </c>
      <c r="C21" s="5" t="s">
        <v>112</v>
      </c>
      <c r="D21" s="5" t="s">
        <v>729</v>
      </c>
      <c r="E21" s="5" t="s">
        <v>111</v>
      </c>
      <c r="F21" s="5" t="s">
        <v>112</v>
      </c>
      <c r="G21" s="5" t="s">
        <v>58</v>
      </c>
      <c r="H21" s="2" t="s">
        <v>728</v>
      </c>
      <c r="I21" s="2" t="s">
        <v>891</v>
      </c>
      <c r="J21" s="3" t="s">
        <v>1080</v>
      </c>
      <c r="K21" s="3" t="s">
        <v>903</v>
      </c>
      <c r="L21" s="3" t="s">
        <v>873</v>
      </c>
      <c r="N21" s="5" t="s">
        <v>111</v>
      </c>
      <c r="O21" s="5" t="s">
        <v>112</v>
      </c>
    </row>
    <row r="22" spans="1:15" hidden="1">
      <c r="A22" s="8"/>
      <c r="B22" s="8"/>
      <c r="C22" s="8"/>
      <c r="D22" s="8"/>
      <c r="E22" s="8"/>
      <c r="F22" s="8"/>
      <c r="G22" s="8"/>
      <c r="H22" s="8"/>
      <c r="I22" s="8" t="s">
        <v>731</v>
      </c>
      <c r="J22" s="9"/>
      <c r="K22" s="9"/>
      <c r="L22" s="9"/>
      <c r="M22" s="9"/>
      <c r="N22" s="8" t="s">
        <v>213</v>
      </c>
      <c r="O22" s="8"/>
    </row>
    <row r="23" spans="1:15">
      <c r="A23" s="2" t="s">
        <v>213</v>
      </c>
      <c r="B23" s="2" t="s">
        <v>120</v>
      </c>
      <c r="C23" s="2" t="s">
        <v>119</v>
      </c>
      <c r="D23" s="2" t="s">
        <v>869</v>
      </c>
      <c r="E23" s="2" t="s">
        <v>119</v>
      </c>
      <c r="G23" s="2" t="s">
        <v>121</v>
      </c>
      <c r="H23" s="2" t="s">
        <v>16</v>
      </c>
      <c r="I23" s="2" t="s">
        <v>908</v>
      </c>
      <c r="J23" s="3" t="s">
        <v>1083</v>
      </c>
      <c r="K23" s="3" t="s">
        <v>1084</v>
      </c>
      <c r="L23" s="3" t="s">
        <v>872</v>
      </c>
      <c r="M23" s="3"/>
      <c r="N23" s="2" t="s">
        <v>118</v>
      </c>
      <c r="O23" s="2" t="s">
        <v>119</v>
      </c>
    </row>
    <row r="24" spans="1:15" hidden="1">
      <c r="A24" s="2" t="s">
        <v>213</v>
      </c>
      <c r="B24" s="2" t="s">
        <v>123</v>
      </c>
      <c r="G24" s="2" t="s">
        <v>121</v>
      </c>
      <c r="H24" s="2" t="s">
        <v>16</v>
      </c>
      <c r="J24" s="3"/>
      <c r="K24" s="3"/>
      <c r="L24" s="3"/>
      <c r="M24" s="3"/>
      <c r="N24" s="2" t="s">
        <v>118</v>
      </c>
      <c r="O24" s="2" t="s">
        <v>122</v>
      </c>
    </row>
    <row r="25" spans="1:15" hidden="1">
      <c r="A25" s="2" t="s">
        <v>213</v>
      </c>
      <c r="B25" s="2" t="s">
        <v>125</v>
      </c>
      <c r="G25" s="2" t="s">
        <v>121</v>
      </c>
      <c r="H25" s="2" t="s">
        <v>16</v>
      </c>
      <c r="J25" s="3"/>
      <c r="K25" s="3"/>
      <c r="L25" s="3"/>
      <c r="M25" s="3"/>
      <c r="N25" s="2" t="s">
        <v>118</v>
      </c>
      <c r="O25" s="2" t="s">
        <v>124</v>
      </c>
    </row>
    <row r="26" spans="1:15" hidden="1">
      <c r="A26" s="2" t="s">
        <v>213</v>
      </c>
      <c r="B26" s="2" t="s">
        <v>127</v>
      </c>
      <c r="G26" s="2" t="s">
        <v>121</v>
      </c>
      <c r="H26" s="2" t="s">
        <v>16</v>
      </c>
      <c r="J26" s="3"/>
      <c r="K26" s="3"/>
      <c r="L26" s="3"/>
      <c r="M26" s="3"/>
      <c r="N26" s="2" t="s">
        <v>118</v>
      </c>
      <c r="O26" s="2" t="s">
        <v>126</v>
      </c>
    </row>
    <row r="27" spans="1:15" hidden="1">
      <c r="A27" s="2" t="s">
        <v>213</v>
      </c>
      <c r="B27" s="2" t="s">
        <v>130</v>
      </c>
      <c r="G27" s="2" t="s">
        <v>121</v>
      </c>
      <c r="H27" s="2" t="s">
        <v>16</v>
      </c>
      <c r="J27" s="3"/>
      <c r="K27" s="3"/>
      <c r="L27" s="3"/>
      <c r="M27" s="3"/>
      <c r="N27" s="2" t="s">
        <v>128</v>
      </c>
      <c r="O27" s="2" t="s">
        <v>129</v>
      </c>
    </row>
    <row r="28" spans="1:15" hidden="1">
      <c r="A28" s="2" t="s">
        <v>213</v>
      </c>
      <c r="B28" s="2" t="s">
        <v>132</v>
      </c>
      <c r="G28" s="2" t="s">
        <v>121</v>
      </c>
      <c r="H28" s="2" t="s">
        <v>16</v>
      </c>
      <c r="J28" s="3"/>
      <c r="K28" s="3"/>
      <c r="L28" s="3"/>
      <c r="M28" s="3"/>
      <c r="N28" s="2" t="s">
        <v>128</v>
      </c>
      <c r="O28" s="2" t="s">
        <v>131</v>
      </c>
    </row>
    <row r="29" spans="1:15" hidden="1">
      <c r="A29" s="2" t="s">
        <v>213</v>
      </c>
      <c r="B29" s="2" t="s">
        <v>134</v>
      </c>
      <c r="G29" s="2" t="s">
        <v>121</v>
      </c>
      <c r="H29" s="2" t="s">
        <v>16</v>
      </c>
      <c r="J29" s="3"/>
      <c r="K29" s="3"/>
      <c r="L29" s="3"/>
      <c r="M29" s="3"/>
      <c r="N29" s="2" t="s">
        <v>128</v>
      </c>
      <c r="O29" s="2" t="s">
        <v>133</v>
      </c>
    </row>
    <row r="30" spans="1:15">
      <c r="A30" s="2" t="s">
        <v>213</v>
      </c>
      <c r="B30" s="2" t="s">
        <v>137</v>
      </c>
      <c r="C30" s="2" t="s">
        <v>874</v>
      </c>
      <c r="D30" s="2" t="s">
        <v>135</v>
      </c>
      <c r="E30" s="2" t="s">
        <v>136</v>
      </c>
      <c r="G30" s="2" t="s">
        <v>121</v>
      </c>
      <c r="H30" s="2" t="s">
        <v>16</v>
      </c>
      <c r="I30" s="2" t="s">
        <v>908</v>
      </c>
      <c r="J30" s="3" t="s">
        <v>1081</v>
      </c>
      <c r="K30" s="3"/>
      <c r="L30" s="3" t="s">
        <v>873</v>
      </c>
      <c r="M30" s="3"/>
      <c r="N30" s="2" t="s">
        <v>135</v>
      </c>
      <c r="O30" s="2" t="s">
        <v>136</v>
      </c>
    </row>
    <row r="31" spans="1:15">
      <c r="A31" s="2" t="s">
        <v>213</v>
      </c>
      <c r="B31" s="2" t="s">
        <v>139</v>
      </c>
      <c r="C31" s="2" t="s">
        <v>875</v>
      </c>
      <c r="D31" s="2" t="s">
        <v>135</v>
      </c>
      <c r="E31" s="2" t="s">
        <v>138</v>
      </c>
      <c r="G31" s="2" t="s">
        <v>121</v>
      </c>
      <c r="H31" s="2" t="s">
        <v>16</v>
      </c>
      <c r="I31" s="2" t="s">
        <v>908</v>
      </c>
      <c r="J31" s="3" t="s">
        <v>1081</v>
      </c>
      <c r="K31" s="3"/>
      <c r="L31" s="3" t="s">
        <v>873</v>
      </c>
      <c r="M31" s="3"/>
      <c r="N31" s="2" t="s">
        <v>135</v>
      </c>
      <c r="O31" s="2" t="s">
        <v>138</v>
      </c>
    </row>
    <row r="32" spans="1:15">
      <c r="A32" s="2" t="s">
        <v>213</v>
      </c>
      <c r="B32" s="2" t="s">
        <v>141</v>
      </c>
      <c r="C32" s="2" t="s">
        <v>876</v>
      </c>
      <c r="D32" s="2" t="s">
        <v>135</v>
      </c>
      <c r="E32" s="2" t="s">
        <v>140</v>
      </c>
      <c r="G32" s="2" t="s">
        <v>121</v>
      </c>
      <c r="H32" s="2" t="s">
        <v>16</v>
      </c>
      <c r="I32" s="2" t="s">
        <v>908</v>
      </c>
      <c r="J32" s="3" t="s">
        <v>1081</v>
      </c>
      <c r="K32" s="3"/>
      <c r="L32" s="3" t="s">
        <v>873</v>
      </c>
      <c r="M32" s="3"/>
      <c r="N32" s="2" t="s">
        <v>135</v>
      </c>
      <c r="O32" s="2" t="s">
        <v>140</v>
      </c>
    </row>
    <row r="33" spans="1:15">
      <c r="A33" s="2" t="s">
        <v>213</v>
      </c>
      <c r="B33" s="2" t="s">
        <v>143</v>
      </c>
      <c r="C33" s="2" t="s">
        <v>877</v>
      </c>
      <c r="D33" s="2" t="s">
        <v>135</v>
      </c>
      <c r="E33" s="2" t="s">
        <v>142</v>
      </c>
      <c r="G33" s="2" t="s">
        <v>121</v>
      </c>
      <c r="H33" s="2" t="s">
        <v>16</v>
      </c>
      <c r="I33" s="2" t="s">
        <v>908</v>
      </c>
      <c r="J33" s="3" t="s">
        <v>1081</v>
      </c>
      <c r="K33" s="3"/>
      <c r="L33" s="3" t="s">
        <v>873</v>
      </c>
      <c r="M33" s="3"/>
      <c r="N33" s="2" t="s">
        <v>135</v>
      </c>
      <c r="O33" s="2" t="s">
        <v>142</v>
      </c>
    </row>
    <row r="34" spans="1:15" hidden="1">
      <c r="A34" s="2" t="s">
        <v>213</v>
      </c>
      <c r="B34" s="2" t="s">
        <v>145</v>
      </c>
      <c r="G34" s="2" t="s">
        <v>16</v>
      </c>
      <c r="J34" s="3"/>
      <c r="K34" s="3"/>
      <c r="L34" s="3"/>
      <c r="M34" s="3"/>
      <c r="N34" s="2" t="s">
        <v>135</v>
      </c>
      <c r="O34" s="2" t="s">
        <v>144</v>
      </c>
    </row>
    <row r="35" spans="1:15" hidden="1">
      <c r="A35" s="2" t="s">
        <v>213</v>
      </c>
      <c r="B35" s="2" t="s">
        <v>147</v>
      </c>
      <c r="G35" s="2" t="s">
        <v>16</v>
      </c>
      <c r="J35" s="3"/>
      <c r="K35" s="3"/>
      <c r="L35" s="3"/>
      <c r="M35" s="3"/>
      <c r="N35" s="2" t="s">
        <v>135</v>
      </c>
      <c r="O35" s="2" t="s">
        <v>146</v>
      </c>
    </row>
    <row r="36" spans="1:15" hidden="1">
      <c r="A36" s="2" t="s">
        <v>213</v>
      </c>
      <c r="B36" s="2" t="s">
        <v>149</v>
      </c>
      <c r="G36" s="2" t="s">
        <v>16</v>
      </c>
      <c r="J36" s="3"/>
      <c r="K36" s="3"/>
      <c r="L36" s="3"/>
      <c r="M36" s="3"/>
      <c r="N36" s="2" t="s">
        <v>135</v>
      </c>
      <c r="O36" s="2" t="s">
        <v>148</v>
      </c>
    </row>
    <row r="37" spans="1:15" hidden="1">
      <c r="A37" s="2" t="s">
        <v>213</v>
      </c>
      <c r="B37" s="2" t="s">
        <v>151</v>
      </c>
      <c r="G37" s="2" t="s">
        <v>16</v>
      </c>
      <c r="J37" s="3"/>
      <c r="K37" s="3"/>
      <c r="L37" s="3"/>
      <c r="M37" s="3"/>
      <c r="N37" s="2" t="s">
        <v>135</v>
      </c>
      <c r="O37" s="2" t="s">
        <v>150</v>
      </c>
    </row>
    <row r="38" spans="1:15" hidden="1">
      <c r="A38" s="2" t="s">
        <v>213</v>
      </c>
      <c r="B38" s="2" t="s">
        <v>153</v>
      </c>
      <c r="G38" s="2" t="s">
        <v>16</v>
      </c>
      <c r="J38" s="3"/>
      <c r="K38" s="3"/>
      <c r="L38" s="3"/>
      <c r="M38" s="3"/>
      <c r="N38" s="2" t="s">
        <v>135</v>
      </c>
      <c r="O38" s="2" t="s">
        <v>152</v>
      </c>
    </row>
    <row r="39" spans="1:15" hidden="1">
      <c r="A39" s="2" t="s">
        <v>213</v>
      </c>
      <c r="B39" s="2" t="s">
        <v>155</v>
      </c>
      <c r="G39" s="2" t="s">
        <v>16</v>
      </c>
      <c r="J39" s="3"/>
      <c r="K39" s="3"/>
      <c r="L39" s="3"/>
      <c r="M39" s="3"/>
      <c r="N39" s="2" t="s">
        <v>135</v>
      </c>
      <c r="O39" s="2" t="s">
        <v>154</v>
      </c>
    </row>
    <row r="40" spans="1:15" hidden="1">
      <c r="A40" s="2" t="s">
        <v>213</v>
      </c>
      <c r="B40" s="2" t="s">
        <v>157</v>
      </c>
      <c r="G40" s="2" t="s">
        <v>16</v>
      </c>
      <c r="J40" s="3"/>
      <c r="K40" s="3"/>
      <c r="L40" s="3"/>
      <c r="M40" s="3"/>
      <c r="N40" s="2" t="s">
        <v>135</v>
      </c>
      <c r="O40" s="2" t="s">
        <v>156</v>
      </c>
    </row>
    <row r="41" spans="1:15" hidden="1">
      <c r="A41" s="2" t="s">
        <v>213</v>
      </c>
      <c r="B41" s="2" t="s">
        <v>159</v>
      </c>
      <c r="G41" s="2" t="s">
        <v>16</v>
      </c>
      <c r="J41" s="3"/>
      <c r="K41" s="3"/>
      <c r="L41" s="3"/>
      <c r="M41" s="3"/>
      <c r="N41" s="2" t="s">
        <v>135</v>
      </c>
      <c r="O41" s="2" t="s">
        <v>158</v>
      </c>
    </row>
    <row r="42" spans="1:15" hidden="1">
      <c r="A42" s="2" t="s">
        <v>213</v>
      </c>
      <c r="B42" s="2" t="s">
        <v>161</v>
      </c>
      <c r="G42" s="2" t="s">
        <v>16</v>
      </c>
      <c r="J42" s="3"/>
      <c r="K42" s="3"/>
      <c r="L42" s="3"/>
      <c r="M42" s="3"/>
      <c r="N42" s="2" t="s">
        <v>135</v>
      </c>
      <c r="O42" s="2" t="s">
        <v>160</v>
      </c>
    </row>
    <row r="43" spans="1:15" hidden="1">
      <c r="A43" s="2" t="s">
        <v>213</v>
      </c>
      <c r="B43" s="2" t="s">
        <v>163</v>
      </c>
      <c r="G43" s="2" t="s">
        <v>16</v>
      </c>
      <c r="J43" s="3"/>
      <c r="K43" s="3"/>
      <c r="L43" s="3"/>
      <c r="M43" s="3"/>
      <c r="N43" s="2" t="s">
        <v>135</v>
      </c>
      <c r="O43" s="2" t="s">
        <v>162</v>
      </c>
    </row>
    <row r="44" spans="1:15" hidden="1">
      <c r="A44" s="2" t="s">
        <v>213</v>
      </c>
      <c r="B44" s="2" t="s">
        <v>165</v>
      </c>
      <c r="G44" s="2" t="s">
        <v>16</v>
      </c>
      <c r="J44" s="3"/>
      <c r="K44" s="3"/>
      <c r="L44" s="3"/>
      <c r="M44" s="3"/>
      <c r="N44" s="2" t="s">
        <v>135</v>
      </c>
      <c r="O44" s="2" t="s">
        <v>164</v>
      </c>
    </row>
    <row r="45" spans="1:15" hidden="1">
      <c r="A45" s="2" t="s">
        <v>213</v>
      </c>
      <c r="B45" s="2" t="s">
        <v>167</v>
      </c>
      <c r="G45" s="2" t="s">
        <v>16</v>
      </c>
      <c r="J45" s="3"/>
      <c r="K45" s="3"/>
      <c r="L45" s="3"/>
      <c r="M45" s="3"/>
      <c r="N45" s="2" t="s">
        <v>135</v>
      </c>
      <c r="O45" s="2" t="s">
        <v>166</v>
      </c>
    </row>
    <row r="46" spans="1:15" hidden="1">
      <c r="A46" s="2" t="s">
        <v>213</v>
      </c>
      <c r="B46" s="2" t="s">
        <v>169</v>
      </c>
      <c r="G46" s="2" t="s">
        <v>16</v>
      </c>
      <c r="J46" s="3"/>
      <c r="K46" s="3"/>
      <c r="L46" s="3"/>
      <c r="M46" s="3"/>
      <c r="N46" s="2" t="s">
        <v>135</v>
      </c>
      <c r="O46" s="2" t="s">
        <v>168</v>
      </c>
    </row>
    <row r="47" spans="1:15" hidden="1">
      <c r="A47" s="2" t="s">
        <v>213</v>
      </c>
      <c r="B47" s="2" t="s">
        <v>171</v>
      </c>
      <c r="G47" s="2" t="s">
        <v>16</v>
      </c>
      <c r="J47" s="3"/>
      <c r="K47" s="3"/>
      <c r="L47" s="3"/>
      <c r="M47" s="3"/>
      <c r="N47" s="2" t="s">
        <v>135</v>
      </c>
      <c r="O47" s="2" t="s">
        <v>170</v>
      </c>
    </row>
    <row r="48" spans="1:15" hidden="1">
      <c r="A48" s="2" t="s">
        <v>213</v>
      </c>
      <c r="B48" s="2" t="s">
        <v>173</v>
      </c>
      <c r="G48" s="2" t="s">
        <v>16</v>
      </c>
      <c r="J48" s="3"/>
      <c r="K48" s="3"/>
      <c r="L48" s="3"/>
      <c r="M48" s="3"/>
      <c r="N48" s="2" t="s">
        <v>135</v>
      </c>
      <c r="O48" s="2" t="s">
        <v>172</v>
      </c>
    </row>
    <row r="49" spans="1:15" hidden="1">
      <c r="A49" s="2" t="s">
        <v>213</v>
      </c>
      <c r="B49" s="2" t="s">
        <v>175</v>
      </c>
      <c r="G49" s="2" t="s">
        <v>16</v>
      </c>
      <c r="J49" s="3"/>
      <c r="K49" s="3"/>
      <c r="L49" s="3"/>
      <c r="M49" s="3"/>
      <c r="N49" s="2" t="s">
        <v>135</v>
      </c>
      <c r="O49" s="2" t="s">
        <v>174</v>
      </c>
    </row>
    <row r="50" spans="1:15" hidden="1">
      <c r="A50" s="2" t="s">
        <v>213</v>
      </c>
      <c r="B50" s="2" t="s">
        <v>177</v>
      </c>
      <c r="G50" s="2" t="s">
        <v>16</v>
      </c>
      <c r="J50" s="3"/>
      <c r="K50" s="3"/>
      <c r="L50" s="3"/>
      <c r="M50" s="3"/>
      <c r="N50" s="2" t="s">
        <v>135</v>
      </c>
      <c r="O50" s="2" t="s">
        <v>176</v>
      </c>
    </row>
    <row r="51" spans="1:15" hidden="1">
      <c r="A51" s="2" t="s">
        <v>213</v>
      </c>
      <c r="B51" s="2" t="s">
        <v>179</v>
      </c>
      <c r="G51" s="2" t="s">
        <v>16</v>
      </c>
      <c r="J51" s="3"/>
      <c r="K51" s="3"/>
      <c r="L51" s="3"/>
      <c r="M51" s="3"/>
      <c r="N51" s="2" t="s">
        <v>135</v>
      </c>
      <c r="O51" s="2" t="s">
        <v>178</v>
      </c>
    </row>
    <row r="52" spans="1:15" hidden="1">
      <c r="A52" s="2" t="s">
        <v>213</v>
      </c>
      <c r="B52" s="2" t="s">
        <v>181</v>
      </c>
      <c r="G52" s="2" t="s">
        <v>16</v>
      </c>
      <c r="J52" s="3"/>
      <c r="K52" s="3"/>
      <c r="L52" s="3"/>
      <c r="M52" s="3"/>
      <c r="N52" s="2" t="s">
        <v>135</v>
      </c>
      <c r="O52" s="2" t="s">
        <v>180</v>
      </c>
    </row>
    <row r="53" spans="1:15" hidden="1">
      <c r="A53" s="2" t="s">
        <v>213</v>
      </c>
      <c r="B53" s="2" t="s">
        <v>183</v>
      </c>
      <c r="G53" s="2" t="s">
        <v>16</v>
      </c>
      <c r="J53" s="3"/>
      <c r="K53" s="3"/>
      <c r="L53" s="3"/>
      <c r="M53" s="3"/>
      <c r="N53" s="2" t="s">
        <v>135</v>
      </c>
      <c r="O53" s="2" t="s">
        <v>182</v>
      </c>
    </row>
    <row r="54" spans="1:15" hidden="1">
      <c r="A54" s="2" t="s">
        <v>213</v>
      </c>
      <c r="B54" s="2" t="s">
        <v>185</v>
      </c>
      <c r="G54" s="2" t="s">
        <v>16</v>
      </c>
      <c r="J54" s="3"/>
      <c r="K54" s="3"/>
      <c r="L54" s="3"/>
      <c r="M54" s="3"/>
      <c r="N54" s="2" t="s">
        <v>135</v>
      </c>
      <c r="O54" s="2" t="s">
        <v>184</v>
      </c>
    </row>
    <row r="55" spans="1:15" hidden="1">
      <c r="A55" s="2" t="s">
        <v>213</v>
      </c>
      <c r="B55" s="2" t="s">
        <v>188</v>
      </c>
      <c r="G55" s="2" t="s">
        <v>16</v>
      </c>
      <c r="J55" s="3"/>
      <c r="K55" s="3"/>
      <c r="L55" s="3"/>
      <c r="M55" s="3"/>
      <c r="N55" s="2" t="s">
        <v>186</v>
      </c>
      <c r="O55" s="2" t="s">
        <v>187</v>
      </c>
    </row>
    <row r="56" spans="1:15" hidden="1">
      <c r="A56" s="2" t="s">
        <v>213</v>
      </c>
      <c r="B56" s="2" t="s">
        <v>190</v>
      </c>
      <c r="G56" s="2" t="s">
        <v>16</v>
      </c>
      <c r="J56" s="3"/>
      <c r="K56" s="3"/>
      <c r="L56" s="3"/>
      <c r="M56" s="3"/>
      <c r="N56" s="2" t="s">
        <v>186</v>
      </c>
      <c r="O56" s="2" t="s">
        <v>189</v>
      </c>
    </row>
    <row r="57" spans="1:15" hidden="1">
      <c r="A57" s="2" t="s">
        <v>213</v>
      </c>
      <c r="B57" s="2" t="s">
        <v>192</v>
      </c>
      <c r="G57" s="2" t="s">
        <v>16</v>
      </c>
      <c r="J57" s="3"/>
      <c r="K57" s="3"/>
      <c r="L57" s="3"/>
      <c r="M57" s="3"/>
      <c r="N57" s="2" t="s">
        <v>186</v>
      </c>
      <c r="O57" s="2" t="s">
        <v>191</v>
      </c>
    </row>
    <row r="58" spans="1:15" hidden="1">
      <c r="A58" s="2" t="s">
        <v>213</v>
      </c>
      <c r="B58" s="2" t="s">
        <v>194</v>
      </c>
      <c r="G58" s="2" t="s">
        <v>16</v>
      </c>
      <c r="J58" s="3"/>
      <c r="K58" s="3"/>
      <c r="L58" s="3"/>
      <c r="M58" s="3"/>
      <c r="N58" s="2" t="s">
        <v>186</v>
      </c>
      <c r="O58" s="2" t="s">
        <v>193</v>
      </c>
    </row>
    <row r="59" spans="1:15" hidden="1">
      <c r="A59" s="2" t="s">
        <v>213</v>
      </c>
      <c r="B59" s="2" t="s">
        <v>196</v>
      </c>
      <c r="G59" s="2" t="s">
        <v>16</v>
      </c>
      <c r="J59" s="3"/>
      <c r="K59" s="3"/>
      <c r="L59" s="3"/>
      <c r="M59" s="3"/>
      <c r="N59" s="2" t="s">
        <v>186</v>
      </c>
      <c r="O59" s="2" t="s">
        <v>195</v>
      </c>
    </row>
    <row r="60" spans="1:15">
      <c r="A60" s="2" t="s">
        <v>213</v>
      </c>
      <c r="B60" s="2" t="s">
        <v>198</v>
      </c>
      <c r="C60" s="2" t="s">
        <v>778</v>
      </c>
      <c r="D60" s="2" t="s">
        <v>197</v>
      </c>
      <c r="E60" s="2" t="s">
        <v>136</v>
      </c>
      <c r="G60" s="2" t="s">
        <v>121</v>
      </c>
      <c r="H60" s="2" t="s">
        <v>16</v>
      </c>
      <c r="I60" s="2" t="s">
        <v>908</v>
      </c>
      <c r="J60" s="3" t="s">
        <v>1082</v>
      </c>
      <c r="K60" s="3"/>
      <c r="L60" s="3" t="s">
        <v>873</v>
      </c>
      <c r="M60" s="3"/>
      <c r="N60" s="2" t="s">
        <v>197</v>
      </c>
      <c r="O60" s="2" t="s">
        <v>136</v>
      </c>
    </row>
    <row r="61" spans="1:15">
      <c r="A61" s="2" t="s">
        <v>213</v>
      </c>
      <c r="B61" s="2" t="s">
        <v>199</v>
      </c>
      <c r="C61" s="2" t="s">
        <v>777</v>
      </c>
      <c r="D61" s="2" t="s">
        <v>197</v>
      </c>
      <c r="E61" s="2" t="s">
        <v>138</v>
      </c>
      <c r="G61" s="2" t="s">
        <v>121</v>
      </c>
      <c r="H61" s="2" t="s">
        <v>16</v>
      </c>
      <c r="I61" s="2" t="s">
        <v>908</v>
      </c>
      <c r="J61" s="3" t="s">
        <v>1082</v>
      </c>
      <c r="K61" s="3"/>
      <c r="L61" s="3" t="s">
        <v>873</v>
      </c>
      <c r="M61" s="3"/>
      <c r="N61" s="2" t="s">
        <v>197</v>
      </c>
      <c r="O61" s="2" t="s">
        <v>138</v>
      </c>
    </row>
    <row r="62" spans="1:15" hidden="1">
      <c r="A62" s="2" t="s">
        <v>213</v>
      </c>
      <c r="B62" s="2" t="s">
        <v>201</v>
      </c>
      <c r="G62" s="2" t="s">
        <v>121</v>
      </c>
      <c r="J62" s="3"/>
      <c r="K62" s="3"/>
      <c r="L62" s="3"/>
      <c r="M62" s="3"/>
      <c r="N62" s="2" t="s">
        <v>197</v>
      </c>
      <c r="O62" s="2" t="s">
        <v>200</v>
      </c>
    </row>
    <row r="63" spans="1:15" hidden="1">
      <c r="A63" s="2" t="s">
        <v>213</v>
      </c>
      <c r="B63" s="2" t="s">
        <v>203</v>
      </c>
      <c r="G63" s="2" t="s">
        <v>121</v>
      </c>
      <c r="J63" s="3"/>
      <c r="K63" s="3"/>
      <c r="L63" s="3"/>
      <c r="M63" s="3"/>
      <c r="N63" s="2" t="s">
        <v>197</v>
      </c>
      <c r="O63" s="2" t="s">
        <v>202</v>
      </c>
    </row>
    <row r="64" spans="1:15">
      <c r="A64" s="2" t="s">
        <v>213</v>
      </c>
      <c r="B64" s="2" t="s">
        <v>204</v>
      </c>
      <c r="C64" s="2" t="s">
        <v>779</v>
      </c>
      <c r="D64" s="2" t="s">
        <v>197</v>
      </c>
      <c r="E64" s="2" t="s">
        <v>140</v>
      </c>
      <c r="G64" s="2" t="s">
        <v>121</v>
      </c>
      <c r="H64" s="2" t="s">
        <v>16</v>
      </c>
      <c r="I64" s="2" t="s">
        <v>908</v>
      </c>
      <c r="J64" s="3" t="s">
        <v>1082</v>
      </c>
      <c r="K64" s="3"/>
      <c r="L64" s="3" t="s">
        <v>873</v>
      </c>
      <c r="M64" s="3"/>
      <c r="N64" s="2" t="s">
        <v>197</v>
      </c>
      <c r="O64" s="2" t="s">
        <v>140</v>
      </c>
    </row>
    <row r="65" spans="1:15" hidden="1">
      <c r="A65" s="2" t="s">
        <v>213</v>
      </c>
      <c r="B65" s="2" t="s">
        <v>206</v>
      </c>
      <c r="G65" s="2" t="s">
        <v>121</v>
      </c>
      <c r="J65" s="3"/>
      <c r="K65" s="3"/>
      <c r="L65" s="3"/>
      <c r="M65" s="3"/>
      <c r="N65" s="2" t="s">
        <v>197</v>
      </c>
      <c r="O65" s="2" t="s">
        <v>205</v>
      </c>
    </row>
    <row r="66" spans="1:15">
      <c r="A66" s="2" t="s">
        <v>213</v>
      </c>
      <c r="B66" s="2" t="s">
        <v>207</v>
      </c>
      <c r="C66" s="2" t="s">
        <v>780</v>
      </c>
      <c r="D66" s="2" t="s">
        <v>197</v>
      </c>
      <c r="E66" s="2" t="s">
        <v>142</v>
      </c>
      <c r="G66" s="2" t="s">
        <v>121</v>
      </c>
      <c r="H66" s="2" t="s">
        <v>16</v>
      </c>
      <c r="I66" s="2" t="s">
        <v>908</v>
      </c>
      <c r="J66" s="3" t="s">
        <v>1082</v>
      </c>
      <c r="K66" s="3"/>
      <c r="L66" s="3" t="s">
        <v>873</v>
      </c>
      <c r="M66" s="3"/>
      <c r="N66" s="2" t="s">
        <v>197</v>
      </c>
      <c r="O66" s="2" t="s">
        <v>142</v>
      </c>
    </row>
    <row r="67" spans="1:15" hidden="1">
      <c r="A67" s="2" t="s">
        <v>213</v>
      </c>
      <c r="B67" s="2" t="s">
        <v>209</v>
      </c>
      <c r="G67" s="2" t="s">
        <v>121</v>
      </c>
      <c r="J67" s="3"/>
      <c r="K67" s="3"/>
      <c r="L67" s="3"/>
      <c r="M67" s="3"/>
      <c r="N67" s="2" t="s">
        <v>197</v>
      </c>
      <c r="O67" s="2" t="s">
        <v>208</v>
      </c>
    </row>
    <row r="68" spans="1:15">
      <c r="A68" s="2" t="s">
        <v>213</v>
      </c>
      <c r="B68" s="2" t="s">
        <v>211</v>
      </c>
      <c r="C68" s="2" t="s">
        <v>210</v>
      </c>
      <c r="D68" s="2" t="s">
        <v>197</v>
      </c>
      <c r="E68" s="2" t="s">
        <v>210</v>
      </c>
      <c r="G68" s="2" t="s">
        <v>212</v>
      </c>
      <c r="H68" s="2" t="s">
        <v>212</v>
      </c>
      <c r="I68" s="2" t="s">
        <v>908</v>
      </c>
      <c r="J68" s="3" t="s">
        <v>1083</v>
      </c>
      <c r="K68" s="3" t="s">
        <v>758</v>
      </c>
      <c r="L68" s="3" t="s">
        <v>873</v>
      </c>
      <c r="M68" s="3"/>
      <c r="N68" s="2" t="s">
        <v>197</v>
      </c>
      <c r="O68" s="2" t="s">
        <v>210</v>
      </c>
    </row>
    <row r="69" spans="1:15" hidden="1">
      <c r="A69" s="8"/>
      <c r="B69" s="8"/>
      <c r="C69" s="8"/>
      <c r="D69" s="8"/>
      <c r="E69" s="8"/>
      <c r="F69" s="8"/>
      <c r="G69" s="8"/>
      <c r="H69" s="8"/>
      <c r="I69" s="8" t="s">
        <v>731</v>
      </c>
      <c r="J69" s="9" t="s">
        <v>52</v>
      </c>
      <c r="K69" s="9" t="s">
        <v>53</v>
      </c>
      <c r="L69" s="9" t="s">
        <v>873</v>
      </c>
      <c r="M69" s="9"/>
      <c r="N69" s="8" t="s">
        <v>278</v>
      </c>
      <c r="O69" s="8"/>
    </row>
    <row r="70" spans="1:15">
      <c r="A70" s="2" t="s">
        <v>278</v>
      </c>
      <c r="B70" s="2" t="s">
        <v>216</v>
      </c>
      <c r="C70" s="2" t="s">
        <v>767</v>
      </c>
      <c r="D70" s="2" t="s">
        <v>861</v>
      </c>
      <c r="E70" s="2" t="s">
        <v>767</v>
      </c>
      <c r="F70" s="2" t="s">
        <v>861</v>
      </c>
      <c r="G70" s="2" t="s">
        <v>217</v>
      </c>
      <c r="H70" s="2" t="s">
        <v>910</v>
      </c>
      <c r="I70" s="2" t="s">
        <v>921</v>
      </c>
      <c r="J70" s="3" t="s">
        <v>1083</v>
      </c>
      <c r="K70" s="3" t="s">
        <v>751</v>
      </c>
      <c r="L70" s="3" t="s">
        <v>872</v>
      </c>
      <c r="M70" s="3"/>
      <c r="N70" s="2" t="s">
        <v>214</v>
      </c>
      <c r="O70" s="2" t="s">
        <v>215</v>
      </c>
    </row>
    <row r="71" spans="1:15">
      <c r="A71" s="2" t="s">
        <v>278</v>
      </c>
      <c r="B71" s="2" t="s">
        <v>219</v>
      </c>
      <c r="C71" s="2" t="s">
        <v>768</v>
      </c>
      <c r="D71" s="2" t="s">
        <v>861</v>
      </c>
      <c r="E71" s="2" t="s">
        <v>768</v>
      </c>
      <c r="F71" s="2" t="s">
        <v>861</v>
      </c>
      <c r="G71" s="2" t="s">
        <v>217</v>
      </c>
      <c r="H71" s="2" t="s">
        <v>217</v>
      </c>
      <c r="I71" s="2" t="s">
        <v>921</v>
      </c>
      <c r="J71" s="3" t="s">
        <v>1081</v>
      </c>
      <c r="K71" s="3" t="s">
        <v>903</v>
      </c>
      <c r="L71" s="3" t="s">
        <v>873</v>
      </c>
      <c r="M71" s="3"/>
      <c r="N71" s="2" t="s">
        <v>214</v>
      </c>
      <c r="O71" s="2" t="s">
        <v>218</v>
      </c>
    </row>
    <row r="72" spans="1:15">
      <c r="A72" s="2" t="s">
        <v>278</v>
      </c>
      <c r="B72" s="2" t="s">
        <v>221</v>
      </c>
      <c r="C72" s="2" t="s">
        <v>769</v>
      </c>
      <c r="D72" s="2" t="s">
        <v>861</v>
      </c>
      <c r="E72" s="2" t="s">
        <v>769</v>
      </c>
      <c r="F72" s="2" t="s">
        <v>861</v>
      </c>
      <c r="G72" s="2" t="s">
        <v>217</v>
      </c>
      <c r="H72" s="2" t="s">
        <v>217</v>
      </c>
      <c r="I72" s="2" t="s">
        <v>921</v>
      </c>
      <c r="J72" s="3" t="s">
        <v>1081</v>
      </c>
      <c r="K72" s="3" t="s">
        <v>903</v>
      </c>
      <c r="L72" s="3" t="s">
        <v>873</v>
      </c>
      <c r="M72" s="3"/>
      <c r="N72" s="2" t="s">
        <v>214</v>
      </c>
      <c r="O72" s="2" t="s">
        <v>220</v>
      </c>
    </row>
    <row r="73" spans="1:15">
      <c r="A73" s="2" t="s">
        <v>278</v>
      </c>
      <c r="B73" s="2" t="s">
        <v>223</v>
      </c>
      <c r="C73" s="2" t="s">
        <v>770</v>
      </c>
      <c r="D73" s="2" t="s">
        <v>861</v>
      </c>
      <c r="E73" s="2" t="s">
        <v>770</v>
      </c>
      <c r="F73" s="2" t="s">
        <v>861</v>
      </c>
      <c r="G73" s="2" t="s">
        <v>217</v>
      </c>
      <c r="H73" s="2" t="s">
        <v>217</v>
      </c>
      <c r="I73" s="2" t="s">
        <v>921</v>
      </c>
      <c r="J73" s="3" t="s">
        <v>1081</v>
      </c>
      <c r="K73" s="3" t="s">
        <v>903</v>
      </c>
      <c r="L73" s="3" t="s">
        <v>873</v>
      </c>
      <c r="M73" s="3"/>
      <c r="N73" s="2" t="s">
        <v>214</v>
      </c>
      <c r="O73" s="2" t="s">
        <v>222</v>
      </c>
    </row>
    <row r="74" spans="1:15">
      <c r="A74" s="2" t="s">
        <v>278</v>
      </c>
      <c r="B74" s="2" t="s">
        <v>225</v>
      </c>
      <c r="C74" s="2" t="s">
        <v>771</v>
      </c>
      <c r="D74" s="2" t="s">
        <v>861</v>
      </c>
      <c r="E74" s="2" t="s">
        <v>771</v>
      </c>
      <c r="F74" s="2" t="s">
        <v>861</v>
      </c>
      <c r="G74" s="2" t="s">
        <v>217</v>
      </c>
      <c r="H74" s="2" t="s">
        <v>217</v>
      </c>
      <c r="I74" s="2" t="s">
        <v>921</v>
      </c>
      <c r="J74" s="3" t="s">
        <v>1081</v>
      </c>
      <c r="K74" s="3" t="s">
        <v>903</v>
      </c>
      <c r="L74" s="3" t="s">
        <v>873</v>
      </c>
      <c r="M74" s="3"/>
      <c r="N74" s="2" t="s">
        <v>214</v>
      </c>
      <c r="O74" s="2" t="s">
        <v>224</v>
      </c>
    </row>
    <row r="75" spans="1:15">
      <c r="A75" s="2" t="s">
        <v>278</v>
      </c>
      <c r="B75" s="2" t="s">
        <v>227</v>
      </c>
      <c r="C75" s="2" t="s">
        <v>772</v>
      </c>
      <c r="D75" s="2" t="s">
        <v>861</v>
      </c>
      <c r="E75" s="2" t="s">
        <v>772</v>
      </c>
      <c r="F75" s="2" t="s">
        <v>861</v>
      </c>
      <c r="G75" s="2" t="s">
        <v>217</v>
      </c>
      <c r="H75" s="2" t="s">
        <v>217</v>
      </c>
      <c r="I75" s="2" t="s">
        <v>921</v>
      </c>
      <c r="J75" s="3" t="s">
        <v>1081</v>
      </c>
      <c r="K75" s="3" t="s">
        <v>903</v>
      </c>
      <c r="L75" s="3" t="s">
        <v>873</v>
      </c>
      <c r="M75" s="3"/>
      <c r="N75" s="2" t="s">
        <v>214</v>
      </c>
      <c r="O75" s="2" t="s">
        <v>226</v>
      </c>
    </row>
    <row r="76" spans="1:15">
      <c r="A76" s="2" t="s">
        <v>278</v>
      </c>
      <c r="B76" s="2" t="s">
        <v>229</v>
      </c>
      <c r="C76" s="2" t="s">
        <v>773</v>
      </c>
      <c r="D76" s="2" t="s">
        <v>861</v>
      </c>
      <c r="E76" s="2" t="s">
        <v>773</v>
      </c>
      <c r="F76" s="2" t="s">
        <v>861</v>
      </c>
      <c r="G76" s="2" t="s">
        <v>217</v>
      </c>
      <c r="H76" s="2" t="s">
        <v>217</v>
      </c>
      <c r="I76" s="2" t="s">
        <v>921</v>
      </c>
      <c r="J76" s="3" t="s">
        <v>1081</v>
      </c>
      <c r="K76" s="3" t="s">
        <v>903</v>
      </c>
      <c r="L76" s="3" t="s">
        <v>873</v>
      </c>
      <c r="M76" s="3"/>
      <c r="N76" s="2" t="s">
        <v>214</v>
      </c>
      <c r="O76" s="2" t="s">
        <v>228</v>
      </c>
    </row>
    <row r="77" spans="1:15">
      <c r="A77" s="2" t="s">
        <v>278</v>
      </c>
      <c r="B77" s="2" t="s">
        <v>231</v>
      </c>
      <c r="C77" s="2" t="s">
        <v>774</v>
      </c>
      <c r="D77" s="2" t="s">
        <v>861</v>
      </c>
      <c r="E77" s="2" t="s">
        <v>774</v>
      </c>
      <c r="F77" s="2" t="s">
        <v>861</v>
      </c>
      <c r="G77" s="2" t="s">
        <v>217</v>
      </c>
      <c r="H77" s="2" t="s">
        <v>217</v>
      </c>
      <c r="I77" s="2" t="s">
        <v>921</v>
      </c>
      <c r="J77" s="3" t="s">
        <v>1081</v>
      </c>
      <c r="K77" s="3" t="s">
        <v>903</v>
      </c>
      <c r="L77" s="3" t="s">
        <v>873</v>
      </c>
      <c r="M77" s="3"/>
      <c r="N77" s="2" t="s">
        <v>214</v>
      </c>
      <c r="O77" s="2" t="s">
        <v>230</v>
      </c>
    </row>
    <row r="78" spans="1:15">
      <c r="A78" s="2" t="s">
        <v>278</v>
      </c>
      <c r="B78" s="2" t="s">
        <v>233</v>
      </c>
      <c r="C78" s="2" t="s">
        <v>775</v>
      </c>
      <c r="D78" s="2" t="s">
        <v>861</v>
      </c>
      <c r="E78" s="2" t="s">
        <v>775</v>
      </c>
      <c r="F78" s="2" t="s">
        <v>861</v>
      </c>
      <c r="G78" s="2" t="s">
        <v>217</v>
      </c>
      <c r="H78" s="2" t="s">
        <v>217</v>
      </c>
      <c r="I78" s="2" t="s">
        <v>921</v>
      </c>
      <c r="J78" s="3" t="s">
        <v>1081</v>
      </c>
      <c r="K78" s="3" t="s">
        <v>903</v>
      </c>
      <c r="L78" s="3" t="s">
        <v>873</v>
      </c>
      <c r="M78" s="3"/>
      <c r="N78" s="2" t="s">
        <v>214</v>
      </c>
      <c r="O78" s="2" t="s">
        <v>232</v>
      </c>
    </row>
    <row r="79" spans="1:15" hidden="1">
      <c r="A79" s="2" t="s">
        <v>278</v>
      </c>
      <c r="B79" s="2" t="s">
        <v>235</v>
      </c>
      <c r="C79" s="2" t="s">
        <v>766</v>
      </c>
      <c r="E79" s="2" t="s">
        <v>766</v>
      </c>
      <c r="G79" s="2" t="s">
        <v>217</v>
      </c>
      <c r="J79" s="3"/>
      <c r="K79" s="3"/>
      <c r="L79" s="3"/>
      <c r="M79" s="3"/>
      <c r="N79" s="2" t="s">
        <v>214</v>
      </c>
      <c r="O79" s="2" t="s">
        <v>234</v>
      </c>
    </row>
    <row r="80" spans="1:15">
      <c r="A80" s="2" t="s">
        <v>278</v>
      </c>
      <c r="B80" s="2" t="s">
        <v>238</v>
      </c>
      <c r="C80" s="2" t="s">
        <v>767</v>
      </c>
      <c r="D80" s="2" t="s">
        <v>878</v>
      </c>
      <c r="E80" s="2" t="s">
        <v>767</v>
      </c>
      <c r="F80" s="2" t="s">
        <v>862</v>
      </c>
      <c r="G80" s="2" t="s">
        <v>217</v>
      </c>
      <c r="H80" s="2" t="s">
        <v>910</v>
      </c>
      <c r="I80" s="2" t="s">
        <v>921</v>
      </c>
      <c r="J80" s="3" t="s">
        <v>1083</v>
      </c>
      <c r="K80" s="3" t="str">
        <f>K70</f>
        <v>teal_snow</v>
      </c>
      <c r="L80" s="3" t="s">
        <v>872</v>
      </c>
      <c r="M80" s="3"/>
      <c r="N80" s="2" t="s">
        <v>236</v>
      </c>
      <c r="O80" s="2" t="s">
        <v>237</v>
      </c>
    </row>
    <row r="81" spans="1:15">
      <c r="A81" s="2" t="s">
        <v>278</v>
      </c>
      <c r="B81" s="2" t="s">
        <v>240</v>
      </c>
      <c r="C81" s="2" t="s">
        <v>768</v>
      </c>
      <c r="D81" s="2" t="s">
        <v>878</v>
      </c>
      <c r="E81" s="2" t="s">
        <v>768</v>
      </c>
      <c r="F81" s="2" t="s">
        <v>862</v>
      </c>
      <c r="G81" s="2" t="s">
        <v>217</v>
      </c>
      <c r="H81" s="2" t="s">
        <v>217</v>
      </c>
      <c r="I81" s="2" t="s">
        <v>921</v>
      </c>
      <c r="J81" s="3" t="s">
        <v>1081</v>
      </c>
      <c r="K81" s="3" t="s">
        <v>903</v>
      </c>
      <c r="L81" s="3" t="s">
        <v>873</v>
      </c>
      <c r="M81" s="3"/>
      <c r="N81" s="2" t="s">
        <v>236</v>
      </c>
      <c r="O81" s="2" t="s">
        <v>239</v>
      </c>
    </row>
    <row r="82" spans="1:15">
      <c r="A82" s="2" t="s">
        <v>278</v>
      </c>
      <c r="B82" s="2" t="s">
        <v>242</v>
      </c>
      <c r="C82" s="2" t="s">
        <v>769</v>
      </c>
      <c r="D82" s="2" t="s">
        <v>878</v>
      </c>
      <c r="E82" s="2" t="s">
        <v>769</v>
      </c>
      <c r="F82" s="2" t="s">
        <v>862</v>
      </c>
      <c r="G82" s="2" t="s">
        <v>217</v>
      </c>
      <c r="H82" s="2" t="s">
        <v>217</v>
      </c>
      <c r="I82" s="2" t="s">
        <v>921</v>
      </c>
      <c r="J82" s="3" t="s">
        <v>1081</v>
      </c>
      <c r="K82" s="3" t="s">
        <v>903</v>
      </c>
      <c r="L82" s="3" t="s">
        <v>873</v>
      </c>
      <c r="M82" s="3"/>
      <c r="N82" s="2" t="s">
        <v>236</v>
      </c>
      <c r="O82" s="2" t="s">
        <v>241</v>
      </c>
    </row>
    <row r="83" spans="1:15">
      <c r="A83" s="2" t="s">
        <v>278</v>
      </c>
      <c r="B83" s="2" t="s">
        <v>244</v>
      </c>
      <c r="C83" s="2" t="s">
        <v>770</v>
      </c>
      <c r="D83" s="2" t="s">
        <v>878</v>
      </c>
      <c r="E83" s="2" t="s">
        <v>770</v>
      </c>
      <c r="F83" s="2" t="s">
        <v>862</v>
      </c>
      <c r="G83" s="2" t="s">
        <v>217</v>
      </c>
      <c r="H83" s="2" t="s">
        <v>217</v>
      </c>
      <c r="I83" s="2" t="s">
        <v>921</v>
      </c>
      <c r="J83" s="3" t="s">
        <v>1081</v>
      </c>
      <c r="K83" s="3" t="s">
        <v>903</v>
      </c>
      <c r="L83" s="3" t="s">
        <v>873</v>
      </c>
      <c r="M83" s="3"/>
      <c r="N83" s="2" t="s">
        <v>236</v>
      </c>
      <c r="O83" s="2" t="s">
        <v>243</v>
      </c>
    </row>
    <row r="84" spans="1:15">
      <c r="A84" s="2" t="s">
        <v>278</v>
      </c>
      <c r="B84" s="2" t="s">
        <v>246</v>
      </c>
      <c r="C84" s="2" t="s">
        <v>771</v>
      </c>
      <c r="D84" s="2" t="s">
        <v>878</v>
      </c>
      <c r="E84" s="2" t="s">
        <v>771</v>
      </c>
      <c r="F84" s="2" t="s">
        <v>862</v>
      </c>
      <c r="G84" s="2" t="s">
        <v>217</v>
      </c>
      <c r="H84" s="2" t="s">
        <v>217</v>
      </c>
      <c r="I84" s="2" t="s">
        <v>921</v>
      </c>
      <c r="J84" s="3" t="s">
        <v>1081</v>
      </c>
      <c r="K84" s="3" t="s">
        <v>903</v>
      </c>
      <c r="L84" s="3" t="s">
        <v>873</v>
      </c>
      <c r="M84" s="3"/>
      <c r="N84" s="2" t="s">
        <v>236</v>
      </c>
      <c r="O84" s="2" t="s">
        <v>245</v>
      </c>
    </row>
    <row r="85" spans="1:15">
      <c r="A85" s="2" t="s">
        <v>278</v>
      </c>
      <c r="B85" s="2" t="s">
        <v>248</v>
      </c>
      <c r="C85" s="2" t="s">
        <v>776</v>
      </c>
      <c r="D85" s="2" t="s">
        <v>878</v>
      </c>
      <c r="E85" s="2" t="s">
        <v>776</v>
      </c>
      <c r="F85" s="2" t="s">
        <v>862</v>
      </c>
      <c r="G85" s="2" t="s">
        <v>217</v>
      </c>
      <c r="H85" s="2" t="s">
        <v>217</v>
      </c>
      <c r="I85" s="2" t="s">
        <v>921</v>
      </c>
      <c r="J85" s="3" t="s">
        <v>1081</v>
      </c>
      <c r="K85" s="3" t="s">
        <v>903</v>
      </c>
      <c r="L85" s="3" t="s">
        <v>873</v>
      </c>
      <c r="M85" s="3"/>
      <c r="N85" s="2" t="s">
        <v>236</v>
      </c>
      <c r="O85" s="2" t="s">
        <v>247</v>
      </c>
    </row>
    <row r="86" spans="1:15">
      <c r="A86" s="2" t="s">
        <v>278</v>
      </c>
      <c r="B86" s="2" t="s">
        <v>250</v>
      </c>
      <c r="C86" s="2" t="s">
        <v>773</v>
      </c>
      <c r="D86" s="2" t="s">
        <v>878</v>
      </c>
      <c r="E86" s="2" t="s">
        <v>773</v>
      </c>
      <c r="F86" s="2" t="s">
        <v>862</v>
      </c>
      <c r="G86" s="2" t="s">
        <v>217</v>
      </c>
      <c r="H86" s="2" t="s">
        <v>217</v>
      </c>
      <c r="I86" s="2" t="s">
        <v>921</v>
      </c>
      <c r="J86" s="3" t="s">
        <v>1081</v>
      </c>
      <c r="K86" s="3" t="s">
        <v>903</v>
      </c>
      <c r="L86" s="3" t="s">
        <v>873</v>
      </c>
      <c r="M86" s="3"/>
      <c r="N86" s="2" t="s">
        <v>236</v>
      </c>
      <c r="O86" s="2" t="s">
        <v>249</v>
      </c>
    </row>
    <row r="87" spans="1:15">
      <c r="A87" s="2" t="s">
        <v>278</v>
      </c>
      <c r="B87" s="2" t="s">
        <v>252</v>
      </c>
      <c r="C87" s="2" t="s">
        <v>774</v>
      </c>
      <c r="D87" s="2" t="s">
        <v>878</v>
      </c>
      <c r="E87" s="2" t="s">
        <v>774</v>
      </c>
      <c r="F87" s="2" t="s">
        <v>862</v>
      </c>
      <c r="G87" s="2" t="s">
        <v>217</v>
      </c>
      <c r="H87" s="2" t="s">
        <v>217</v>
      </c>
      <c r="I87" s="2" t="s">
        <v>921</v>
      </c>
      <c r="J87" s="3" t="s">
        <v>1081</v>
      </c>
      <c r="K87" s="3" t="s">
        <v>903</v>
      </c>
      <c r="L87" s="3" t="s">
        <v>873</v>
      </c>
      <c r="M87" s="3"/>
      <c r="N87" s="2" t="s">
        <v>236</v>
      </c>
      <c r="O87" s="2" t="s">
        <v>251</v>
      </c>
    </row>
    <row r="88" spans="1:15">
      <c r="A88" s="2" t="s">
        <v>278</v>
      </c>
      <c r="B88" s="2" t="s">
        <v>254</v>
      </c>
      <c r="C88" s="2" t="s">
        <v>775</v>
      </c>
      <c r="D88" s="2" t="s">
        <v>878</v>
      </c>
      <c r="E88" s="2" t="s">
        <v>775</v>
      </c>
      <c r="F88" s="2" t="s">
        <v>862</v>
      </c>
      <c r="G88" s="2" t="s">
        <v>217</v>
      </c>
      <c r="H88" s="2" t="s">
        <v>217</v>
      </c>
      <c r="I88" s="2" t="s">
        <v>921</v>
      </c>
      <c r="J88" s="3" t="s">
        <v>1081</v>
      </c>
      <c r="K88" s="3" t="s">
        <v>903</v>
      </c>
      <c r="L88" s="3" t="s">
        <v>873</v>
      </c>
      <c r="M88" s="3"/>
      <c r="N88" s="2" t="s">
        <v>236</v>
      </c>
      <c r="O88" s="2" t="s">
        <v>253</v>
      </c>
    </row>
    <row r="89" spans="1:15" hidden="1">
      <c r="A89" s="2" t="s">
        <v>278</v>
      </c>
      <c r="B89" s="2" t="s">
        <v>256</v>
      </c>
      <c r="C89" s="2" t="s">
        <v>766</v>
      </c>
      <c r="E89" s="2" t="s">
        <v>766</v>
      </c>
      <c r="G89" s="2" t="s">
        <v>217</v>
      </c>
      <c r="J89" s="3"/>
      <c r="K89" s="3"/>
      <c r="L89" s="3"/>
      <c r="M89" s="3"/>
      <c r="N89" s="2" t="s">
        <v>236</v>
      </c>
      <c r="O89" s="2" t="s">
        <v>255</v>
      </c>
    </row>
    <row r="90" spans="1:15">
      <c r="A90" s="2" t="s">
        <v>278</v>
      </c>
      <c r="B90" s="2" t="s">
        <v>259</v>
      </c>
      <c r="C90" s="2" t="s">
        <v>767</v>
      </c>
      <c r="D90" s="2" t="s">
        <v>879</v>
      </c>
      <c r="E90" s="2" t="s">
        <v>767</v>
      </c>
      <c r="F90" s="2" t="s">
        <v>862</v>
      </c>
      <c r="G90" s="2" t="s">
        <v>217</v>
      </c>
      <c r="H90" s="2" t="s">
        <v>910</v>
      </c>
      <c r="I90" s="2" t="s">
        <v>921</v>
      </c>
      <c r="J90" s="3" t="s">
        <v>1083</v>
      </c>
      <c r="K90" s="3" t="str">
        <f>K80</f>
        <v>teal_snow</v>
      </c>
      <c r="L90" s="3" t="s">
        <v>872</v>
      </c>
      <c r="M90" s="3"/>
      <c r="N90" s="2" t="s">
        <v>257</v>
      </c>
      <c r="O90" s="2" t="s">
        <v>258</v>
      </c>
    </row>
    <row r="91" spans="1:15">
      <c r="A91" s="2" t="s">
        <v>278</v>
      </c>
      <c r="B91" s="2" t="s">
        <v>261</v>
      </c>
      <c r="C91" s="2" t="s">
        <v>768</v>
      </c>
      <c r="D91" s="2" t="s">
        <v>879</v>
      </c>
      <c r="E91" s="2" t="s">
        <v>768</v>
      </c>
      <c r="F91" s="2" t="s">
        <v>862</v>
      </c>
      <c r="G91" s="2" t="s">
        <v>217</v>
      </c>
      <c r="H91" s="2" t="s">
        <v>217</v>
      </c>
      <c r="I91" s="2" t="s">
        <v>921</v>
      </c>
      <c r="J91" s="3" t="s">
        <v>1081</v>
      </c>
      <c r="K91" s="3" t="s">
        <v>903</v>
      </c>
      <c r="L91" s="3" t="s">
        <v>873</v>
      </c>
      <c r="M91" s="3"/>
      <c r="N91" s="2" t="s">
        <v>257</v>
      </c>
      <c r="O91" s="2" t="s">
        <v>260</v>
      </c>
    </row>
    <row r="92" spans="1:15">
      <c r="A92" s="2" t="s">
        <v>278</v>
      </c>
      <c r="B92" s="2" t="s">
        <v>263</v>
      </c>
      <c r="C92" s="2" t="s">
        <v>769</v>
      </c>
      <c r="D92" s="2" t="s">
        <v>879</v>
      </c>
      <c r="E92" s="2" t="s">
        <v>769</v>
      </c>
      <c r="F92" s="2" t="s">
        <v>862</v>
      </c>
      <c r="G92" s="2" t="s">
        <v>217</v>
      </c>
      <c r="H92" s="2" t="s">
        <v>217</v>
      </c>
      <c r="I92" s="2" t="s">
        <v>921</v>
      </c>
      <c r="J92" s="3" t="s">
        <v>1081</v>
      </c>
      <c r="K92" s="3" t="s">
        <v>903</v>
      </c>
      <c r="L92" s="3" t="s">
        <v>873</v>
      </c>
      <c r="M92" s="3"/>
      <c r="N92" s="2" t="s">
        <v>257</v>
      </c>
      <c r="O92" s="2" t="s">
        <v>262</v>
      </c>
    </row>
    <row r="93" spans="1:15">
      <c r="A93" s="2" t="s">
        <v>278</v>
      </c>
      <c r="B93" s="2" t="s">
        <v>265</v>
      </c>
      <c r="C93" s="2" t="s">
        <v>770</v>
      </c>
      <c r="D93" s="2" t="s">
        <v>879</v>
      </c>
      <c r="E93" s="2" t="s">
        <v>770</v>
      </c>
      <c r="F93" s="2" t="s">
        <v>862</v>
      </c>
      <c r="G93" s="2" t="s">
        <v>217</v>
      </c>
      <c r="H93" s="2" t="s">
        <v>217</v>
      </c>
      <c r="I93" s="2" t="s">
        <v>921</v>
      </c>
      <c r="J93" s="3" t="s">
        <v>1081</v>
      </c>
      <c r="K93" s="3" t="s">
        <v>903</v>
      </c>
      <c r="L93" s="3" t="s">
        <v>873</v>
      </c>
      <c r="M93" s="3"/>
      <c r="N93" s="2" t="s">
        <v>257</v>
      </c>
      <c r="O93" s="2" t="s">
        <v>264</v>
      </c>
    </row>
    <row r="94" spans="1:15">
      <c r="A94" s="2" t="s">
        <v>278</v>
      </c>
      <c r="B94" s="2" t="s">
        <v>267</v>
      </c>
      <c r="C94" s="2" t="s">
        <v>771</v>
      </c>
      <c r="D94" s="2" t="s">
        <v>879</v>
      </c>
      <c r="E94" s="2" t="s">
        <v>771</v>
      </c>
      <c r="F94" s="2" t="s">
        <v>862</v>
      </c>
      <c r="G94" s="2" t="s">
        <v>217</v>
      </c>
      <c r="H94" s="2" t="s">
        <v>217</v>
      </c>
      <c r="I94" s="2" t="s">
        <v>921</v>
      </c>
      <c r="J94" s="3" t="s">
        <v>1081</v>
      </c>
      <c r="K94" s="3" t="s">
        <v>903</v>
      </c>
      <c r="L94" s="3" t="s">
        <v>873</v>
      </c>
      <c r="M94" s="3"/>
      <c r="N94" s="2" t="s">
        <v>257</v>
      </c>
      <c r="O94" s="2" t="s">
        <v>266</v>
      </c>
    </row>
    <row r="95" spans="1:15">
      <c r="A95" s="2" t="s">
        <v>278</v>
      </c>
      <c r="B95" s="2" t="s">
        <v>269</v>
      </c>
      <c r="C95" s="2" t="s">
        <v>772</v>
      </c>
      <c r="D95" s="2" t="s">
        <v>879</v>
      </c>
      <c r="E95" s="2" t="s">
        <v>772</v>
      </c>
      <c r="F95" s="2" t="s">
        <v>862</v>
      </c>
      <c r="G95" s="2" t="s">
        <v>217</v>
      </c>
      <c r="H95" s="2" t="s">
        <v>217</v>
      </c>
      <c r="I95" s="2" t="s">
        <v>921</v>
      </c>
      <c r="J95" s="3" t="s">
        <v>1081</v>
      </c>
      <c r="K95" s="3" t="s">
        <v>903</v>
      </c>
      <c r="L95" s="3" t="s">
        <v>873</v>
      </c>
      <c r="M95" s="3"/>
      <c r="N95" s="2" t="s">
        <v>257</v>
      </c>
      <c r="O95" s="2" t="s">
        <v>268</v>
      </c>
    </row>
    <row r="96" spans="1:15">
      <c r="A96" s="2" t="s">
        <v>278</v>
      </c>
      <c r="B96" s="2" t="s">
        <v>271</v>
      </c>
      <c r="C96" s="2" t="s">
        <v>773</v>
      </c>
      <c r="D96" s="2" t="s">
        <v>879</v>
      </c>
      <c r="E96" s="2" t="s">
        <v>773</v>
      </c>
      <c r="F96" s="2" t="s">
        <v>862</v>
      </c>
      <c r="G96" s="2" t="s">
        <v>217</v>
      </c>
      <c r="H96" s="2" t="s">
        <v>217</v>
      </c>
      <c r="I96" s="2" t="s">
        <v>921</v>
      </c>
      <c r="J96" s="3" t="s">
        <v>1081</v>
      </c>
      <c r="K96" s="3" t="s">
        <v>903</v>
      </c>
      <c r="L96" s="3" t="s">
        <v>873</v>
      </c>
      <c r="M96" s="3"/>
      <c r="N96" s="2" t="s">
        <v>257</v>
      </c>
      <c r="O96" s="2" t="s">
        <v>270</v>
      </c>
    </row>
    <row r="97" spans="1:18">
      <c r="A97" s="2" t="s">
        <v>278</v>
      </c>
      <c r="B97" s="2" t="s">
        <v>273</v>
      </c>
      <c r="C97" s="2" t="s">
        <v>774</v>
      </c>
      <c r="D97" s="2" t="s">
        <v>879</v>
      </c>
      <c r="E97" s="2" t="s">
        <v>774</v>
      </c>
      <c r="F97" s="2" t="s">
        <v>862</v>
      </c>
      <c r="G97" s="2" t="s">
        <v>217</v>
      </c>
      <c r="H97" s="2" t="s">
        <v>217</v>
      </c>
      <c r="I97" s="2" t="s">
        <v>921</v>
      </c>
      <c r="J97" s="3" t="s">
        <v>1081</v>
      </c>
      <c r="K97" s="3" t="s">
        <v>903</v>
      </c>
      <c r="L97" s="3" t="s">
        <v>873</v>
      </c>
      <c r="M97" s="3"/>
      <c r="N97" s="2" t="s">
        <v>257</v>
      </c>
      <c r="O97" s="2" t="s">
        <v>272</v>
      </c>
    </row>
    <row r="98" spans="1:18">
      <c r="A98" s="2" t="s">
        <v>278</v>
      </c>
      <c r="B98" s="2" t="s">
        <v>275</v>
      </c>
      <c r="C98" s="2" t="s">
        <v>775</v>
      </c>
      <c r="D98" s="2" t="s">
        <v>879</v>
      </c>
      <c r="E98" s="2" t="s">
        <v>775</v>
      </c>
      <c r="F98" s="2" t="s">
        <v>862</v>
      </c>
      <c r="G98" s="2" t="s">
        <v>217</v>
      </c>
      <c r="H98" s="2" t="s">
        <v>217</v>
      </c>
      <c r="I98" s="2" t="s">
        <v>921</v>
      </c>
      <c r="J98" s="3" t="s">
        <v>1081</v>
      </c>
      <c r="K98" s="3" t="s">
        <v>903</v>
      </c>
      <c r="L98" s="3" t="s">
        <v>873</v>
      </c>
      <c r="M98" s="3"/>
      <c r="N98" s="2" t="s">
        <v>257</v>
      </c>
      <c r="O98" s="2" t="s">
        <v>274</v>
      </c>
    </row>
    <row r="99" spans="1:18" hidden="1">
      <c r="A99" s="2" t="s">
        <v>278</v>
      </c>
      <c r="B99" s="2" t="s">
        <v>277</v>
      </c>
      <c r="C99" s="2" t="s">
        <v>766</v>
      </c>
      <c r="E99" s="2" t="s">
        <v>766</v>
      </c>
      <c r="G99" s="2" t="s">
        <v>217</v>
      </c>
      <c r="J99" s="3"/>
      <c r="K99" s="3"/>
      <c r="L99" s="3"/>
      <c r="M99" s="3"/>
      <c r="N99" s="2" t="s">
        <v>257</v>
      </c>
      <c r="O99" s="2" t="s">
        <v>276</v>
      </c>
    </row>
    <row r="100" spans="1:18" hidden="1">
      <c r="A100" s="8"/>
      <c r="B100" s="8"/>
      <c r="C100" s="8"/>
      <c r="D100" s="8"/>
      <c r="E100" s="8"/>
      <c r="F100" s="8"/>
      <c r="G100" s="8"/>
      <c r="H100" s="8"/>
      <c r="I100" s="8"/>
      <c r="J100" s="9"/>
      <c r="K100" s="9"/>
      <c r="L100" s="9" t="s">
        <v>873</v>
      </c>
      <c r="M100" s="9"/>
      <c r="N100" s="8" t="s">
        <v>342</v>
      </c>
      <c r="O100" s="8"/>
    </row>
    <row r="101" spans="1:18">
      <c r="A101" s="2" t="s">
        <v>342</v>
      </c>
      <c r="B101" s="6" t="s">
        <v>280</v>
      </c>
      <c r="C101" s="5" t="s">
        <v>279</v>
      </c>
      <c r="E101" s="5" t="s">
        <v>279</v>
      </c>
      <c r="F101" s="5"/>
      <c r="G101" s="5" t="s">
        <v>58</v>
      </c>
      <c r="H101" s="5" t="s">
        <v>58</v>
      </c>
      <c r="I101" s="15" t="s">
        <v>891</v>
      </c>
      <c r="J101" s="3" t="s">
        <v>1083</v>
      </c>
      <c r="K101" s="3" t="s">
        <v>1084</v>
      </c>
      <c r="L101" s="3" t="s">
        <v>872</v>
      </c>
      <c r="M101" s="3"/>
      <c r="N101" s="5" t="s">
        <v>279</v>
      </c>
      <c r="O101" s="5" t="s">
        <v>22</v>
      </c>
      <c r="Q101" s="3" t="s">
        <v>903</v>
      </c>
      <c r="R101" s="3" t="s">
        <v>903</v>
      </c>
    </row>
    <row r="102" spans="1:18">
      <c r="A102" s="2" t="s">
        <v>342</v>
      </c>
      <c r="B102" s="6" t="s">
        <v>281</v>
      </c>
      <c r="C102" s="5" t="s">
        <v>279</v>
      </c>
      <c r="E102" s="5" t="s">
        <v>279</v>
      </c>
      <c r="F102" s="5"/>
      <c r="G102" s="5" t="s">
        <v>16</v>
      </c>
      <c r="H102" s="5" t="s">
        <v>781</v>
      </c>
      <c r="I102" s="2" t="s">
        <v>731</v>
      </c>
      <c r="J102" s="3" t="s">
        <v>1083</v>
      </c>
      <c r="K102" s="3" t="s">
        <v>1084</v>
      </c>
      <c r="L102" s="3" t="s">
        <v>872</v>
      </c>
      <c r="M102" s="3"/>
      <c r="N102" s="5" t="s">
        <v>279</v>
      </c>
      <c r="O102" s="5" t="s">
        <v>26</v>
      </c>
      <c r="Q102" s="3" t="s">
        <v>903</v>
      </c>
      <c r="R102" s="3" t="s">
        <v>903</v>
      </c>
    </row>
    <row r="103" spans="1:18">
      <c r="A103" s="2" t="s">
        <v>342</v>
      </c>
      <c r="B103" s="6" t="s">
        <v>282</v>
      </c>
      <c r="C103" s="5" t="s">
        <v>279</v>
      </c>
      <c r="E103" s="5" t="s">
        <v>279</v>
      </c>
      <c r="F103" s="5"/>
      <c r="G103" s="5" t="s">
        <v>16</v>
      </c>
      <c r="H103" s="5" t="s">
        <v>782</v>
      </c>
      <c r="I103" s="2" t="s">
        <v>731</v>
      </c>
      <c r="J103" s="3" t="s">
        <v>1083</v>
      </c>
      <c r="K103" s="3" t="s">
        <v>1084</v>
      </c>
      <c r="L103" s="3" t="s">
        <v>872</v>
      </c>
      <c r="M103" s="3"/>
      <c r="N103" s="5" t="s">
        <v>279</v>
      </c>
      <c r="O103" s="5" t="s">
        <v>18</v>
      </c>
      <c r="Q103" s="3" t="s">
        <v>903</v>
      </c>
      <c r="R103" s="3" t="s">
        <v>903</v>
      </c>
    </row>
    <row r="104" spans="1:18">
      <c r="A104" s="2" t="s">
        <v>342</v>
      </c>
      <c r="B104" s="6" t="s">
        <v>284</v>
      </c>
      <c r="C104" s="5" t="s">
        <v>283</v>
      </c>
      <c r="E104" s="5" t="s">
        <v>283</v>
      </c>
      <c r="F104" s="5"/>
      <c r="G104" s="5" t="s">
        <v>58</v>
      </c>
      <c r="H104" s="5" t="s">
        <v>58</v>
      </c>
      <c r="I104" s="15" t="s">
        <v>891</v>
      </c>
      <c r="J104" s="3" t="s">
        <v>1080</v>
      </c>
      <c r="K104" s="3" t="s">
        <v>903</v>
      </c>
      <c r="L104" s="3" t="s">
        <v>873</v>
      </c>
      <c r="M104" s="3"/>
      <c r="N104" s="5" t="s">
        <v>283</v>
      </c>
      <c r="O104" s="5" t="s">
        <v>22</v>
      </c>
      <c r="Q104" s="3" t="s">
        <v>752</v>
      </c>
      <c r="R104" s="3" t="s">
        <v>752</v>
      </c>
    </row>
    <row r="105" spans="1:18">
      <c r="A105" s="2" t="s">
        <v>342</v>
      </c>
      <c r="B105" s="6" t="s">
        <v>285</v>
      </c>
      <c r="C105" s="5" t="s">
        <v>283</v>
      </c>
      <c r="E105" s="5" t="s">
        <v>283</v>
      </c>
      <c r="F105" s="5"/>
      <c r="G105" s="5" t="s">
        <v>16</v>
      </c>
      <c r="H105" s="5" t="s">
        <v>781</v>
      </c>
      <c r="I105" s="2" t="s">
        <v>731</v>
      </c>
      <c r="J105" s="3" t="s">
        <v>1080</v>
      </c>
      <c r="K105" s="3" t="s">
        <v>903</v>
      </c>
      <c r="L105" s="3" t="s">
        <v>873</v>
      </c>
      <c r="M105" s="3"/>
      <c r="N105" s="5" t="s">
        <v>283</v>
      </c>
      <c r="O105" s="5" t="s">
        <v>26</v>
      </c>
      <c r="Q105" s="3" t="s">
        <v>752</v>
      </c>
      <c r="R105" s="3" t="s">
        <v>752</v>
      </c>
    </row>
    <row r="106" spans="1:18">
      <c r="A106" s="2" t="s">
        <v>342</v>
      </c>
      <c r="B106" s="6" t="s">
        <v>286</v>
      </c>
      <c r="C106" s="5" t="s">
        <v>283</v>
      </c>
      <c r="E106" s="5" t="s">
        <v>283</v>
      </c>
      <c r="F106" s="5"/>
      <c r="G106" s="5" t="s">
        <v>16</v>
      </c>
      <c r="H106" s="5" t="s">
        <v>782</v>
      </c>
      <c r="I106" s="2" t="s">
        <v>731</v>
      </c>
      <c r="J106" s="3" t="s">
        <v>1080</v>
      </c>
      <c r="K106" s="3" t="s">
        <v>903</v>
      </c>
      <c r="L106" s="3" t="s">
        <v>873</v>
      </c>
      <c r="M106" s="3"/>
      <c r="N106" s="5" t="s">
        <v>283</v>
      </c>
      <c r="O106" s="5" t="s">
        <v>18</v>
      </c>
      <c r="Q106" s="3" t="s">
        <v>752</v>
      </c>
      <c r="R106" s="3" t="s">
        <v>752</v>
      </c>
    </row>
    <row r="107" spans="1:18">
      <c r="A107" s="2" t="s">
        <v>342</v>
      </c>
      <c r="B107" s="6" t="s">
        <v>288</v>
      </c>
      <c r="C107" s="5" t="s">
        <v>287</v>
      </c>
      <c r="E107" s="5" t="s">
        <v>287</v>
      </c>
      <c r="F107" s="5"/>
      <c r="G107" s="5" t="s">
        <v>58</v>
      </c>
      <c r="H107" s="5" t="s">
        <v>58</v>
      </c>
      <c r="I107" s="15" t="s">
        <v>891</v>
      </c>
      <c r="J107" s="3" t="s">
        <v>1080</v>
      </c>
      <c r="K107" s="3" t="s">
        <v>903</v>
      </c>
      <c r="L107" s="3" t="s">
        <v>873</v>
      </c>
      <c r="M107" s="3"/>
      <c r="N107" s="5" t="s">
        <v>287</v>
      </c>
      <c r="O107" s="5" t="s">
        <v>22</v>
      </c>
      <c r="Q107" s="3" t="s">
        <v>753</v>
      </c>
      <c r="R107" s="3" t="s">
        <v>753</v>
      </c>
    </row>
    <row r="108" spans="1:18">
      <c r="A108" s="2" t="s">
        <v>342</v>
      </c>
      <c r="B108" s="6" t="s">
        <v>289</v>
      </c>
      <c r="C108" s="5" t="s">
        <v>287</v>
      </c>
      <c r="E108" s="5" t="s">
        <v>287</v>
      </c>
      <c r="F108" s="5"/>
      <c r="G108" s="5" t="s">
        <v>16</v>
      </c>
      <c r="H108" s="5" t="s">
        <v>781</v>
      </c>
      <c r="I108" s="2" t="s">
        <v>731</v>
      </c>
      <c r="J108" s="3" t="s">
        <v>1080</v>
      </c>
      <c r="K108" s="3" t="s">
        <v>903</v>
      </c>
      <c r="L108" s="3" t="s">
        <v>873</v>
      </c>
      <c r="M108" s="3"/>
      <c r="N108" s="5" t="s">
        <v>287</v>
      </c>
      <c r="O108" s="5" t="s">
        <v>26</v>
      </c>
      <c r="Q108" s="3" t="s">
        <v>753</v>
      </c>
      <c r="R108" s="3" t="s">
        <v>753</v>
      </c>
    </row>
    <row r="109" spans="1:18">
      <c r="A109" s="2" t="s">
        <v>342</v>
      </c>
      <c r="B109" s="6" t="s">
        <v>290</v>
      </c>
      <c r="C109" s="5" t="s">
        <v>287</v>
      </c>
      <c r="E109" s="5" t="s">
        <v>287</v>
      </c>
      <c r="F109" s="5"/>
      <c r="G109" s="5" t="s">
        <v>16</v>
      </c>
      <c r="H109" s="5" t="s">
        <v>782</v>
      </c>
      <c r="I109" s="2" t="s">
        <v>731</v>
      </c>
      <c r="J109" s="3" t="s">
        <v>1080</v>
      </c>
      <c r="K109" s="3" t="s">
        <v>903</v>
      </c>
      <c r="L109" s="3" t="s">
        <v>873</v>
      </c>
      <c r="M109" s="3"/>
      <c r="N109" s="5" t="s">
        <v>287</v>
      </c>
      <c r="O109" s="5" t="s">
        <v>18</v>
      </c>
      <c r="Q109" s="3" t="s">
        <v>753</v>
      </c>
      <c r="R109" s="3" t="s">
        <v>753</v>
      </c>
    </row>
    <row r="110" spans="1:18">
      <c r="A110" s="2" t="s">
        <v>342</v>
      </c>
      <c r="B110" s="6" t="s">
        <v>292</v>
      </c>
      <c r="C110" s="5" t="s">
        <v>291</v>
      </c>
      <c r="E110" s="5" t="s">
        <v>291</v>
      </c>
      <c r="F110" s="5"/>
      <c r="G110" s="5" t="s">
        <v>58</v>
      </c>
      <c r="H110" s="5" t="s">
        <v>58</v>
      </c>
      <c r="I110" s="15" t="s">
        <v>891</v>
      </c>
      <c r="J110" s="3" t="s">
        <v>1080</v>
      </c>
      <c r="K110" s="3" t="s">
        <v>903</v>
      </c>
      <c r="L110" s="3" t="s">
        <v>873</v>
      </c>
      <c r="M110" s="3"/>
      <c r="N110" s="5" t="s">
        <v>291</v>
      </c>
      <c r="O110" s="5" t="s">
        <v>22</v>
      </c>
      <c r="Q110" s="3" t="s">
        <v>53</v>
      </c>
      <c r="R110" s="3" t="s">
        <v>53</v>
      </c>
    </row>
    <row r="111" spans="1:18">
      <c r="A111" s="2" t="s">
        <v>342</v>
      </c>
      <c r="B111" s="6" t="s">
        <v>293</v>
      </c>
      <c r="C111" s="5" t="s">
        <v>291</v>
      </c>
      <c r="E111" s="5" t="s">
        <v>291</v>
      </c>
      <c r="F111" s="5"/>
      <c r="G111" s="5" t="s">
        <v>16</v>
      </c>
      <c r="H111" s="5" t="s">
        <v>781</v>
      </c>
      <c r="I111" s="2" t="s">
        <v>731</v>
      </c>
      <c r="J111" s="3" t="s">
        <v>1080</v>
      </c>
      <c r="K111" s="3" t="s">
        <v>903</v>
      </c>
      <c r="L111" s="3" t="s">
        <v>873</v>
      </c>
      <c r="M111" s="3"/>
      <c r="N111" s="5" t="s">
        <v>291</v>
      </c>
      <c r="O111" s="5" t="s">
        <v>26</v>
      </c>
      <c r="Q111" s="3" t="s">
        <v>53</v>
      </c>
      <c r="R111" s="3" t="s">
        <v>53</v>
      </c>
    </row>
    <row r="112" spans="1:18">
      <c r="A112" s="2" t="s">
        <v>342</v>
      </c>
      <c r="B112" s="6" t="s">
        <v>294</v>
      </c>
      <c r="C112" s="5" t="s">
        <v>291</v>
      </c>
      <c r="E112" s="5" t="s">
        <v>291</v>
      </c>
      <c r="F112" s="5"/>
      <c r="G112" s="5" t="s">
        <v>16</v>
      </c>
      <c r="H112" s="5" t="s">
        <v>782</v>
      </c>
      <c r="I112" s="2" t="s">
        <v>731</v>
      </c>
      <c r="J112" s="3" t="s">
        <v>1080</v>
      </c>
      <c r="K112" s="3" t="s">
        <v>903</v>
      </c>
      <c r="L112" s="3" t="s">
        <v>873</v>
      </c>
      <c r="M112" s="3"/>
      <c r="N112" s="5" t="s">
        <v>291</v>
      </c>
      <c r="O112" s="5" t="s">
        <v>18</v>
      </c>
      <c r="Q112" s="3" t="s">
        <v>53</v>
      </c>
      <c r="R112" s="3" t="s">
        <v>53</v>
      </c>
    </row>
    <row r="113" spans="1:18">
      <c r="A113" s="2" t="s">
        <v>342</v>
      </c>
      <c r="B113" s="6" t="s">
        <v>296</v>
      </c>
      <c r="C113" s="5" t="s">
        <v>295</v>
      </c>
      <c r="E113" s="5" t="s">
        <v>295</v>
      </c>
      <c r="F113" s="5"/>
      <c r="G113" s="5" t="s">
        <v>58</v>
      </c>
      <c r="H113" s="5" t="s">
        <v>58</v>
      </c>
      <c r="I113" s="15" t="s">
        <v>891</v>
      </c>
      <c r="J113" s="3" t="s">
        <v>1080</v>
      </c>
      <c r="K113" s="3" t="s">
        <v>903</v>
      </c>
      <c r="L113" s="3" t="s">
        <v>873</v>
      </c>
      <c r="M113" s="3"/>
      <c r="N113" s="5" t="s">
        <v>295</v>
      </c>
      <c r="O113" s="5" t="s">
        <v>22</v>
      </c>
      <c r="Q113" s="3" t="s">
        <v>754</v>
      </c>
      <c r="R113" s="3" t="s">
        <v>754</v>
      </c>
    </row>
    <row r="114" spans="1:18">
      <c r="A114" s="2" t="s">
        <v>342</v>
      </c>
      <c r="B114" s="6" t="s">
        <v>297</v>
      </c>
      <c r="C114" s="5" t="s">
        <v>295</v>
      </c>
      <c r="E114" s="5" t="s">
        <v>295</v>
      </c>
      <c r="F114" s="5"/>
      <c r="G114" s="5" t="s">
        <v>16</v>
      </c>
      <c r="H114" s="5" t="s">
        <v>781</v>
      </c>
      <c r="I114" s="2" t="s">
        <v>731</v>
      </c>
      <c r="J114" s="3" t="s">
        <v>1080</v>
      </c>
      <c r="K114" s="3" t="s">
        <v>903</v>
      </c>
      <c r="L114" s="3" t="s">
        <v>873</v>
      </c>
      <c r="M114" s="3"/>
      <c r="N114" s="5" t="s">
        <v>295</v>
      </c>
      <c r="O114" s="5" t="s">
        <v>26</v>
      </c>
      <c r="Q114" s="3" t="s">
        <v>754</v>
      </c>
      <c r="R114" s="3" t="s">
        <v>754</v>
      </c>
    </row>
    <row r="115" spans="1:18">
      <c r="A115" s="2" t="s">
        <v>342</v>
      </c>
      <c r="B115" s="6" t="s">
        <v>298</v>
      </c>
      <c r="C115" s="5" t="s">
        <v>295</v>
      </c>
      <c r="E115" s="5" t="s">
        <v>295</v>
      </c>
      <c r="F115" s="5"/>
      <c r="G115" s="5" t="s">
        <v>16</v>
      </c>
      <c r="H115" s="5" t="s">
        <v>782</v>
      </c>
      <c r="I115" s="2" t="s">
        <v>731</v>
      </c>
      <c r="J115" s="3" t="s">
        <v>1080</v>
      </c>
      <c r="K115" s="3" t="s">
        <v>903</v>
      </c>
      <c r="L115" s="3" t="s">
        <v>873</v>
      </c>
      <c r="M115" s="3"/>
      <c r="N115" s="5" t="s">
        <v>295</v>
      </c>
      <c r="O115" s="5" t="s">
        <v>18</v>
      </c>
      <c r="Q115" s="3" t="s">
        <v>754</v>
      </c>
      <c r="R115" s="3" t="s">
        <v>754</v>
      </c>
    </row>
    <row r="116" spans="1:18">
      <c r="A116" s="2" t="s">
        <v>342</v>
      </c>
      <c r="B116" s="6" t="s">
        <v>300</v>
      </c>
      <c r="C116" s="5" t="s">
        <v>299</v>
      </c>
      <c r="E116" s="5" t="s">
        <v>299</v>
      </c>
      <c r="F116" s="5"/>
      <c r="G116" s="5" t="s">
        <v>58</v>
      </c>
      <c r="H116" s="5" t="s">
        <v>58</v>
      </c>
      <c r="I116" s="15" t="s">
        <v>891</v>
      </c>
      <c r="J116" s="3" t="s">
        <v>1080</v>
      </c>
      <c r="K116" s="3" t="s">
        <v>903</v>
      </c>
      <c r="L116" s="3" t="s">
        <v>873</v>
      </c>
      <c r="M116" s="3"/>
      <c r="N116" s="5" t="s">
        <v>299</v>
      </c>
      <c r="O116" s="5" t="s">
        <v>22</v>
      </c>
      <c r="Q116" s="3" t="s">
        <v>755</v>
      </c>
      <c r="R116" s="3" t="s">
        <v>755</v>
      </c>
    </row>
    <row r="117" spans="1:18">
      <c r="A117" s="2" t="s">
        <v>342</v>
      </c>
      <c r="B117" s="6" t="s">
        <v>301</v>
      </c>
      <c r="C117" s="5" t="s">
        <v>299</v>
      </c>
      <c r="E117" s="5" t="s">
        <v>299</v>
      </c>
      <c r="F117" s="5"/>
      <c r="G117" s="5" t="s">
        <v>16</v>
      </c>
      <c r="H117" s="5" t="s">
        <v>781</v>
      </c>
      <c r="I117" s="2" t="s">
        <v>731</v>
      </c>
      <c r="J117" s="3" t="s">
        <v>1080</v>
      </c>
      <c r="K117" s="3" t="s">
        <v>903</v>
      </c>
      <c r="L117" s="3" t="s">
        <v>873</v>
      </c>
      <c r="M117" s="3"/>
      <c r="N117" s="5" t="s">
        <v>299</v>
      </c>
      <c r="O117" s="5" t="s">
        <v>26</v>
      </c>
      <c r="Q117" s="3" t="s">
        <v>755</v>
      </c>
      <c r="R117" s="3" t="s">
        <v>755</v>
      </c>
    </row>
    <row r="118" spans="1:18">
      <c r="A118" s="2" t="s">
        <v>342</v>
      </c>
      <c r="B118" s="6" t="s">
        <v>302</v>
      </c>
      <c r="C118" s="5" t="s">
        <v>299</v>
      </c>
      <c r="E118" s="5" t="s">
        <v>299</v>
      </c>
      <c r="F118" s="5"/>
      <c r="G118" s="5" t="s">
        <v>16</v>
      </c>
      <c r="H118" s="5" t="s">
        <v>782</v>
      </c>
      <c r="I118" s="2" t="s">
        <v>731</v>
      </c>
      <c r="J118" s="3" t="s">
        <v>1080</v>
      </c>
      <c r="K118" s="3" t="s">
        <v>903</v>
      </c>
      <c r="L118" s="3" t="s">
        <v>873</v>
      </c>
      <c r="M118" s="3"/>
      <c r="N118" s="5" t="s">
        <v>299</v>
      </c>
      <c r="O118" s="5" t="s">
        <v>18</v>
      </c>
      <c r="Q118" s="3" t="s">
        <v>755</v>
      </c>
      <c r="R118" s="3" t="s">
        <v>755</v>
      </c>
    </row>
    <row r="119" spans="1:18">
      <c r="A119" s="2" t="s">
        <v>342</v>
      </c>
      <c r="B119" s="6" t="s">
        <v>304</v>
      </c>
      <c r="C119" s="5" t="s">
        <v>303</v>
      </c>
      <c r="E119" s="5" t="s">
        <v>303</v>
      </c>
      <c r="F119" s="5"/>
      <c r="G119" s="5" t="s">
        <v>58</v>
      </c>
      <c r="H119" s="5" t="s">
        <v>58</v>
      </c>
      <c r="I119" s="15" t="s">
        <v>891</v>
      </c>
      <c r="J119" s="3" t="s">
        <v>1080</v>
      </c>
      <c r="K119" s="3" t="s">
        <v>903</v>
      </c>
      <c r="L119" s="3" t="s">
        <v>873</v>
      </c>
      <c r="M119" s="3"/>
      <c r="N119" s="5" t="s">
        <v>303</v>
      </c>
      <c r="O119" s="5" t="s">
        <v>22</v>
      </c>
      <c r="Q119" s="3" t="s">
        <v>758</v>
      </c>
      <c r="R119" s="3" t="s">
        <v>758</v>
      </c>
    </row>
    <row r="120" spans="1:18">
      <c r="A120" s="2" t="s">
        <v>342</v>
      </c>
      <c r="B120" s="6" t="s">
        <v>305</v>
      </c>
      <c r="C120" s="5" t="s">
        <v>303</v>
      </c>
      <c r="E120" s="5" t="s">
        <v>303</v>
      </c>
      <c r="F120" s="5"/>
      <c r="G120" s="5" t="s">
        <v>16</v>
      </c>
      <c r="H120" s="5" t="s">
        <v>781</v>
      </c>
      <c r="I120" s="2" t="s">
        <v>731</v>
      </c>
      <c r="J120" s="3" t="s">
        <v>1080</v>
      </c>
      <c r="K120" s="3" t="s">
        <v>903</v>
      </c>
      <c r="L120" s="3" t="s">
        <v>873</v>
      </c>
      <c r="M120" s="3"/>
      <c r="N120" s="5" t="s">
        <v>303</v>
      </c>
      <c r="O120" s="5" t="s">
        <v>26</v>
      </c>
      <c r="Q120" s="3" t="s">
        <v>758</v>
      </c>
      <c r="R120" s="3" t="s">
        <v>758</v>
      </c>
    </row>
    <row r="121" spans="1:18">
      <c r="A121" s="2" t="s">
        <v>342</v>
      </c>
      <c r="B121" s="6" t="s">
        <v>306</v>
      </c>
      <c r="C121" s="5" t="s">
        <v>303</v>
      </c>
      <c r="E121" s="5" t="s">
        <v>303</v>
      </c>
      <c r="F121" s="5"/>
      <c r="G121" s="5" t="s">
        <v>16</v>
      </c>
      <c r="H121" s="5" t="s">
        <v>782</v>
      </c>
      <c r="I121" s="2" t="s">
        <v>731</v>
      </c>
      <c r="J121" s="3" t="s">
        <v>1080</v>
      </c>
      <c r="K121" s="3" t="s">
        <v>903</v>
      </c>
      <c r="L121" s="3" t="s">
        <v>873</v>
      </c>
      <c r="M121" s="3"/>
      <c r="N121" s="5" t="s">
        <v>303</v>
      </c>
      <c r="O121" s="5" t="s">
        <v>18</v>
      </c>
      <c r="Q121" s="3" t="s">
        <v>758</v>
      </c>
      <c r="R121" s="3" t="s">
        <v>758</v>
      </c>
    </row>
    <row r="122" spans="1:18">
      <c r="A122" s="2" t="s">
        <v>342</v>
      </c>
      <c r="B122" s="6" t="s">
        <v>308</v>
      </c>
      <c r="C122" s="5" t="s">
        <v>307</v>
      </c>
      <c r="E122" s="5" t="s">
        <v>307</v>
      </c>
      <c r="F122" s="5"/>
      <c r="G122" s="5" t="s">
        <v>58</v>
      </c>
      <c r="H122" s="5" t="s">
        <v>58</v>
      </c>
      <c r="I122" s="15" t="s">
        <v>891</v>
      </c>
      <c r="J122" s="3" t="s">
        <v>1080</v>
      </c>
      <c r="K122" s="3" t="s">
        <v>903</v>
      </c>
      <c r="L122" s="3" t="s">
        <v>873</v>
      </c>
      <c r="M122" s="3"/>
      <c r="N122" s="5" t="s">
        <v>307</v>
      </c>
      <c r="O122" s="5" t="s">
        <v>22</v>
      </c>
      <c r="Q122" s="3" t="s">
        <v>749</v>
      </c>
      <c r="R122" s="3" t="s">
        <v>749</v>
      </c>
    </row>
    <row r="123" spans="1:18">
      <c r="A123" s="2" t="s">
        <v>342</v>
      </c>
      <c r="B123" s="6" t="s">
        <v>309</v>
      </c>
      <c r="C123" s="5" t="s">
        <v>307</v>
      </c>
      <c r="E123" s="5" t="s">
        <v>307</v>
      </c>
      <c r="F123" s="5"/>
      <c r="G123" s="5" t="s">
        <v>16</v>
      </c>
      <c r="H123" s="5" t="s">
        <v>781</v>
      </c>
      <c r="I123" s="2" t="s">
        <v>731</v>
      </c>
      <c r="J123" s="3" t="s">
        <v>1080</v>
      </c>
      <c r="K123" s="3" t="s">
        <v>903</v>
      </c>
      <c r="L123" s="3" t="s">
        <v>873</v>
      </c>
      <c r="M123" s="3"/>
      <c r="N123" s="5" t="s">
        <v>307</v>
      </c>
      <c r="O123" s="5" t="s">
        <v>26</v>
      </c>
      <c r="Q123" s="3" t="s">
        <v>749</v>
      </c>
      <c r="R123" s="3" t="s">
        <v>749</v>
      </c>
    </row>
    <row r="124" spans="1:18">
      <c r="A124" s="2" t="s">
        <v>342</v>
      </c>
      <c r="B124" s="6" t="s">
        <v>310</v>
      </c>
      <c r="C124" s="5" t="s">
        <v>307</v>
      </c>
      <c r="E124" s="5" t="s">
        <v>307</v>
      </c>
      <c r="F124" s="5"/>
      <c r="G124" s="5" t="s">
        <v>16</v>
      </c>
      <c r="H124" s="5" t="s">
        <v>782</v>
      </c>
      <c r="I124" s="2" t="s">
        <v>731</v>
      </c>
      <c r="J124" s="3" t="s">
        <v>1080</v>
      </c>
      <c r="K124" s="3" t="s">
        <v>903</v>
      </c>
      <c r="L124" s="3" t="s">
        <v>873</v>
      </c>
      <c r="M124" s="3"/>
      <c r="N124" s="5" t="s">
        <v>307</v>
      </c>
      <c r="O124" s="5" t="s">
        <v>18</v>
      </c>
      <c r="Q124" s="3" t="s">
        <v>749</v>
      </c>
      <c r="R124" s="3" t="s">
        <v>749</v>
      </c>
    </row>
    <row r="125" spans="1:18">
      <c r="A125" s="2" t="s">
        <v>342</v>
      </c>
      <c r="B125" s="6" t="s">
        <v>312</v>
      </c>
      <c r="C125" s="5" t="s">
        <v>311</v>
      </c>
      <c r="E125" s="5" t="s">
        <v>311</v>
      </c>
      <c r="F125" s="5"/>
      <c r="G125" s="5" t="s">
        <v>16</v>
      </c>
      <c r="H125" s="5" t="s">
        <v>781</v>
      </c>
      <c r="I125" s="2" t="s">
        <v>731</v>
      </c>
      <c r="J125" s="3" t="s">
        <v>1080</v>
      </c>
      <c r="K125" s="3" t="s">
        <v>903</v>
      </c>
      <c r="L125" s="3" t="s">
        <v>873</v>
      </c>
      <c r="M125" s="3"/>
      <c r="N125" s="5" t="s">
        <v>311</v>
      </c>
      <c r="O125" s="5" t="s">
        <v>26</v>
      </c>
      <c r="Q125" s="3" t="s">
        <v>756</v>
      </c>
      <c r="R125" s="3" t="s">
        <v>756</v>
      </c>
    </row>
    <row r="126" spans="1:18">
      <c r="A126" s="2" t="s">
        <v>342</v>
      </c>
      <c r="B126" s="6" t="s">
        <v>313</v>
      </c>
      <c r="C126" s="5" t="s">
        <v>311</v>
      </c>
      <c r="E126" s="5" t="s">
        <v>311</v>
      </c>
      <c r="F126" s="5"/>
      <c r="G126" s="5" t="s">
        <v>16</v>
      </c>
      <c r="H126" s="5" t="s">
        <v>782</v>
      </c>
      <c r="I126" s="2" t="s">
        <v>731</v>
      </c>
      <c r="J126" s="3" t="s">
        <v>1080</v>
      </c>
      <c r="K126" s="3" t="s">
        <v>903</v>
      </c>
      <c r="L126" s="3" t="s">
        <v>873</v>
      </c>
      <c r="M126" s="3"/>
      <c r="N126" s="5" t="s">
        <v>311</v>
      </c>
      <c r="O126" s="5" t="s">
        <v>18</v>
      </c>
      <c r="Q126" s="3" t="s">
        <v>756</v>
      </c>
      <c r="R126" s="3" t="s">
        <v>756</v>
      </c>
    </row>
    <row r="127" spans="1:18">
      <c r="A127" s="2" t="s">
        <v>342</v>
      </c>
      <c r="B127" s="6" t="s">
        <v>315</v>
      </c>
      <c r="C127" s="5" t="s">
        <v>314</v>
      </c>
      <c r="E127" s="5" t="s">
        <v>314</v>
      </c>
      <c r="F127" s="5"/>
      <c r="G127" s="5" t="s">
        <v>16</v>
      </c>
      <c r="H127" s="5" t="s">
        <v>781</v>
      </c>
      <c r="I127" s="2" t="s">
        <v>731</v>
      </c>
      <c r="J127" s="3" t="s">
        <v>1080</v>
      </c>
      <c r="K127" s="3" t="s">
        <v>903</v>
      </c>
      <c r="L127" s="3" t="s">
        <v>873</v>
      </c>
      <c r="M127" s="3"/>
      <c r="N127" s="5" t="s">
        <v>314</v>
      </c>
      <c r="O127" s="5" t="s">
        <v>26</v>
      </c>
      <c r="Q127" s="3" t="s">
        <v>757</v>
      </c>
      <c r="R127" s="3" t="s">
        <v>757</v>
      </c>
    </row>
    <row r="128" spans="1:18">
      <c r="A128" s="2" t="s">
        <v>342</v>
      </c>
      <c r="B128" s="6" t="s">
        <v>316</v>
      </c>
      <c r="C128" s="5" t="s">
        <v>314</v>
      </c>
      <c r="E128" s="5" t="s">
        <v>314</v>
      </c>
      <c r="F128" s="5"/>
      <c r="G128" s="5" t="s">
        <v>16</v>
      </c>
      <c r="H128" s="5" t="s">
        <v>782</v>
      </c>
      <c r="I128" s="2" t="s">
        <v>731</v>
      </c>
      <c r="J128" s="3" t="s">
        <v>1080</v>
      </c>
      <c r="K128" s="3" t="s">
        <v>903</v>
      </c>
      <c r="L128" s="3" t="s">
        <v>873</v>
      </c>
      <c r="M128" s="3"/>
      <c r="N128" s="5" t="s">
        <v>314</v>
      </c>
      <c r="O128" s="5" t="s">
        <v>18</v>
      </c>
      <c r="Q128" s="3" t="s">
        <v>757</v>
      </c>
      <c r="R128" s="3" t="s">
        <v>757</v>
      </c>
    </row>
    <row r="129" spans="1:18">
      <c r="A129" s="2" t="s">
        <v>342</v>
      </c>
      <c r="B129" s="6" t="s">
        <v>318</v>
      </c>
      <c r="C129" s="5" t="s">
        <v>317</v>
      </c>
      <c r="E129" s="5" t="s">
        <v>317</v>
      </c>
      <c r="F129" s="5"/>
      <c r="G129" s="5" t="s">
        <v>16</v>
      </c>
      <c r="H129" s="5" t="s">
        <v>782</v>
      </c>
      <c r="I129" s="2" t="s">
        <v>731</v>
      </c>
      <c r="J129" s="3" t="s">
        <v>1080</v>
      </c>
      <c r="K129" s="3" t="s">
        <v>903</v>
      </c>
      <c r="L129" s="3" t="s">
        <v>873</v>
      </c>
      <c r="M129" s="3"/>
      <c r="N129" s="5" t="s">
        <v>317</v>
      </c>
      <c r="O129" s="5" t="s">
        <v>18</v>
      </c>
      <c r="Q129" s="3" t="s">
        <v>749</v>
      </c>
      <c r="R129" s="3" t="s">
        <v>749</v>
      </c>
    </row>
    <row r="130" spans="1:18">
      <c r="A130" s="2" t="s">
        <v>342</v>
      </c>
      <c r="B130" s="6" t="s">
        <v>320</v>
      </c>
      <c r="C130" s="5" t="s">
        <v>319</v>
      </c>
      <c r="E130" s="5" t="s">
        <v>319</v>
      </c>
      <c r="F130" s="5"/>
      <c r="G130" s="5" t="s">
        <v>16</v>
      </c>
      <c r="H130" s="5" t="s">
        <v>782</v>
      </c>
      <c r="I130" s="2" t="s">
        <v>731</v>
      </c>
      <c r="J130" s="3" t="s">
        <v>1080</v>
      </c>
      <c r="K130" s="3" t="s">
        <v>903</v>
      </c>
      <c r="L130" s="3" t="s">
        <v>873</v>
      </c>
      <c r="M130" s="3"/>
      <c r="N130" s="5" t="s">
        <v>319</v>
      </c>
      <c r="O130" s="5" t="s">
        <v>18</v>
      </c>
      <c r="Q130" s="3" t="s">
        <v>760</v>
      </c>
      <c r="R130" s="3" t="s">
        <v>760</v>
      </c>
    </row>
    <row r="131" spans="1:18">
      <c r="A131" s="2" t="s">
        <v>342</v>
      </c>
      <c r="B131" s="6" t="s">
        <v>322</v>
      </c>
      <c r="C131" s="5" t="s">
        <v>321</v>
      </c>
      <c r="E131" s="5" t="s">
        <v>321</v>
      </c>
      <c r="F131" s="5"/>
      <c r="G131"/>
      <c r="H131" s="5" t="s">
        <v>782</v>
      </c>
      <c r="I131" s="2" t="s">
        <v>731</v>
      </c>
      <c r="J131" s="3" t="s">
        <v>1080</v>
      </c>
      <c r="K131" s="3" t="s">
        <v>903</v>
      </c>
      <c r="L131" s="3" t="s">
        <v>873</v>
      </c>
      <c r="M131" s="3"/>
      <c r="N131" s="5" t="s">
        <v>321</v>
      </c>
      <c r="O131" s="5" t="s">
        <v>18</v>
      </c>
      <c r="Q131" s="3" t="s">
        <v>758</v>
      </c>
      <c r="R131" s="3" t="s">
        <v>758</v>
      </c>
    </row>
    <row r="132" spans="1:18">
      <c r="A132" s="2" t="s">
        <v>342</v>
      </c>
      <c r="B132" s="6" t="s">
        <v>324</v>
      </c>
      <c r="C132" s="5" t="s">
        <v>323</v>
      </c>
      <c r="E132" s="5" t="s">
        <v>323</v>
      </c>
      <c r="F132" s="5"/>
      <c r="G132"/>
      <c r="H132" s="5" t="s">
        <v>782</v>
      </c>
      <c r="I132" s="2" t="s">
        <v>731</v>
      </c>
      <c r="J132" s="3" t="s">
        <v>1080</v>
      </c>
      <c r="K132" s="3" t="s">
        <v>903</v>
      </c>
      <c r="L132" s="3" t="s">
        <v>873</v>
      </c>
      <c r="M132" s="3"/>
      <c r="N132" s="5" t="s">
        <v>323</v>
      </c>
      <c r="O132" s="5" t="s">
        <v>18</v>
      </c>
      <c r="Q132" s="3" t="s">
        <v>756</v>
      </c>
      <c r="R132" s="3" t="s">
        <v>756</v>
      </c>
    </row>
    <row r="133" spans="1:18">
      <c r="A133" s="2" t="s">
        <v>342</v>
      </c>
      <c r="B133" s="6" t="s">
        <v>326</v>
      </c>
      <c r="C133" s="5" t="s">
        <v>325</v>
      </c>
      <c r="E133" s="5" t="s">
        <v>325</v>
      </c>
      <c r="F133" s="5"/>
      <c r="G133" s="5" t="s">
        <v>58</v>
      </c>
      <c r="H133" s="5" t="s">
        <v>58</v>
      </c>
      <c r="I133" s="15" t="s">
        <v>891</v>
      </c>
      <c r="J133" s="3" t="s">
        <v>1080</v>
      </c>
      <c r="K133" s="3" t="s">
        <v>903</v>
      </c>
      <c r="L133" s="3" t="s">
        <v>873</v>
      </c>
      <c r="M133" s="3"/>
      <c r="N133" s="5" t="s">
        <v>325</v>
      </c>
      <c r="O133" s="5" t="s">
        <v>22</v>
      </c>
      <c r="Q133" s="3" t="s">
        <v>757</v>
      </c>
      <c r="R133" s="3" t="s">
        <v>757</v>
      </c>
    </row>
    <row r="134" spans="1:18">
      <c r="A134" s="2" t="s">
        <v>342</v>
      </c>
      <c r="B134" s="6" t="s">
        <v>327</v>
      </c>
      <c r="C134" s="5" t="s">
        <v>325</v>
      </c>
      <c r="E134" s="5" t="s">
        <v>325</v>
      </c>
      <c r="F134" s="5"/>
      <c r="G134" s="5" t="s">
        <v>16</v>
      </c>
      <c r="H134" s="5" t="s">
        <v>781</v>
      </c>
      <c r="I134" s="2" t="s">
        <v>731</v>
      </c>
      <c r="J134" s="3" t="s">
        <v>1080</v>
      </c>
      <c r="K134" s="3" t="s">
        <v>903</v>
      </c>
      <c r="L134" s="3" t="s">
        <v>873</v>
      </c>
      <c r="M134" s="3"/>
      <c r="N134" s="5" t="s">
        <v>325</v>
      </c>
      <c r="O134" s="5" t="s">
        <v>26</v>
      </c>
      <c r="Q134" s="3" t="s">
        <v>757</v>
      </c>
      <c r="R134" s="3" t="s">
        <v>757</v>
      </c>
    </row>
    <row r="135" spans="1:18">
      <c r="A135" s="2" t="s">
        <v>342</v>
      </c>
      <c r="B135" s="6" t="s">
        <v>328</v>
      </c>
      <c r="C135" s="5" t="s">
        <v>325</v>
      </c>
      <c r="E135" s="5" t="s">
        <v>325</v>
      </c>
      <c r="F135" s="5"/>
      <c r="G135" s="5" t="s">
        <v>16</v>
      </c>
      <c r="H135" s="5" t="s">
        <v>782</v>
      </c>
      <c r="I135" s="2" t="s">
        <v>731</v>
      </c>
      <c r="J135" s="3" t="s">
        <v>1080</v>
      </c>
      <c r="K135" s="3" t="s">
        <v>903</v>
      </c>
      <c r="L135" s="3" t="s">
        <v>873</v>
      </c>
      <c r="M135" s="3"/>
      <c r="N135" s="5" t="s">
        <v>325</v>
      </c>
      <c r="O135" s="5" t="s">
        <v>18</v>
      </c>
      <c r="Q135" s="3" t="s">
        <v>757</v>
      </c>
      <c r="R135" s="3" t="s">
        <v>757</v>
      </c>
    </row>
    <row r="136" spans="1:18">
      <c r="A136" s="2" t="s">
        <v>342</v>
      </c>
      <c r="B136" s="6" t="s">
        <v>330</v>
      </c>
      <c r="C136" s="5" t="s">
        <v>329</v>
      </c>
      <c r="E136" s="5" t="s">
        <v>329</v>
      </c>
      <c r="F136" s="5"/>
      <c r="G136" s="5" t="s">
        <v>58</v>
      </c>
      <c r="H136" s="5" t="s">
        <v>58</v>
      </c>
      <c r="I136" s="15" t="s">
        <v>891</v>
      </c>
      <c r="J136" s="3" t="s">
        <v>1080</v>
      </c>
      <c r="K136" s="3" t="s">
        <v>903</v>
      </c>
      <c r="L136" s="3" t="s">
        <v>873</v>
      </c>
      <c r="M136" s="3"/>
      <c r="N136" s="5" t="s">
        <v>329</v>
      </c>
      <c r="O136" s="5" t="s">
        <v>39</v>
      </c>
      <c r="Q136" s="3" t="s">
        <v>759</v>
      </c>
      <c r="R136" s="3" t="s">
        <v>759</v>
      </c>
    </row>
    <row r="137" spans="1:18">
      <c r="A137" s="2" t="s">
        <v>342</v>
      </c>
      <c r="B137" s="6" t="s">
        <v>331</v>
      </c>
      <c r="C137" s="5" t="s">
        <v>329</v>
      </c>
      <c r="E137" s="5" t="s">
        <v>329</v>
      </c>
      <c r="F137" s="5"/>
      <c r="G137"/>
      <c r="H137" s="5" t="s">
        <v>781</v>
      </c>
      <c r="I137" s="2" t="s">
        <v>731</v>
      </c>
      <c r="J137" s="3" t="s">
        <v>1080</v>
      </c>
      <c r="K137" s="3" t="s">
        <v>903</v>
      </c>
      <c r="L137" s="3" t="s">
        <v>873</v>
      </c>
      <c r="M137" s="3"/>
      <c r="N137" s="5" t="s">
        <v>329</v>
      </c>
      <c r="O137" s="5" t="s">
        <v>14</v>
      </c>
      <c r="Q137" s="3" t="s">
        <v>759</v>
      </c>
      <c r="R137" s="3" t="s">
        <v>759</v>
      </c>
    </row>
    <row r="138" spans="1:18">
      <c r="A138" s="2" t="s">
        <v>342</v>
      </c>
      <c r="B138" s="6" t="s">
        <v>333</v>
      </c>
      <c r="C138" s="5" t="s">
        <v>329</v>
      </c>
      <c r="E138" s="5" t="s">
        <v>329</v>
      </c>
      <c r="F138" s="5"/>
      <c r="G138" s="5" t="s">
        <v>16</v>
      </c>
      <c r="H138" s="5" t="s">
        <v>782</v>
      </c>
      <c r="I138" s="2" t="s">
        <v>731</v>
      </c>
      <c r="J138" s="3" t="s">
        <v>1080</v>
      </c>
      <c r="K138" s="3" t="s">
        <v>903</v>
      </c>
      <c r="L138" s="3" t="s">
        <v>873</v>
      </c>
      <c r="M138" s="3"/>
      <c r="N138" s="5" t="s">
        <v>329</v>
      </c>
      <c r="O138" s="5" t="s">
        <v>332</v>
      </c>
      <c r="Q138" s="3" t="s">
        <v>759</v>
      </c>
      <c r="R138" s="3" t="s">
        <v>759</v>
      </c>
    </row>
    <row r="139" spans="1:18">
      <c r="A139" s="2" t="s">
        <v>342</v>
      </c>
      <c r="B139" s="6" t="s">
        <v>335</v>
      </c>
      <c r="C139" s="5" t="s">
        <v>334</v>
      </c>
      <c r="E139" s="5" t="s">
        <v>334</v>
      </c>
      <c r="F139" s="5"/>
      <c r="G139"/>
      <c r="H139" s="5" t="s">
        <v>58</v>
      </c>
      <c r="I139" s="15" t="s">
        <v>891</v>
      </c>
      <c r="J139" s="3" t="s">
        <v>1080</v>
      </c>
      <c r="K139" s="3" t="s">
        <v>903</v>
      </c>
      <c r="L139" s="3" t="s">
        <v>873</v>
      </c>
      <c r="M139" s="3"/>
      <c r="N139" s="5" t="s">
        <v>334</v>
      </c>
      <c r="O139" s="5" t="s">
        <v>22</v>
      </c>
      <c r="Q139" s="3" t="s">
        <v>755</v>
      </c>
      <c r="R139" s="3" t="s">
        <v>755</v>
      </c>
    </row>
    <row r="140" spans="1:18">
      <c r="A140" s="2" t="s">
        <v>342</v>
      </c>
      <c r="B140" s="6" t="s">
        <v>336</v>
      </c>
      <c r="C140" s="5" t="s">
        <v>334</v>
      </c>
      <c r="E140" s="5" t="s">
        <v>334</v>
      </c>
      <c r="F140" s="5"/>
      <c r="G140" s="5" t="s">
        <v>16</v>
      </c>
      <c r="H140" s="5" t="s">
        <v>781</v>
      </c>
      <c r="I140" s="2" t="s">
        <v>731</v>
      </c>
      <c r="J140" s="3" t="s">
        <v>1080</v>
      </c>
      <c r="K140" s="3" t="s">
        <v>903</v>
      </c>
      <c r="L140" s="3" t="s">
        <v>873</v>
      </c>
      <c r="M140" s="3"/>
      <c r="N140" s="5" t="s">
        <v>334</v>
      </c>
      <c r="O140" s="5" t="s">
        <v>26</v>
      </c>
      <c r="Q140" s="3" t="s">
        <v>755</v>
      </c>
      <c r="R140" s="3" t="s">
        <v>755</v>
      </c>
    </row>
    <row r="141" spans="1:18">
      <c r="A141" s="2" t="s">
        <v>342</v>
      </c>
      <c r="B141" s="6" t="s">
        <v>337</v>
      </c>
      <c r="C141" s="5" t="s">
        <v>334</v>
      </c>
      <c r="E141" s="5" t="s">
        <v>334</v>
      </c>
      <c r="F141" s="5"/>
      <c r="G141" s="5" t="s">
        <v>16</v>
      </c>
      <c r="H141" s="5" t="s">
        <v>782</v>
      </c>
      <c r="I141" s="2" t="s">
        <v>731</v>
      </c>
      <c r="J141" s="3" t="s">
        <v>1080</v>
      </c>
      <c r="K141" s="3" t="s">
        <v>903</v>
      </c>
      <c r="L141" s="3" t="s">
        <v>873</v>
      </c>
      <c r="M141" s="3"/>
      <c r="N141" s="5" t="s">
        <v>334</v>
      </c>
      <c r="O141" s="5" t="s">
        <v>18</v>
      </c>
      <c r="Q141" s="3" t="s">
        <v>755</v>
      </c>
      <c r="R141" s="3" t="s">
        <v>755</v>
      </c>
    </row>
    <row r="142" spans="1:18">
      <c r="A142" s="2" t="s">
        <v>342</v>
      </c>
      <c r="B142" s="6" t="s">
        <v>339</v>
      </c>
      <c r="C142" s="5" t="s">
        <v>338</v>
      </c>
      <c r="E142" s="5" t="s">
        <v>338</v>
      </c>
      <c r="F142" s="5"/>
      <c r="G142"/>
      <c r="H142" s="5" t="s">
        <v>58</v>
      </c>
      <c r="I142" s="15" t="s">
        <v>891</v>
      </c>
      <c r="J142" s="3" t="s">
        <v>1080</v>
      </c>
      <c r="K142" s="3" t="s">
        <v>903</v>
      </c>
      <c r="L142" s="3" t="s">
        <v>873</v>
      </c>
      <c r="M142" s="3"/>
      <c r="N142" s="5" t="s">
        <v>338</v>
      </c>
      <c r="O142" s="5" t="s">
        <v>22</v>
      </c>
      <c r="Q142" s="3" t="s">
        <v>758</v>
      </c>
      <c r="R142" s="3" t="s">
        <v>758</v>
      </c>
    </row>
    <row r="143" spans="1:18">
      <c r="A143" s="2" t="s">
        <v>342</v>
      </c>
      <c r="B143" s="6" t="s">
        <v>340</v>
      </c>
      <c r="C143" s="5" t="s">
        <v>338</v>
      </c>
      <c r="E143" s="5" t="s">
        <v>338</v>
      </c>
      <c r="F143" s="5"/>
      <c r="G143" s="5" t="s">
        <v>16</v>
      </c>
      <c r="H143" s="5" t="s">
        <v>781</v>
      </c>
      <c r="I143" s="2" t="s">
        <v>731</v>
      </c>
      <c r="J143" s="3" t="s">
        <v>1080</v>
      </c>
      <c r="K143" s="3" t="s">
        <v>903</v>
      </c>
      <c r="L143" s="3" t="s">
        <v>873</v>
      </c>
      <c r="M143" s="3"/>
      <c r="N143" s="5" t="s">
        <v>338</v>
      </c>
      <c r="O143" s="5" t="s">
        <v>26</v>
      </c>
      <c r="Q143" s="3" t="s">
        <v>758</v>
      </c>
      <c r="R143" s="3" t="s">
        <v>758</v>
      </c>
    </row>
    <row r="144" spans="1:18">
      <c r="A144" s="2" t="s">
        <v>342</v>
      </c>
      <c r="B144" s="6" t="s">
        <v>341</v>
      </c>
      <c r="C144" s="5" t="s">
        <v>338</v>
      </c>
      <c r="E144" s="5" t="s">
        <v>338</v>
      </c>
      <c r="F144" s="5"/>
      <c r="G144" s="5" t="s">
        <v>16</v>
      </c>
      <c r="H144" s="5" t="s">
        <v>782</v>
      </c>
      <c r="I144" s="2" t="s">
        <v>731</v>
      </c>
      <c r="J144" s="3" t="s">
        <v>1080</v>
      </c>
      <c r="K144" s="3" t="s">
        <v>903</v>
      </c>
      <c r="L144" s="3" t="s">
        <v>873</v>
      </c>
      <c r="M144" s="3"/>
      <c r="N144" s="5" t="s">
        <v>338</v>
      </c>
      <c r="O144" s="5" t="s">
        <v>18</v>
      </c>
      <c r="Q144" s="3" t="s">
        <v>758</v>
      </c>
      <c r="R144" s="3" t="s">
        <v>758</v>
      </c>
    </row>
    <row r="145" spans="1:18" hidden="1">
      <c r="A145" s="8"/>
      <c r="B145" s="8"/>
      <c r="C145" s="8"/>
      <c r="D145" s="8"/>
      <c r="E145" s="8"/>
      <c r="F145" s="8"/>
      <c r="G145" s="8"/>
      <c r="H145" s="8"/>
      <c r="I145" s="8" t="s">
        <v>731</v>
      </c>
      <c r="J145" s="9"/>
      <c r="K145" s="9"/>
      <c r="L145" s="9" t="s">
        <v>873</v>
      </c>
      <c r="M145" s="9"/>
      <c r="N145" s="8" t="s">
        <v>373</v>
      </c>
      <c r="O145" s="8"/>
      <c r="Q145" s="3" t="s">
        <v>892</v>
      </c>
      <c r="R145" s="3" t="s">
        <v>752</v>
      </c>
    </row>
    <row r="146" spans="1:18">
      <c r="A146" s="2" t="s">
        <v>373</v>
      </c>
      <c r="B146" s="6" t="s">
        <v>344</v>
      </c>
      <c r="C146" s="5" t="s">
        <v>343</v>
      </c>
      <c r="E146" s="5" t="s">
        <v>783</v>
      </c>
      <c r="G146" s="5" t="s">
        <v>217</v>
      </c>
      <c r="H146" s="2" t="s">
        <v>217</v>
      </c>
      <c r="I146" s="17" t="s">
        <v>921</v>
      </c>
      <c r="J146" s="3" t="s">
        <v>1080</v>
      </c>
      <c r="K146" s="3" t="s">
        <v>903</v>
      </c>
      <c r="L146" s="3" t="s">
        <v>873</v>
      </c>
      <c r="M146" s="3"/>
      <c r="N146" s="5" t="s">
        <v>343</v>
      </c>
      <c r="O146" s="5" t="s">
        <v>11</v>
      </c>
      <c r="Q146" s="3" t="s">
        <v>52</v>
      </c>
      <c r="R146" s="3" t="s">
        <v>52</v>
      </c>
    </row>
    <row r="147" spans="1:18">
      <c r="A147" s="2" t="s">
        <v>373</v>
      </c>
      <c r="B147" s="6" t="s">
        <v>345</v>
      </c>
      <c r="C147" s="5" t="s">
        <v>343</v>
      </c>
      <c r="E147" s="5" t="s">
        <v>784</v>
      </c>
      <c r="G147" s="5" t="s">
        <v>346</v>
      </c>
      <c r="H147" s="2" t="s">
        <v>217</v>
      </c>
      <c r="I147" s="17" t="s">
        <v>921</v>
      </c>
      <c r="J147" s="3" t="s">
        <v>1080</v>
      </c>
      <c r="K147" s="3" t="s">
        <v>903</v>
      </c>
      <c r="L147" s="3" t="s">
        <v>873</v>
      </c>
      <c r="M147" s="3"/>
      <c r="N147" s="5" t="s">
        <v>343</v>
      </c>
      <c r="O147" s="5" t="s">
        <v>6</v>
      </c>
      <c r="Q147" s="3" t="s">
        <v>758</v>
      </c>
      <c r="R147" s="3" t="s">
        <v>758</v>
      </c>
    </row>
    <row r="148" spans="1:18">
      <c r="A148" s="2" t="s">
        <v>373</v>
      </c>
      <c r="B148" s="6" t="s">
        <v>347</v>
      </c>
      <c r="C148" s="5" t="s">
        <v>343</v>
      </c>
      <c r="E148" s="5" t="s">
        <v>785</v>
      </c>
      <c r="G148" s="5" t="s">
        <v>348</v>
      </c>
      <c r="H148" s="2" t="s">
        <v>16</v>
      </c>
      <c r="I148" s="2" t="s">
        <v>891</v>
      </c>
      <c r="J148" s="3" t="s">
        <v>1080</v>
      </c>
      <c r="K148" s="3" t="s">
        <v>903</v>
      </c>
      <c r="L148" s="3" t="s">
        <v>873</v>
      </c>
      <c r="M148" s="3"/>
      <c r="N148" s="5" t="s">
        <v>343</v>
      </c>
      <c r="O148" s="5" t="s">
        <v>14</v>
      </c>
      <c r="Q148" s="3" t="s">
        <v>756</v>
      </c>
      <c r="R148" s="3" t="s">
        <v>756</v>
      </c>
    </row>
    <row r="149" spans="1:18">
      <c r="A149" s="2" t="s">
        <v>373</v>
      </c>
      <c r="B149" s="6" t="s">
        <v>349</v>
      </c>
      <c r="C149" s="5" t="s">
        <v>343</v>
      </c>
      <c r="E149" s="5" t="s">
        <v>786</v>
      </c>
      <c r="G149" s="5" t="s">
        <v>16</v>
      </c>
      <c r="H149" s="2" t="s">
        <v>16</v>
      </c>
      <c r="I149" s="2" t="s">
        <v>891</v>
      </c>
      <c r="J149" s="3" t="s">
        <v>1080</v>
      </c>
      <c r="K149" s="3" t="s">
        <v>903</v>
      </c>
      <c r="L149" s="3" t="s">
        <v>873</v>
      </c>
      <c r="M149" s="3"/>
      <c r="N149" s="5" t="s">
        <v>343</v>
      </c>
      <c r="O149" s="5" t="s">
        <v>18</v>
      </c>
      <c r="Q149" s="3" t="s">
        <v>755</v>
      </c>
      <c r="R149" s="3" t="s">
        <v>755</v>
      </c>
    </row>
    <row r="150" spans="1:18">
      <c r="A150" s="2" t="s">
        <v>373</v>
      </c>
      <c r="B150" s="6" t="s">
        <v>351</v>
      </c>
      <c r="C150" s="5" t="s">
        <v>350</v>
      </c>
      <c r="E150" s="5" t="s">
        <v>787</v>
      </c>
      <c r="G150" s="5" t="s">
        <v>352</v>
      </c>
      <c r="H150" s="2" t="s">
        <v>217</v>
      </c>
      <c r="I150" s="17" t="s">
        <v>921</v>
      </c>
      <c r="J150" s="3" t="s">
        <v>1080</v>
      </c>
      <c r="K150" s="3" t="s">
        <v>903</v>
      </c>
      <c r="L150" s="3" t="s">
        <v>873</v>
      </c>
      <c r="M150" s="3"/>
      <c r="N150" s="5" t="s">
        <v>350</v>
      </c>
      <c r="O150" s="5" t="s">
        <v>11</v>
      </c>
      <c r="Q150" s="3" t="s">
        <v>760</v>
      </c>
      <c r="R150" s="3" t="s">
        <v>760</v>
      </c>
    </row>
    <row r="151" spans="1:18">
      <c r="A151" s="2" t="s">
        <v>373</v>
      </c>
      <c r="B151" s="6" t="s">
        <v>353</v>
      </c>
      <c r="C151" s="5" t="s">
        <v>350</v>
      </c>
      <c r="E151" s="5" t="s">
        <v>788</v>
      </c>
      <c r="G151" s="5" t="s">
        <v>354</v>
      </c>
      <c r="H151" s="2" t="s">
        <v>217</v>
      </c>
      <c r="I151" s="17" t="s">
        <v>921</v>
      </c>
      <c r="J151" s="3" t="s">
        <v>1080</v>
      </c>
      <c r="K151" s="3" t="s">
        <v>903</v>
      </c>
      <c r="L151" s="3" t="s">
        <v>873</v>
      </c>
      <c r="M151" s="3"/>
      <c r="N151" s="5" t="s">
        <v>350</v>
      </c>
      <c r="O151" s="5" t="s">
        <v>6</v>
      </c>
      <c r="Q151" s="3" t="s">
        <v>759</v>
      </c>
      <c r="R151" s="3" t="s">
        <v>759</v>
      </c>
    </row>
    <row r="152" spans="1:18">
      <c r="A152" s="2" t="s">
        <v>373</v>
      </c>
      <c r="B152" s="6" t="s">
        <v>355</v>
      </c>
      <c r="C152" s="5" t="s">
        <v>350</v>
      </c>
      <c r="E152" s="5" t="s">
        <v>789</v>
      </c>
      <c r="G152" s="5" t="s">
        <v>356</v>
      </c>
      <c r="H152" s="2" t="s">
        <v>16</v>
      </c>
      <c r="I152" s="2" t="s">
        <v>891</v>
      </c>
      <c r="J152" s="3" t="s">
        <v>1080</v>
      </c>
      <c r="K152" s="3" t="s">
        <v>903</v>
      </c>
      <c r="L152" s="3" t="s">
        <v>873</v>
      </c>
      <c r="M152" s="3"/>
      <c r="N152" s="5" t="s">
        <v>350</v>
      </c>
      <c r="O152" s="5" t="s">
        <v>14</v>
      </c>
      <c r="Q152" s="14" t="s">
        <v>53</v>
      </c>
      <c r="R152" s="14" t="s">
        <v>53</v>
      </c>
    </row>
    <row r="153" spans="1:18">
      <c r="A153" s="2" t="s">
        <v>373</v>
      </c>
      <c r="B153" s="6" t="s">
        <v>357</v>
      </c>
      <c r="C153" s="5" t="s">
        <v>350</v>
      </c>
      <c r="E153" s="5" t="s">
        <v>790</v>
      </c>
      <c r="G153" s="5" t="s">
        <v>358</v>
      </c>
      <c r="H153" s="2" t="s">
        <v>16</v>
      </c>
      <c r="I153" s="2" t="s">
        <v>891</v>
      </c>
      <c r="J153" s="3" t="s">
        <v>1080</v>
      </c>
      <c r="K153" s="3" t="s">
        <v>903</v>
      </c>
      <c r="L153" s="3" t="s">
        <v>873</v>
      </c>
      <c r="M153" s="3"/>
      <c r="N153" s="5" t="s">
        <v>350</v>
      </c>
      <c r="O153" s="5" t="s">
        <v>18</v>
      </c>
      <c r="Q153" s="14" t="s">
        <v>52</v>
      </c>
      <c r="R153" s="14" t="s">
        <v>52</v>
      </c>
    </row>
    <row r="154" spans="1:18">
      <c r="A154" s="2" t="s">
        <v>373</v>
      </c>
      <c r="B154" s="6" t="s">
        <v>361</v>
      </c>
      <c r="C154" s="5" t="s">
        <v>359</v>
      </c>
      <c r="E154" s="5" t="s">
        <v>791</v>
      </c>
      <c r="G154" s="5" t="s">
        <v>352</v>
      </c>
      <c r="H154" s="2" t="s">
        <v>217</v>
      </c>
      <c r="I154" s="17" t="s">
        <v>921</v>
      </c>
      <c r="J154" s="3" t="s">
        <v>1080</v>
      </c>
      <c r="K154" s="3" t="s">
        <v>903</v>
      </c>
      <c r="L154" s="3" t="s">
        <v>873</v>
      </c>
      <c r="M154" s="3"/>
      <c r="N154" s="5" t="s">
        <v>359</v>
      </c>
      <c r="O154" s="5" t="s">
        <v>360</v>
      </c>
      <c r="Q154" s="14" t="s">
        <v>863</v>
      </c>
      <c r="R154" s="14" t="s">
        <v>863</v>
      </c>
    </row>
    <row r="155" spans="1:18" ht="25.5">
      <c r="A155" s="2" t="s">
        <v>373</v>
      </c>
      <c r="B155" s="6" t="s">
        <v>363</v>
      </c>
      <c r="C155" s="5" t="s">
        <v>359</v>
      </c>
      <c r="E155" s="5" t="s">
        <v>792</v>
      </c>
      <c r="G155" s="5" t="s">
        <v>354</v>
      </c>
      <c r="H155" s="2" t="s">
        <v>217</v>
      </c>
      <c r="I155" s="17" t="s">
        <v>921</v>
      </c>
      <c r="J155" s="3" t="s">
        <v>1080</v>
      </c>
      <c r="K155" s="3" t="s">
        <v>903</v>
      </c>
      <c r="L155" s="3" t="s">
        <v>873</v>
      </c>
      <c r="M155" s="3"/>
      <c r="N155" s="5" t="s">
        <v>359</v>
      </c>
      <c r="O155" s="5" t="s">
        <v>362</v>
      </c>
      <c r="Q155" s="14" t="s">
        <v>751</v>
      </c>
      <c r="R155" s="14" t="s">
        <v>751</v>
      </c>
    </row>
    <row r="156" spans="1:18">
      <c r="A156" s="2" t="s">
        <v>373</v>
      </c>
      <c r="B156" s="6" t="s">
        <v>365</v>
      </c>
      <c r="C156" s="5" t="s">
        <v>359</v>
      </c>
      <c r="E156" s="5" t="s">
        <v>793</v>
      </c>
      <c r="G156" s="5" t="s">
        <v>356</v>
      </c>
      <c r="H156" s="2" t="s">
        <v>16</v>
      </c>
      <c r="I156" s="2" t="s">
        <v>891</v>
      </c>
      <c r="J156" s="3" t="s">
        <v>1080</v>
      </c>
      <c r="K156" s="3" t="s">
        <v>903</v>
      </c>
      <c r="L156" s="3" t="s">
        <v>873</v>
      </c>
      <c r="M156" s="3"/>
      <c r="N156" s="5" t="s">
        <v>359</v>
      </c>
      <c r="O156" s="5" t="s">
        <v>364</v>
      </c>
      <c r="Q156" s="10" t="s">
        <v>761</v>
      </c>
      <c r="R156" s="10" t="s">
        <v>761</v>
      </c>
    </row>
    <row r="157" spans="1:18">
      <c r="A157" s="2" t="s">
        <v>373</v>
      </c>
      <c r="B157" s="6" t="s">
        <v>367</v>
      </c>
      <c r="C157" s="5" t="s">
        <v>359</v>
      </c>
      <c r="E157" s="5" t="s">
        <v>794</v>
      </c>
      <c r="G157" s="5" t="s">
        <v>358</v>
      </c>
      <c r="H157" s="2" t="s">
        <v>16</v>
      </c>
      <c r="I157" s="2" t="s">
        <v>891</v>
      </c>
      <c r="J157" s="3" t="s">
        <v>1080</v>
      </c>
      <c r="K157" s="3" t="s">
        <v>903</v>
      </c>
      <c r="L157" s="3" t="s">
        <v>873</v>
      </c>
      <c r="M157" s="3"/>
      <c r="N157" s="5" t="s">
        <v>359</v>
      </c>
      <c r="O157" s="5" t="s">
        <v>366</v>
      </c>
      <c r="Q157" s="10" t="s">
        <v>758</v>
      </c>
      <c r="R157" s="10" t="s">
        <v>758</v>
      </c>
    </row>
    <row r="158" spans="1:18" ht="25.5">
      <c r="A158" s="2" t="s">
        <v>373</v>
      </c>
      <c r="B158" s="6" t="s">
        <v>369</v>
      </c>
      <c r="C158" s="5" t="s">
        <v>368</v>
      </c>
      <c r="E158" s="5" t="s">
        <v>795</v>
      </c>
      <c r="G158" s="5" t="s">
        <v>352</v>
      </c>
      <c r="H158" s="2" t="s">
        <v>217</v>
      </c>
      <c r="I158" s="17" t="s">
        <v>921</v>
      </c>
      <c r="J158" s="3" t="s">
        <v>1080</v>
      </c>
      <c r="K158" s="3" t="s">
        <v>903</v>
      </c>
      <c r="L158" s="3" t="s">
        <v>873</v>
      </c>
      <c r="M158" s="3"/>
      <c r="N158" s="5" t="s">
        <v>368</v>
      </c>
      <c r="O158" s="5" t="s">
        <v>360</v>
      </c>
      <c r="Q158" s="10" t="s">
        <v>864</v>
      </c>
      <c r="R158" s="10" t="s">
        <v>864</v>
      </c>
    </row>
    <row r="159" spans="1:18" ht="25.5">
      <c r="A159" s="2" t="s">
        <v>373</v>
      </c>
      <c r="B159" s="6" t="s">
        <v>370</v>
      </c>
      <c r="C159" s="5" t="s">
        <v>368</v>
      </c>
      <c r="E159" s="5" t="s">
        <v>796</v>
      </c>
      <c r="G159" s="5" t="s">
        <v>354</v>
      </c>
      <c r="H159" s="2" t="s">
        <v>217</v>
      </c>
      <c r="I159" s="17" t="s">
        <v>921</v>
      </c>
      <c r="J159" s="3" t="s">
        <v>1080</v>
      </c>
      <c r="K159" s="3" t="s">
        <v>903</v>
      </c>
      <c r="L159" s="3" t="s">
        <v>873</v>
      </c>
      <c r="M159" s="3"/>
      <c r="N159" s="5" t="s">
        <v>368</v>
      </c>
      <c r="O159" s="5" t="s">
        <v>362</v>
      </c>
      <c r="Q159" s="10" t="s">
        <v>865</v>
      </c>
      <c r="R159" s="10" t="s">
        <v>865</v>
      </c>
    </row>
    <row r="160" spans="1:18" ht="25.5">
      <c r="A160" s="2" t="s">
        <v>373</v>
      </c>
      <c r="B160" s="6" t="s">
        <v>371</v>
      </c>
      <c r="C160" s="5" t="s">
        <v>368</v>
      </c>
      <c r="E160" s="5" t="s">
        <v>797</v>
      </c>
      <c r="G160" s="5" t="s">
        <v>356</v>
      </c>
      <c r="H160" s="2" t="s">
        <v>16</v>
      </c>
      <c r="I160" s="2" t="s">
        <v>891</v>
      </c>
      <c r="J160" s="3" t="s">
        <v>1080</v>
      </c>
      <c r="K160" s="3" t="s">
        <v>903</v>
      </c>
      <c r="L160" s="3" t="s">
        <v>873</v>
      </c>
      <c r="M160" s="3"/>
      <c r="N160" s="5" t="s">
        <v>368</v>
      </c>
      <c r="O160" s="5" t="s">
        <v>364</v>
      </c>
      <c r="Q160" s="13" t="s">
        <v>759</v>
      </c>
      <c r="R160" s="13" t="s">
        <v>759</v>
      </c>
    </row>
    <row r="161" spans="1:18" ht="25.5">
      <c r="A161" s="2" t="s">
        <v>373</v>
      </c>
      <c r="B161" s="6" t="s">
        <v>372</v>
      </c>
      <c r="C161" s="5" t="s">
        <v>368</v>
      </c>
      <c r="E161" s="5" t="s">
        <v>798</v>
      </c>
      <c r="G161" s="5" t="s">
        <v>358</v>
      </c>
      <c r="H161" s="2" t="s">
        <v>16</v>
      </c>
      <c r="I161" s="2" t="s">
        <v>891</v>
      </c>
      <c r="J161" s="3" t="s">
        <v>1080</v>
      </c>
      <c r="K161" s="3" t="s">
        <v>903</v>
      </c>
      <c r="L161" s="3" t="s">
        <v>873</v>
      </c>
      <c r="M161" s="3"/>
      <c r="N161" s="5" t="s">
        <v>368</v>
      </c>
      <c r="O161" s="5" t="s">
        <v>366</v>
      </c>
      <c r="Q161" s="13" t="s">
        <v>866</v>
      </c>
      <c r="R161" s="13" t="s">
        <v>866</v>
      </c>
    </row>
    <row r="162" spans="1:18" hidden="1">
      <c r="A162" s="8"/>
      <c r="B162" s="8"/>
      <c r="C162" s="8"/>
      <c r="D162" s="8"/>
      <c r="E162" s="8"/>
      <c r="F162" s="8"/>
      <c r="G162" s="8"/>
      <c r="H162" s="8"/>
      <c r="I162" s="8" t="s">
        <v>731</v>
      </c>
      <c r="J162" s="9" t="s">
        <v>52</v>
      </c>
      <c r="K162" s="9"/>
      <c r="L162" s="9" t="s">
        <v>873</v>
      </c>
      <c r="M162" s="9"/>
      <c r="N162" s="8" t="s">
        <v>393</v>
      </c>
      <c r="O162" s="8"/>
      <c r="Q162" s="10" t="s">
        <v>749</v>
      </c>
      <c r="R162" s="10" t="s">
        <v>749</v>
      </c>
    </row>
    <row r="163" spans="1:18" ht="25.5">
      <c r="A163" s="2" t="s">
        <v>393</v>
      </c>
      <c r="B163" s="6" t="s">
        <v>376</v>
      </c>
      <c r="C163" s="16" t="s">
        <v>911</v>
      </c>
      <c r="D163" s="5" t="s">
        <v>904</v>
      </c>
      <c r="E163" s="5" t="s">
        <v>799</v>
      </c>
      <c r="F163" s="5"/>
      <c r="G163" s="5" t="s">
        <v>377</v>
      </c>
      <c r="H163" s="5" t="s">
        <v>811</v>
      </c>
      <c r="I163" s="17" t="s">
        <v>921</v>
      </c>
      <c r="J163" s="3" t="s">
        <v>1080</v>
      </c>
      <c r="K163" s="3" t="s">
        <v>903</v>
      </c>
      <c r="L163" s="3" t="s">
        <v>873</v>
      </c>
      <c r="M163" s="3"/>
      <c r="N163" s="5" t="s">
        <v>374</v>
      </c>
      <c r="O163" s="5" t="s">
        <v>375</v>
      </c>
      <c r="Q163" s="10" t="s">
        <v>756</v>
      </c>
      <c r="R163" s="10" t="s">
        <v>756</v>
      </c>
    </row>
    <row r="164" spans="1:18">
      <c r="A164" s="2" t="s">
        <v>393</v>
      </c>
      <c r="B164" s="6" t="s">
        <v>378</v>
      </c>
      <c r="C164" s="16" t="s">
        <v>912</v>
      </c>
      <c r="D164" s="5" t="s">
        <v>904</v>
      </c>
      <c r="E164" s="5" t="s">
        <v>800</v>
      </c>
      <c r="F164" s="5"/>
      <c r="G164" s="5" t="s">
        <v>348</v>
      </c>
      <c r="H164" s="5" t="s">
        <v>781</v>
      </c>
      <c r="I164" s="2" t="s">
        <v>891</v>
      </c>
      <c r="J164" s="3" t="s">
        <v>1080</v>
      </c>
      <c r="K164" s="3" t="s">
        <v>903</v>
      </c>
      <c r="L164" s="3" t="s">
        <v>873</v>
      </c>
      <c r="M164" s="3"/>
      <c r="N164" s="5" t="s">
        <v>374</v>
      </c>
      <c r="O164" s="5" t="s">
        <v>14</v>
      </c>
      <c r="Q164" s="11" t="s">
        <v>757</v>
      </c>
      <c r="R164" s="11" t="s">
        <v>757</v>
      </c>
    </row>
    <row r="165" spans="1:18" ht="25.5">
      <c r="A165" s="2" t="s">
        <v>393</v>
      </c>
      <c r="B165" s="6" t="s">
        <v>380</v>
      </c>
      <c r="C165" s="16" t="s">
        <v>913</v>
      </c>
      <c r="D165" s="5" t="s">
        <v>818</v>
      </c>
      <c r="E165" s="5" t="s">
        <v>801</v>
      </c>
      <c r="F165" s="5"/>
      <c r="G165" s="5" t="s">
        <v>352</v>
      </c>
      <c r="H165" s="5" t="s">
        <v>812</v>
      </c>
      <c r="I165" s="2" t="s">
        <v>921</v>
      </c>
      <c r="J165" s="3" t="s">
        <v>1080</v>
      </c>
      <c r="K165" s="3" t="s">
        <v>903</v>
      </c>
      <c r="L165" s="3" t="s">
        <v>873</v>
      </c>
      <c r="M165" s="3"/>
      <c r="N165" s="5" t="s">
        <v>379</v>
      </c>
      <c r="O165" s="5" t="s">
        <v>360</v>
      </c>
      <c r="Q165" s="11" t="s">
        <v>867</v>
      </c>
      <c r="R165" s="11" t="s">
        <v>867</v>
      </c>
    </row>
    <row r="166" spans="1:18" ht="25.5">
      <c r="A166" s="2" t="s">
        <v>393</v>
      </c>
      <c r="B166" s="6" t="s">
        <v>381</v>
      </c>
      <c r="C166" s="16" t="s">
        <v>914</v>
      </c>
      <c r="D166" s="5" t="s">
        <v>818</v>
      </c>
      <c r="E166" s="5" t="s">
        <v>802</v>
      </c>
      <c r="F166" s="5"/>
      <c r="G166" s="5" t="s">
        <v>354</v>
      </c>
      <c r="H166" s="5" t="s">
        <v>812</v>
      </c>
      <c r="I166" s="2" t="s">
        <v>921</v>
      </c>
      <c r="J166" s="3" t="s">
        <v>1080</v>
      </c>
      <c r="K166" s="3" t="s">
        <v>903</v>
      </c>
      <c r="L166" s="3" t="s">
        <v>873</v>
      </c>
      <c r="M166" s="3"/>
      <c r="N166" s="5" t="s">
        <v>379</v>
      </c>
      <c r="O166" s="5" t="s">
        <v>362</v>
      </c>
      <c r="Q166" s="12" t="s">
        <v>752</v>
      </c>
      <c r="R166" s="12" t="s">
        <v>752</v>
      </c>
    </row>
    <row r="167" spans="1:18" ht="25.5">
      <c r="A167" s="2" t="s">
        <v>393</v>
      </c>
      <c r="B167" s="6" t="s">
        <v>383</v>
      </c>
      <c r="C167" s="16" t="s">
        <v>915</v>
      </c>
      <c r="D167" s="5" t="s">
        <v>818</v>
      </c>
      <c r="E167" s="5" t="s">
        <v>803</v>
      </c>
      <c r="F167" s="5"/>
      <c r="G167" s="5" t="s">
        <v>356</v>
      </c>
      <c r="H167" s="5" t="s">
        <v>813</v>
      </c>
      <c r="I167" s="2" t="s">
        <v>891</v>
      </c>
      <c r="J167" s="3" t="s">
        <v>1080</v>
      </c>
      <c r="K167" s="3" t="s">
        <v>903</v>
      </c>
      <c r="L167" s="3" t="s">
        <v>873</v>
      </c>
      <c r="M167" s="3"/>
      <c r="N167" s="5" t="s">
        <v>379</v>
      </c>
      <c r="O167" s="5" t="s">
        <v>382</v>
      </c>
      <c r="Q167" s="12" t="s">
        <v>750</v>
      </c>
      <c r="R167" s="12" t="s">
        <v>750</v>
      </c>
    </row>
    <row r="168" spans="1:18" ht="25.5">
      <c r="A168" s="2" t="s">
        <v>393</v>
      </c>
      <c r="B168" s="6" t="s">
        <v>384</v>
      </c>
      <c r="C168" s="16" t="s">
        <v>916</v>
      </c>
      <c r="D168" s="5" t="s">
        <v>818</v>
      </c>
      <c r="E168" s="5" t="s">
        <v>804</v>
      </c>
      <c r="F168" s="5"/>
      <c r="G168" s="5" t="s">
        <v>358</v>
      </c>
      <c r="H168" s="5" t="s">
        <v>814</v>
      </c>
      <c r="I168" s="2" t="s">
        <v>891</v>
      </c>
      <c r="J168" s="3" t="s">
        <v>1080</v>
      </c>
      <c r="K168" s="3" t="s">
        <v>903</v>
      </c>
      <c r="L168" s="3" t="s">
        <v>873</v>
      </c>
      <c r="M168" s="3"/>
      <c r="N168" s="5" t="s">
        <v>379</v>
      </c>
      <c r="O168" s="5" t="s">
        <v>366</v>
      </c>
      <c r="Q168" s="14" t="s">
        <v>53</v>
      </c>
      <c r="R168" s="14" t="s">
        <v>53</v>
      </c>
    </row>
    <row r="169" spans="1:18" ht="25.5">
      <c r="A169" s="2" t="s">
        <v>393</v>
      </c>
      <c r="B169" s="6" t="s">
        <v>386</v>
      </c>
      <c r="C169" s="16" t="s">
        <v>917</v>
      </c>
      <c r="D169" s="5" t="s">
        <v>818</v>
      </c>
      <c r="E169" s="5" t="s">
        <v>805</v>
      </c>
      <c r="F169" s="5"/>
      <c r="G169" s="5" t="s">
        <v>352</v>
      </c>
      <c r="H169" s="5" t="s">
        <v>812</v>
      </c>
      <c r="I169" s="2" t="s">
        <v>921</v>
      </c>
      <c r="J169" s="3" t="s">
        <v>1080</v>
      </c>
      <c r="K169" s="3" t="s">
        <v>903</v>
      </c>
      <c r="L169" s="3" t="s">
        <v>873</v>
      </c>
      <c r="M169" s="3"/>
      <c r="N169" s="5" t="s">
        <v>385</v>
      </c>
      <c r="O169" s="5" t="s">
        <v>360</v>
      </c>
      <c r="Q169" s="14" t="s">
        <v>52</v>
      </c>
      <c r="R169" s="14" t="s">
        <v>52</v>
      </c>
    </row>
    <row r="170" spans="1:18" ht="25.5">
      <c r="A170" s="2" t="s">
        <v>393</v>
      </c>
      <c r="B170" s="6" t="s">
        <v>387</v>
      </c>
      <c r="C170" s="16" t="s">
        <v>918</v>
      </c>
      <c r="D170" s="5" t="s">
        <v>818</v>
      </c>
      <c r="E170" s="5" t="s">
        <v>806</v>
      </c>
      <c r="F170" s="5"/>
      <c r="G170" s="5" t="s">
        <v>354</v>
      </c>
      <c r="H170" s="5" t="s">
        <v>812</v>
      </c>
      <c r="I170" s="2" t="s">
        <v>921</v>
      </c>
      <c r="J170" s="3" t="s">
        <v>1080</v>
      </c>
      <c r="K170" s="3" t="s">
        <v>903</v>
      </c>
      <c r="L170" s="3" t="s">
        <v>873</v>
      </c>
      <c r="M170" s="3"/>
      <c r="N170" s="5" t="s">
        <v>385</v>
      </c>
      <c r="O170" s="5" t="s">
        <v>362</v>
      </c>
      <c r="Q170" s="10" t="s">
        <v>761</v>
      </c>
      <c r="R170" s="10" t="s">
        <v>761</v>
      </c>
    </row>
    <row r="171" spans="1:18" ht="25.5">
      <c r="A171" s="2" t="s">
        <v>393</v>
      </c>
      <c r="B171" s="6" t="s">
        <v>388</v>
      </c>
      <c r="C171" s="16" t="s">
        <v>919</v>
      </c>
      <c r="D171" s="5" t="s">
        <v>818</v>
      </c>
      <c r="E171" s="5" t="s">
        <v>807</v>
      </c>
      <c r="F171" s="5"/>
      <c r="G171" s="5" t="s">
        <v>356</v>
      </c>
      <c r="H171" s="5" t="s">
        <v>813</v>
      </c>
      <c r="I171" s="2" t="s">
        <v>891</v>
      </c>
      <c r="J171" s="3" t="s">
        <v>1080</v>
      </c>
      <c r="K171" s="3" t="s">
        <v>903</v>
      </c>
      <c r="L171" s="3" t="s">
        <v>873</v>
      </c>
      <c r="M171" s="3"/>
      <c r="N171" s="5" t="s">
        <v>385</v>
      </c>
      <c r="O171" s="5" t="s">
        <v>364</v>
      </c>
      <c r="Q171" s="10" t="s">
        <v>758</v>
      </c>
      <c r="R171" s="10" t="s">
        <v>758</v>
      </c>
    </row>
    <row r="172" spans="1:18" ht="25.5">
      <c r="A172" s="2" t="s">
        <v>393</v>
      </c>
      <c r="B172" s="6" t="s">
        <v>389</v>
      </c>
      <c r="C172" s="16" t="s">
        <v>920</v>
      </c>
      <c r="D172" s="5" t="s">
        <v>818</v>
      </c>
      <c r="E172" s="5" t="s">
        <v>808</v>
      </c>
      <c r="F172" s="5"/>
      <c r="G172" s="5" t="s">
        <v>358</v>
      </c>
      <c r="H172" s="5" t="s">
        <v>814</v>
      </c>
      <c r="I172" s="2" t="s">
        <v>891</v>
      </c>
      <c r="J172" s="3" t="s">
        <v>1080</v>
      </c>
      <c r="K172" s="3" t="s">
        <v>903</v>
      </c>
      <c r="L172" s="3" t="s">
        <v>873</v>
      </c>
      <c r="M172" s="3"/>
      <c r="N172" s="5" t="s">
        <v>385</v>
      </c>
      <c r="O172" s="5" t="s">
        <v>366</v>
      </c>
      <c r="Q172" s="10" t="s">
        <v>749</v>
      </c>
      <c r="R172" s="10" t="s">
        <v>749</v>
      </c>
    </row>
    <row r="173" spans="1:18">
      <c r="A173" s="2" t="s">
        <v>393</v>
      </c>
      <c r="B173" s="6" t="s">
        <v>391</v>
      </c>
      <c r="C173" s="5" t="s">
        <v>809</v>
      </c>
      <c r="D173" s="5" t="s">
        <v>446</v>
      </c>
      <c r="E173" s="5" t="s">
        <v>809</v>
      </c>
      <c r="F173" s="5"/>
      <c r="G173" s="5" t="s">
        <v>352</v>
      </c>
      <c r="H173" s="5" t="s">
        <v>812</v>
      </c>
      <c r="I173" s="17" t="s">
        <v>921</v>
      </c>
      <c r="J173" s="3" t="s">
        <v>1080</v>
      </c>
      <c r="K173" s="3" t="s">
        <v>903</v>
      </c>
      <c r="L173" s="3" t="s">
        <v>873</v>
      </c>
      <c r="M173" s="3"/>
      <c r="N173" s="5" t="s">
        <v>390</v>
      </c>
      <c r="O173" s="5" t="s">
        <v>360</v>
      </c>
      <c r="Q173" s="10" t="s">
        <v>756</v>
      </c>
      <c r="R173" s="10" t="s">
        <v>756</v>
      </c>
    </row>
    <row r="174" spans="1:18">
      <c r="A174" s="2" t="s">
        <v>393</v>
      </c>
      <c r="B174" s="6" t="s">
        <v>392</v>
      </c>
      <c r="C174" s="5" t="s">
        <v>810</v>
      </c>
      <c r="D174" s="5" t="s">
        <v>446</v>
      </c>
      <c r="E174" s="5" t="s">
        <v>810</v>
      </c>
      <c r="F174" s="5"/>
      <c r="G174" s="5" t="s">
        <v>354</v>
      </c>
      <c r="H174" s="5" t="s">
        <v>812</v>
      </c>
      <c r="I174" s="17" t="s">
        <v>921</v>
      </c>
      <c r="J174" s="3" t="s">
        <v>1080</v>
      </c>
      <c r="K174" s="3" t="s">
        <v>903</v>
      </c>
      <c r="L174" s="3" t="s">
        <v>873</v>
      </c>
      <c r="M174" s="3"/>
      <c r="N174" s="5" t="s">
        <v>390</v>
      </c>
      <c r="O174" s="5" t="s">
        <v>362</v>
      </c>
    </row>
    <row r="175" spans="1:18" hidden="1">
      <c r="A175" s="8"/>
      <c r="B175" s="8"/>
      <c r="C175" s="8"/>
      <c r="D175" s="8"/>
      <c r="E175" s="8"/>
      <c r="F175" s="8"/>
      <c r="G175" s="8"/>
      <c r="H175" s="8"/>
      <c r="I175" s="8"/>
      <c r="J175" s="9"/>
      <c r="K175" s="9"/>
      <c r="L175" s="9" t="s">
        <v>873</v>
      </c>
      <c r="M175" s="9"/>
      <c r="N175" s="8" t="s">
        <v>418</v>
      </c>
      <c r="O175" s="8"/>
    </row>
    <row r="176" spans="1:18">
      <c r="A176" s="2" t="s">
        <v>418</v>
      </c>
      <c r="B176" s="6" t="s">
        <v>395</v>
      </c>
      <c r="C176" s="5" t="s">
        <v>394</v>
      </c>
      <c r="D176" s="5" t="s">
        <v>893</v>
      </c>
      <c r="E176" s="5" t="s">
        <v>762</v>
      </c>
      <c r="F176" s="5"/>
      <c r="G176" s="5" t="s">
        <v>8</v>
      </c>
      <c r="H176" s="5" t="s">
        <v>815</v>
      </c>
      <c r="I176" s="17" t="s">
        <v>921</v>
      </c>
      <c r="J176" s="3" t="s">
        <v>1080</v>
      </c>
      <c r="K176" s="3" t="s">
        <v>903</v>
      </c>
      <c r="L176" s="3" t="s">
        <v>873</v>
      </c>
      <c r="M176" s="3"/>
      <c r="N176" s="5" t="s">
        <v>394</v>
      </c>
      <c r="O176" s="5" t="s">
        <v>6</v>
      </c>
    </row>
    <row r="177" spans="1:15">
      <c r="A177" s="2" t="s">
        <v>418</v>
      </c>
      <c r="B177" s="6" t="s">
        <v>396</v>
      </c>
      <c r="C177" s="5" t="s">
        <v>394</v>
      </c>
      <c r="D177" s="5" t="s">
        <v>894</v>
      </c>
      <c r="E177" s="5" t="s">
        <v>762</v>
      </c>
      <c r="F177" s="5"/>
      <c r="G177" s="5" t="s">
        <v>8</v>
      </c>
      <c r="H177" s="5" t="s">
        <v>816</v>
      </c>
      <c r="I177" s="17" t="s">
        <v>921</v>
      </c>
      <c r="J177" s="3" t="s">
        <v>1080</v>
      </c>
      <c r="K177" s="3" t="s">
        <v>903</v>
      </c>
      <c r="L177" s="3" t="s">
        <v>873</v>
      </c>
      <c r="M177" s="3"/>
      <c r="N177" s="5" t="s">
        <v>394</v>
      </c>
      <c r="O177" s="5" t="s">
        <v>11</v>
      </c>
    </row>
    <row r="178" spans="1:15">
      <c r="A178" s="2" t="s">
        <v>418</v>
      </c>
      <c r="B178" s="6" t="s">
        <v>397</v>
      </c>
      <c r="C178" s="5" t="s">
        <v>394</v>
      </c>
      <c r="D178" s="5" t="s">
        <v>895</v>
      </c>
      <c r="E178" s="5" t="s">
        <v>762</v>
      </c>
      <c r="F178" s="5"/>
      <c r="G178"/>
      <c r="H178" s="5" t="s">
        <v>817</v>
      </c>
      <c r="I178" s="2" t="s">
        <v>891</v>
      </c>
      <c r="J178" s="3" t="s">
        <v>1080</v>
      </c>
      <c r="K178" s="3" t="s">
        <v>903</v>
      </c>
      <c r="L178" s="3" t="s">
        <v>873</v>
      </c>
      <c r="M178" s="3"/>
      <c r="N178" s="5" t="s">
        <v>394</v>
      </c>
      <c r="O178" s="5" t="s">
        <v>14</v>
      </c>
    </row>
    <row r="179" spans="1:15">
      <c r="A179" s="2" t="s">
        <v>418</v>
      </c>
      <c r="B179" s="6" t="s">
        <v>398</v>
      </c>
      <c r="C179" s="5" t="s">
        <v>394</v>
      </c>
      <c r="D179" s="5" t="s">
        <v>896</v>
      </c>
      <c r="E179" s="5" t="s">
        <v>762</v>
      </c>
      <c r="F179" s="5"/>
      <c r="G179"/>
      <c r="H179" s="5" t="s">
        <v>782</v>
      </c>
      <c r="I179" s="2" t="s">
        <v>891</v>
      </c>
      <c r="J179" s="3" t="s">
        <v>1080</v>
      </c>
      <c r="K179" s="3" t="s">
        <v>903</v>
      </c>
      <c r="L179" s="3" t="s">
        <v>873</v>
      </c>
      <c r="M179" s="3"/>
      <c r="N179" s="5" t="s">
        <v>394</v>
      </c>
      <c r="O179" s="5" t="s">
        <v>18</v>
      </c>
    </row>
    <row r="180" spans="1:15">
      <c r="A180" s="2" t="s">
        <v>418</v>
      </c>
      <c r="B180" s="6" t="s">
        <v>400</v>
      </c>
      <c r="C180" s="5" t="s">
        <v>399</v>
      </c>
      <c r="D180" s="5" t="s">
        <v>897</v>
      </c>
      <c r="E180" s="5" t="s">
        <v>762</v>
      </c>
      <c r="F180" s="5"/>
      <c r="G180" s="5" t="s">
        <v>8</v>
      </c>
      <c r="H180" s="5" t="s">
        <v>816</v>
      </c>
      <c r="I180" s="17" t="s">
        <v>921</v>
      </c>
      <c r="J180" s="3" t="s">
        <v>1080</v>
      </c>
      <c r="K180" s="3" t="s">
        <v>903</v>
      </c>
      <c r="L180" s="3" t="s">
        <v>873</v>
      </c>
      <c r="M180" s="3"/>
      <c r="N180" s="5" t="s">
        <v>399</v>
      </c>
      <c r="O180" s="5" t="s">
        <v>11</v>
      </c>
    </row>
    <row r="181" spans="1:15">
      <c r="A181" s="2" t="s">
        <v>418</v>
      </c>
      <c r="B181" s="6" t="s">
        <v>401</v>
      </c>
      <c r="C181" s="5" t="s">
        <v>399</v>
      </c>
      <c r="D181" s="5" t="s">
        <v>898</v>
      </c>
      <c r="E181" s="5" t="s">
        <v>762</v>
      </c>
      <c r="F181" s="5"/>
      <c r="G181" s="5" t="s">
        <v>16</v>
      </c>
      <c r="H181" s="5" t="s">
        <v>782</v>
      </c>
      <c r="I181" s="2" t="s">
        <v>891</v>
      </c>
      <c r="J181" s="3" t="s">
        <v>1080</v>
      </c>
      <c r="K181" s="3" t="s">
        <v>903</v>
      </c>
      <c r="L181" s="3" t="s">
        <v>873</v>
      </c>
      <c r="M181" s="3"/>
      <c r="N181" s="5" t="s">
        <v>399</v>
      </c>
      <c r="O181" s="5" t="s">
        <v>18</v>
      </c>
    </row>
    <row r="182" spans="1:15">
      <c r="A182" s="2" t="s">
        <v>418</v>
      </c>
      <c r="B182" s="6" t="s">
        <v>403</v>
      </c>
      <c r="C182" s="5" t="s">
        <v>402</v>
      </c>
      <c r="D182" s="5" t="s">
        <v>893</v>
      </c>
      <c r="E182" s="5" t="s">
        <v>763</v>
      </c>
      <c r="F182" s="5"/>
      <c r="G182" s="5" t="s">
        <v>8</v>
      </c>
      <c r="H182" s="5" t="s">
        <v>815</v>
      </c>
      <c r="I182" s="17" t="s">
        <v>921</v>
      </c>
      <c r="J182" s="3" t="s">
        <v>1080</v>
      </c>
      <c r="K182" s="3" t="s">
        <v>903</v>
      </c>
      <c r="L182" s="3" t="s">
        <v>873</v>
      </c>
      <c r="M182" s="3"/>
      <c r="N182" s="5" t="s">
        <v>402</v>
      </c>
      <c r="O182" s="5" t="s">
        <v>6</v>
      </c>
    </row>
    <row r="183" spans="1:15">
      <c r="A183" s="2" t="s">
        <v>418</v>
      </c>
      <c r="B183" s="6" t="s">
        <v>404</v>
      </c>
      <c r="C183" s="5" t="s">
        <v>402</v>
      </c>
      <c r="D183" s="5" t="s">
        <v>894</v>
      </c>
      <c r="E183" s="5" t="s">
        <v>763</v>
      </c>
      <c r="F183" s="5"/>
      <c r="G183" s="5" t="s">
        <v>8</v>
      </c>
      <c r="H183" s="5" t="s">
        <v>816</v>
      </c>
      <c r="I183" s="17" t="s">
        <v>921</v>
      </c>
      <c r="J183" s="3" t="s">
        <v>1080</v>
      </c>
      <c r="K183" s="3" t="s">
        <v>903</v>
      </c>
      <c r="L183" s="3" t="s">
        <v>873</v>
      </c>
      <c r="M183" s="3"/>
      <c r="N183" s="5" t="s">
        <v>402</v>
      </c>
      <c r="O183" s="5" t="s">
        <v>11</v>
      </c>
    </row>
    <row r="184" spans="1:15">
      <c r="A184" s="2" t="s">
        <v>418</v>
      </c>
      <c r="B184" s="6" t="s">
        <v>405</v>
      </c>
      <c r="C184" s="5" t="s">
        <v>402</v>
      </c>
      <c r="D184" s="5" t="s">
        <v>895</v>
      </c>
      <c r="E184" s="5" t="s">
        <v>763</v>
      </c>
      <c r="F184" s="5"/>
      <c r="G184"/>
      <c r="H184" s="5" t="s">
        <v>817</v>
      </c>
      <c r="I184" s="2" t="s">
        <v>891</v>
      </c>
      <c r="J184" s="3" t="s">
        <v>1080</v>
      </c>
      <c r="K184" s="3" t="s">
        <v>903</v>
      </c>
      <c r="L184" s="3" t="s">
        <v>873</v>
      </c>
      <c r="M184" s="3"/>
      <c r="N184" s="5" t="s">
        <v>402</v>
      </c>
      <c r="O184" s="5" t="s">
        <v>14</v>
      </c>
    </row>
    <row r="185" spans="1:15">
      <c r="A185" s="2" t="s">
        <v>418</v>
      </c>
      <c r="B185" s="6" t="s">
        <v>406</v>
      </c>
      <c r="C185" s="5" t="s">
        <v>402</v>
      </c>
      <c r="D185" s="5" t="s">
        <v>896</v>
      </c>
      <c r="E185" s="5" t="s">
        <v>763</v>
      </c>
      <c r="F185" s="5"/>
      <c r="G185"/>
      <c r="H185" s="5" t="s">
        <v>782</v>
      </c>
      <c r="I185" s="2" t="s">
        <v>891</v>
      </c>
      <c r="J185" s="3" t="s">
        <v>1080</v>
      </c>
      <c r="K185" s="3" t="s">
        <v>903</v>
      </c>
      <c r="L185" s="3" t="s">
        <v>873</v>
      </c>
      <c r="M185" s="3"/>
      <c r="N185" s="5" t="s">
        <v>402</v>
      </c>
      <c r="O185" s="5" t="s">
        <v>18</v>
      </c>
    </row>
    <row r="186" spans="1:15">
      <c r="A186" s="2" t="s">
        <v>418</v>
      </c>
      <c r="B186" s="6" t="s">
        <v>345</v>
      </c>
      <c r="C186" s="5" t="s">
        <v>343</v>
      </c>
      <c r="D186" s="2" t="s">
        <v>899</v>
      </c>
      <c r="E186" s="5" t="s">
        <v>764</v>
      </c>
      <c r="F186" s="5"/>
      <c r="G186" s="5" t="s">
        <v>346</v>
      </c>
      <c r="H186" s="5" t="s">
        <v>815</v>
      </c>
      <c r="I186" s="17" t="s">
        <v>921</v>
      </c>
      <c r="J186" s="3" t="s">
        <v>1080</v>
      </c>
      <c r="K186" s="3" t="s">
        <v>903</v>
      </c>
      <c r="L186" s="3" t="s">
        <v>873</v>
      </c>
      <c r="M186" s="3"/>
      <c r="N186" s="5" t="s">
        <v>343</v>
      </c>
      <c r="O186" s="5" t="s">
        <v>6</v>
      </c>
    </row>
    <row r="187" spans="1:15">
      <c r="A187" s="2" t="s">
        <v>418</v>
      </c>
      <c r="B187" s="6" t="s">
        <v>344</v>
      </c>
      <c r="C187" s="5" t="s">
        <v>343</v>
      </c>
      <c r="D187" s="2" t="s">
        <v>900</v>
      </c>
      <c r="E187" s="5" t="s">
        <v>764</v>
      </c>
      <c r="F187" s="5"/>
      <c r="G187" s="5" t="s">
        <v>217</v>
      </c>
      <c r="H187" s="5" t="s">
        <v>816</v>
      </c>
      <c r="I187" s="17" t="s">
        <v>921</v>
      </c>
      <c r="J187" s="3" t="s">
        <v>1080</v>
      </c>
      <c r="K187" s="3" t="s">
        <v>903</v>
      </c>
      <c r="L187" s="3" t="s">
        <v>873</v>
      </c>
      <c r="M187" s="3"/>
      <c r="N187" s="5" t="s">
        <v>343</v>
      </c>
      <c r="O187" s="5" t="s">
        <v>11</v>
      </c>
    </row>
    <row r="188" spans="1:15">
      <c r="A188" s="2" t="s">
        <v>418</v>
      </c>
      <c r="B188" s="6" t="s">
        <v>347</v>
      </c>
      <c r="C188" s="5" t="s">
        <v>343</v>
      </c>
      <c r="D188" s="2" t="s">
        <v>901</v>
      </c>
      <c r="E188" s="5" t="s">
        <v>764</v>
      </c>
      <c r="F188" s="5"/>
      <c r="G188" s="5" t="s">
        <v>348</v>
      </c>
      <c r="H188" s="5" t="s">
        <v>817</v>
      </c>
      <c r="I188" s="2" t="s">
        <v>891</v>
      </c>
      <c r="J188" s="3" t="s">
        <v>1080</v>
      </c>
      <c r="K188" s="3" t="s">
        <v>903</v>
      </c>
      <c r="L188" s="3" t="s">
        <v>873</v>
      </c>
      <c r="M188" s="3"/>
      <c r="N188" s="5" t="s">
        <v>343</v>
      </c>
      <c r="O188" s="5" t="s">
        <v>14</v>
      </c>
    </row>
    <row r="189" spans="1:15">
      <c r="A189" s="2" t="s">
        <v>418</v>
      </c>
      <c r="B189" s="6" t="s">
        <v>349</v>
      </c>
      <c r="C189" s="5" t="s">
        <v>343</v>
      </c>
      <c r="D189" s="2" t="s">
        <v>902</v>
      </c>
      <c r="E189" s="5" t="s">
        <v>764</v>
      </c>
      <c r="F189" s="5"/>
      <c r="G189" s="5" t="s">
        <v>16</v>
      </c>
      <c r="H189" s="5" t="s">
        <v>782</v>
      </c>
      <c r="I189" s="2" t="s">
        <v>891</v>
      </c>
      <c r="J189" s="3" t="s">
        <v>1080</v>
      </c>
      <c r="K189" s="3" t="s">
        <v>903</v>
      </c>
      <c r="L189" s="3" t="s">
        <v>873</v>
      </c>
      <c r="M189" s="3"/>
      <c r="N189" s="5" t="s">
        <v>343</v>
      </c>
      <c r="O189" s="5" t="s">
        <v>18</v>
      </c>
    </row>
    <row r="190" spans="1:15">
      <c r="A190" s="2" t="s">
        <v>418</v>
      </c>
      <c r="B190" s="6" t="s">
        <v>408</v>
      </c>
      <c r="C190" s="5" t="s">
        <v>407</v>
      </c>
      <c r="D190" s="2" t="s">
        <v>900</v>
      </c>
      <c r="E190" s="5" t="s">
        <v>764</v>
      </c>
      <c r="F190" s="5"/>
      <c r="G190" s="5" t="s">
        <v>217</v>
      </c>
      <c r="H190" s="5" t="s">
        <v>816</v>
      </c>
      <c r="I190" s="17" t="s">
        <v>921</v>
      </c>
      <c r="J190" s="3" t="s">
        <v>1080</v>
      </c>
      <c r="K190" s="3" t="s">
        <v>903</v>
      </c>
      <c r="L190" s="3" t="s">
        <v>873</v>
      </c>
      <c r="M190" s="3"/>
      <c r="N190" s="5" t="s">
        <v>407</v>
      </c>
      <c r="O190" s="5" t="s">
        <v>11</v>
      </c>
    </row>
    <row r="191" spans="1:15">
      <c r="A191" s="2" t="s">
        <v>418</v>
      </c>
      <c r="B191" s="6" t="s">
        <v>409</v>
      </c>
      <c r="C191" s="5" t="s">
        <v>407</v>
      </c>
      <c r="D191" s="2" t="s">
        <v>902</v>
      </c>
      <c r="E191" s="5" t="s">
        <v>764</v>
      </c>
      <c r="F191" s="5"/>
      <c r="G191" s="5" t="s">
        <v>16</v>
      </c>
      <c r="H191" s="5" t="s">
        <v>782</v>
      </c>
      <c r="I191" s="2" t="s">
        <v>891</v>
      </c>
      <c r="J191" s="3" t="s">
        <v>1080</v>
      </c>
      <c r="K191" s="3" t="s">
        <v>903</v>
      </c>
      <c r="L191" s="3" t="s">
        <v>873</v>
      </c>
      <c r="M191" s="3"/>
      <c r="N191" s="5" t="s">
        <v>407</v>
      </c>
      <c r="O191" s="5" t="s">
        <v>18</v>
      </c>
    </row>
    <row r="192" spans="1:15">
      <c r="A192" s="2" t="s">
        <v>418</v>
      </c>
      <c r="B192" s="6" t="s">
        <v>411</v>
      </c>
      <c r="C192" s="5" t="s">
        <v>410</v>
      </c>
      <c r="D192" s="2" t="s">
        <v>899</v>
      </c>
      <c r="E192" s="5" t="s">
        <v>765</v>
      </c>
      <c r="F192" s="5"/>
      <c r="G192" s="5" t="s">
        <v>346</v>
      </c>
      <c r="H192" s="5" t="s">
        <v>815</v>
      </c>
      <c r="I192" s="17" t="s">
        <v>921</v>
      </c>
      <c r="J192" s="3" t="s">
        <v>1080</v>
      </c>
      <c r="K192" s="3" t="s">
        <v>903</v>
      </c>
      <c r="L192" s="3" t="s">
        <v>873</v>
      </c>
      <c r="M192" s="3"/>
      <c r="N192" s="5" t="s">
        <v>410</v>
      </c>
      <c r="O192" s="5" t="s">
        <v>6</v>
      </c>
    </row>
    <row r="193" spans="1:15">
      <c r="A193" s="2" t="s">
        <v>418</v>
      </c>
      <c r="B193" s="6" t="s">
        <v>412</v>
      </c>
      <c r="C193" s="5" t="s">
        <v>410</v>
      </c>
      <c r="D193" s="2" t="s">
        <v>900</v>
      </c>
      <c r="E193" s="5" t="s">
        <v>765</v>
      </c>
      <c r="F193" s="5"/>
      <c r="G193" s="5" t="s">
        <v>217</v>
      </c>
      <c r="H193" s="5" t="s">
        <v>816</v>
      </c>
      <c r="I193" s="17" t="s">
        <v>921</v>
      </c>
      <c r="J193" s="3" t="s">
        <v>1080</v>
      </c>
      <c r="K193" s="3" t="s">
        <v>903</v>
      </c>
      <c r="L193" s="3" t="s">
        <v>873</v>
      </c>
      <c r="M193" s="3"/>
      <c r="N193" s="5" t="s">
        <v>410</v>
      </c>
      <c r="O193" s="5" t="s">
        <v>11</v>
      </c>
    </row>
    <row r="194" spans="1:15">
      <c r="A194" s="2" t="s">
        <v>418</v>
      </c>
      <c r="B194" s="6" t="s">
        <v>413</v>
      </c>
      <c r="C194" s="5" t="s">
        <v>410</v>
      </c>
      <c r="D194" s="2" t="s">
        <v>901</v>
      </c>
      <c r="E194" s="5" t="s">
        <v>765</v>
      </c>
      <c r="F194" s="5"/>
      <c r="G194" s="5" t="s">
        <v>348</v>
      </c>
      <c r="H194" s="5" t="s">
        <v>817</v>
      </c>
      <c r="I194" s="2" t="s">
        <v>891</v>
      </c>
      <c r="J194" s="3" t="s">
        <v>1080</v>
      </c>
      <c r="K194" s="3" t="s">
        <v>903</v>
      </c>
      <c r="L194" s="3" t="s">
        <v>873</v>
      </c>
      <c r="M194" s="3"/>
      <c r="N194" s="5" t="s">
        <v>410</v>
      </c>
      <c r="O194" s="5" t="s">
        <v>14</v>
      </c>
    </row>
    <row r="195" spans="1:15">
      <c r="A195" s="2" t="s">
        <v>418</v>
      </c>
      <c r="B195" s="6" t="s">
        <v>414</v>
      </c>
      <c r="C195" s="5" t="s">
        <v>410</v>
      </c>
      <c r="D195" s="2" t="s">
        <v>902</v>
      </c>
      <c r="E195" s="5" t="s">
        <v>765</v>
      </c>
      <c r="F195" s="5"/>
      <c r="G195" s="5" t="s">
        <v>16</v>
      </c>
      <c r="H195" s="5" t="s">
        <v>782</v>
      </c>
      <c r="I195" s="2" t="s">
        <v>891</v>
      </c>
      <c r="J195" s="3" t="s">
        <v>1080</v>
      </c>
      <c r="K195" s="3" t="s">
        <v>903</v>
      </c>
      <c r="L195" s="3" t="s">
        <v>873</v>
      </c>
      <c r="M195" s="3"/>
      <c r="N195" s="5" t="s">
        <v>410</v>
      </c>
      <c r="O195" s="5" t="s">
        <v>18</v>
      </c>
    </row>
    <row r="196" spans="1:15">
      <c r="A196" s="2" t="s">
        <v>418</v>
      </c>
      <c r="B196" s="6" t="s">
        <v>416</v>
      </c>
      <c r="C196" s="5" t="s">
        <v>415</v>
      </c>
      <c r="D196" s="2" t="s">
        <v>897</v>
      </c>
      <c r="E196" s="5" t="s">
        <v>765</v>
      </c>
      <c r="F196" s="5"/>
      <c r="G196" s="5" t="s">
        <v>217</v>
      </c>
      <c r="H196" s="5" t="s">
        <v>816</v>
      </c>
      <c r="I196" s="17" t="s">
        <v>921</v>
      </c>
      <c r="J196" s="3" t="s">
        <v>1080</v>
      </c>
      <c r="K196" s="3" t="s">
        <v>903</v>
      </c>
      <c r="L196" s="3" t="s">
        <v>873</v>
      </c>
      <c r="M196" s="3"/>
      <c r="N196" s="5" t="s">
        <v>415</v>
      </c>
      <c r="O196" s="5" t="s">
        <v>11</v>
      </c>
    </row>
    <row r="197" spans="1:15">
      <c r="A197" s="2" t="s">
        <v>418</v>
      </c>
      <c r="B197" s="6" t="s">
        <v>417</v>
      </c>
      <c r="C197" s="5" t="s">
        <v>415</v>
      </c>
      <c r="D197" s="2" t="s">
        <v>898</v>
      </c>
      <c r="E197" s="5" t="s">
        <v>765</v>
      </c>
      <c r="F197" s="5"/>
      <c r="G197" s="5" t="s">
        <v>16</v>
      </c>
      <c r="H197" s="5" t="s">
        <v>782</v>
      </c>
      <c r="I197" s="2" t="s">
        <v>891</v>
      </c>
      <c r="J197" s="3" t="s">
        <v>1080</v>
      </c>
      <c r="K197" s="3" t="s">
        <v>903</v>
      </c>
      <c r="L197" s="3" t="s">
        <v>873</v>
      </c>
      <c r="M197" s="3"/>
      <c r="N197" s="5" t="s">
        <v>415</v>
      </c>
      <c r="O197" s="5" t="s">
        <v>18</v>
      </c>
    </row>
    <row r="198" spans="1:15" hidden="1">
      <c r="A198" s="8"/>
      <c r="B198" s="8"/>
      <c r="C198" s="8"/>
      <c r="D198" s="8"/>
      <c r="E198" s="8"/>
      <c r="F198" s="8"/>
      <c r="G198" s="8"/>
      <c r="H198" s="8"/>
      <c r="I198" s="8"/>
      <c r="J198" s="9"/>
      <c r="K198" s="9"/>
      <c r="L198" s="9" t="s">
        <v>873</v>
      </c>
      <c r="M198" s="9"/>
      <c r="N198" s="8"/>
      <c r="O198" s="8"/>
    </row>
    <row r="199" spans="1:15" ht="24.85" customHeight="1">
      <c r="A199" s="2" t="s">
        <v>486</v>
      </c>
      <c r="B199" s="6" t="s">
        <v>420</v>
      </c>
      <c r="C199" s="16" t="s">
        <v>947</v>
      </c>
      <c r="D199" s="2" t="s">
        <v>922</v>
      </c>
      <c r="E199" s="5" t="s">
        <v>923</v>
      </c>
      <c r="F199" s="5" t="str">
        <f>"GDP-Production "&amp;O199</f>
        <v>GDP-Production (Real $m)</v>
      </c>
      <c r="G199" s="5" t="s">
        <v>352</v>
      </c>
      <c r="H199" s="5" t="s">
        <v>816</v>
      </c>
      <c r="I199" s="17" t="s">
        <v>921</v>
      </c>
      <c r="J199" s="3" t="s">
        <v>1080</v>
      </c>
      <c r="K199" s="3" t="s">
        <v>892</v>
      </c>
      <c r="L199" s="3" t="s">
        <v>873</v>
      </c>
      <c r="M199" s="3"/>
      <c r="N199" s="5" t="s">
        <v>419</v>
      </c>
      <c r="O199" s="5" t="s">
        <v>360</v>
      </c>
    </row>
    <row r="200" spans="1:15" ht="24.85" customHeight="1">
      <c r="A200" s="2" t="s">
        <v>486</v>
      </c>
      <c r="B200" s="6" t="s">
        <v>421</v>
      </c>
      <c r="C200" s="5" t="s">
        <v>948</v>
      </c>
      <c r="D200" s="2" t="s">
        <v>924</v>
      </c>
      <c r="E200" s="5" t="s">
        <v>923</v>
      </c>
      <c r="F200" s="5" t="str">
        <f>"GDP-Production "&amp;O200</f>
        <v>GDP-Production (Real $m s.a.)</v>
      </c>
      <c r="G200" s="5" t="s">
        <v>354</v>
      </c>
      <c r="H200" s="5" t="s">
        <v>816</v>
      </c>
      <c r="I200" s="17" t="s">
        <v>921</v>
      </c>
      <c r="J200" s="3" t="s">
        <v>1080</v>
      </c>
      <c r="K200" s="3" t="s">
        <v>892</v>
      </c>
      <c r="L200" s="3" t="s">
        <v>873</v>
      </c>
      <c r="M200" s="3"/>
      <c r="N200" s="5" t="s">
        <v>419</v>
      </c>
      <c r="O200" s="5" t="s">
        <v>362</v>
      </c>
    </row>
    <row r="201" spans="1:15" ht="24.85" customHeight="1">
      <c r="A201" s="2" t="s">
        <v>486</v>
      </c>
      <c r="B201" s="6" t="s">
        <v>422</v>
      </c>
      <c r="C201" s="5" t="s">
        <v>949</v>
      </c>
      <c r="D201" s="2" t="s">
        <v>925</v>
      </c>
      <c r="E201" s="5" t="s">
        <v>923</v>
      </c>
      <c r="F201" s="5" t="str">
        <f>"GDP-Production "&amp;O201</f>
        <v>GDP-Production (Real q/q% s.a.)</v>
      </c>
      <c r="G201" s="5" t="s">
        <v>356</v>
      </c>
      <c r="H201" s="5" t="s">
        <v>781</v>
      </c>
      <c r="I201" s="2" t="s">
        <v>731</v>
      </c>
      <c r="J201" s="3" t="s">
        <v>1080</v>
      </c>
      <c r="K201" s="3" t="s">
        <v>892</v>
      </c>
      <c r="L201" s="3" t="s">
        <v>873</v>
      </c>
      <c r="M201" s="3"/>
      <c r="N201" s="5" t="s">
        <v>419</v>
      </c>
      <c r="O201" s="5" t="s">
        <v>364</v>
      </c>
    </row>
    <row r="202" spans="1:15" ht="24.85" customHeight="1">
      <c r="A202" s="2" t="s">
        <v>486</v>
      </c>
      <c r="B202" s="6" t="s">
        <v>423</v>
      </c>
      <c r="C202" s="5" t="s">
        <v>950</v>
      </c>
      <c r="D202" s="2" t="s">
        <v>926</v>
      </c>
      <c r="E202" s="5" t="s">
        <v>923</v>
      </c>
      <c r="F202" s="5" t="str">
        <f>"GDP-Production "&amp;O202</f>
        <v>GDP-Production (Real y/y%)</v>
      </c>
      <c r="G202" s="5" t="s">
        <v>358</v>
      </c>
      <c r="H202" s="5" t="s">
        <v>782</v>
      </c>
      <c r="I202" s="2" t="s">
        <v>731</v>
      </c>
      <c r="J202" s="3" t="s">
        <v>1080</v>
      </c>
      <c r="K202" s="3" t="s">
        <v>892</v>
      </c>
      <c r="L202" s="3" t="s">
        <v>873</v>
      </c>
      <c r="M202" s="3"/>
      <c r="N202" s="5" t="s">
        <v>419</v>
      </c>
      <c r="O202" s="5" t="s">
        <v>366</v>
      </c>
    </row>
    <row r="203" spans="1:15" ht="24.85" customHeight="1">
      <c r="A203" s="2" t="s">
        <v>486</v>
      </c>
      <c r="B203" s="6" t="s">
        <v>426</v>
      </c>
      <c r="C203" s="5" t="s">
        <v>951</v>
      </c>
      <c r="D203" s="2" t="s">
        <v>927</v>
      </c>
      <c r="E203" s="5" t="s">
        <v>923</v>
      </c>
      <c r="F203" s="5" t="str">
        <f>"GDP-Expenditure "&amp;O203</f>
        <v>GDP-Expenditure (Nominal $m)</v>
      </c>
      <c r="G203" s="5" t="s">
        <v>217</v>
      </c>
      <c r="H203" s="5" t="s">
        <v>816</v>
      </c>
      <c r="I203" s="17" t="s">
        <v>921</v>
      </c>
      <c r="J203" s="3" t="s">
        <v>1080</v>
      </c>
      <c r="K203" s="3" t="s">
        <v>892</v>
      </c>
      <c r="L203" s="3" t="s">
        <v>873</v>
      </c>
      <c r="M203" s="3"/>
      <c r="N203" s="5" t="s">
        <v>424</v>
      </c>
      <c r="O203" s="5" t="s">
        <v>425</v>
      </c>
    </row>
    <row r="204" spans="1:15" ht="24.85" customHeight="1">
      <c r="A204" s="2" t="s">
        <v>486</v>
      </c>
      <c r="B204" s="6" t="s">
        <v>428</v>
      </c>
      <c r="C204" s="5" t="s">
        <v>952</v>
      </c>
      <c r="D204" s="2" t="s">
        <v>928</v>
      </c>
      <c r="E204" s="5" t="s">
        <v>923</v>
      </c>
      <c r="F204" s="5" t="str">
        <f>"GDP-Expenditure "&amp;O204</f>
        <v>GDP-Expenditure (Nominal $m s.a.)</v>
      </c>
      <c r="G204" s="5" t="s">
        <v>346</v>
      </c>
      <c r="H204" s="5" t="s">
        <v>816</v>
      </c>
      <c r="I204" s="17" t="s">
        <v>921</v>
      </c>
      <c r="J204" s="3" t="s">
        <v>1080</v>
      </c>
      <c r="K204" s="3" t="s">
        <v>892</v>
      </c>
      <c r="L204" s="3" t="s">
        <v>873</v>
      </c>
      <c r="M204" s="3"/>
      <c r="N204" s="5" t="s">
        <v>424</v>
      </c>
      <c r="O204" s="5" t="s">
        <v>427</v>
      </c>
    </row>
    <row r="205" spans="1:15" ht="24.85" customHeight="1">
      <c r="A205" s="2" t="s">
        <v>486</v>
      </c>
      <c r="B205" s="6" t="s">
        <v>430</v>
      </c>
      <c r="C205" s="5" t="s">
        <v>953</v>
      </c>
      <c r="D205" s="2" t="s">
        <v>929</v>
      </c>
      <c r="E205" s="5" t="s">
        <v>923</v>
      </c>
      <c r="F205" s="5" t="str">
        <f>"GDP-Expenditure "&amp;O205</f>
        <v>GDP-Expenditure (Nominal q/q% s.a.)</v>
      </c>
      <c r="G205" s="5" t="s">
        <v>348</v>
      </c>
      <c r="H205" s="5" t="s">
        <v>781</v>
      </c>
      <c r="I205" s="2" t="s">
        <v>731</v>
      </c>
      <c r="J205" s="3" t="s">
        <v>1080</v>
      </c>
      <c r="K205" s="3" t="s">
        <v>892</v>
      </c>
      <c r="L205" s="3" t="s">
        <v>873</v>
      </c>
      <c r="M205" s="3"/>
      <c r="N205" s="5" t="s">
        <v>424</v>
      </c>
      <c r="O205" s="5" t="s">
        <v>429</v>
      </c>
    </row>
    <row r="206" spans="1:15" ht="24.85" customHeight="1">
      <c r="A206" s="2" t="s">
        <v>486</v>
      </c>
      <c r="B206" s="6" t="s">
        <v>432</v>
      </c>
      <c r="C206" s="5" t="s">
        <v>954</v>
      </c>
      <c r="D206" s="2" t="s">
        <v>930</v>
      </c>
      <c r="E206" s="5" t="s">
        <v>923</v>
      </c>
      <c r="F206" s="5" t="str">
        <f>"GDP-Expenditure "&amp;O206</f>
        <v>GDP-Expenditure (Nominal y/y%)</v>
      </c>
      <c r="G206" s="5" t="s">
        <v>16</v>
      </c>
      <c r="H206" s="5" t="s">
        <v>782</v>
      </c>
      <c r="I206" s="2" t="s">
        <v>731</v>
      </c>
      <c r="J206" s="3" t="s">
        <v>1080</v>
      </c>
      <c r="K206" s="3" t="s">
        <v>892</v>
      </c>
      <c r="L206" s="3" t="s">
        <v>873</v>
      </c>
      <c r="M206" s="3"/>
      <c r="N206" s="5" t="s">
        <v>424</v>
      </c>
      <c r="O206" s="5" t="s">
        <v>431</v>
      </c>
    </row>
    <row r="207" spans="1:15" ht="24.85" customHeight="1">
      <c r="A207" s="2" t="s">
        <v>486</v>
      </c>
      <c r="B207" s="6" t="s">
        <v>433</v>
      </c>
      <c r="C207" s="5" t="s">
        <v>955</v>
      </c>
      <c r="D207" s="2" t="s">
        <v>922</v>
      </c>
      <c r="E207" s="5" t="s">
        <v>923</v>
      </c>
      <c r="F207" s="5" t="str">
        <f>"GDP-Expenditure "&amp;O207</f>
        <v>GDP-Expenditure (Real $m)</v>
      </c>
      <c r="G207" s="5" t="s">
        <v>352</v>
      </c>
      <c r="H207" s="5" t="s">
        <v>816</v>
      </c>
      <c r="I207" s="17" t="s">
        <v>921</v>
      </c>
      <c r="J207" s="3" t="s">
        <v>1080</v>
      </c>
      <c r="K207" s="3" t="s">
        <v>892</v>
      </c>
      <c r="L207" s="3" t="s">
        <v>873</v>
      </c>
      <c r="M207" s="3"/>
      <c r="N207" s="5" t="s">
        <v>424</v>
      </c>
      <c r="O207" s="5" t="s">
        <v>360</v>
      </c>
    </row>
    <row r="208" spans="1:15" ht="24.85" customHeight="1">
      <c r="A208" s="2" t="s">
        <v>486</v>
      </c>
      <c r="B208" s="6" t="s">
        <v>434</v>
      </c>
      <c r="C208" s="5" t="s">
        <v>956</v>
      </c>
      <c r="D208" s="2" t="s">
        <v>924</v>
      </c>
      <c r="E208" s="5" t="s">
        <v>923</v>
      </c>
      <c r="F208" s="5" t="str">
        <f>"GDP-Expenditure "&amp;O208</f>
        <v>GDP-Expenditure (Real $m s.a.)</v>
      </c>
      <c r="G208" s="5" t="s">
        <v>354</v>
      </c>
      <c r="H208" s="5" t="s">
        <v>816</v>
      </c>
      <c r="I208" s="17" t="s">
        <v>921</v>
      </c>
      <c r="J208" s="3" t="s">
        <v>1080</v>
      </c>
      <c r="K208" s="3" t="s">
        <v>892</v>
      </c>
      <c r="L208" s="3" t="s">
        <v>873</v>
      </c>
      <c r="M208" s="3"/>
      <c r="N208" s="5" t="s">
        <v>424</v>
      </c>
      <c r="O208" s="5" t="s">
        <v>362</v>
      </c>
    </row>
    <row r="209" spans="1:15" ht="24.85" customHeight="1">
      <c r="A209" s="2" t="s">
        <v>486</v>
      </c>
      <c r="B209" s="6" t="s">
        <v>435</v>
      </c>
      <c r="C209" s="5" t="s">
        <v>957</v>
      </c>
      <c r="D209" s="2" t="s">
        <v>925</v>
      </c>
      <c r="E209" s="5" t="s">
        <v>923</v>
      </c>
      <c r="F209" s="5" t="str">
        <f>"GDP-Expenditure "&amp;O209</f>
        <v>GDP-Expenditure (Real q/q% s.a.)</v>
      </c>
      <c r="G209" s="5" t="s">
        <v>356</v>
      </c>
      <c r="H209" s="5" t="s">
        <v>781</v>
      </c>
      <c r="I209" s="2" t="s">
        <v>731</v>
      </c>
      <c r="J209" s="3" t="s">
        <v>1080</v>
      </c>
      <c r="K209" s="3" t="s">
        <v>892</v>
      </c>
      <c r="L209" s="3" t="s">
        <v>873</v>
      </c>
      <c r="M209" s="3"/>
      <c r="N209" s="5" t="s">
        <v>424</v>
      </c>
      <c r="O209" s="5" t="s">
        <v>364</v>
      </c>
    </row>
    <row r="210" spans="1:15" ht="24.85" customHeight="1">
      <c r="A210" s="2" t="s">
        <v>486</v>
      </c>
      <c r="B210" s="6" t="s">
        <v>436</v>
      </c>
      <c r="C210" s="16" t="s">
        <v>958</v>
      </c>
      <c r="D210" s="2" t="s">
        <v>926</v>
      </c>
      <c r="E210" s="5" t="s">
        <v>923</v>
      </c>
      <c r="F210" s="5" t="str">
        <f>"GDP-Expenditure "&amp;O210</f>
        <v>GDP-Expenditure (Real y/y%)</v>
      </c>
      <c r="G210" s="5" t="s">
        <v>358</v>
      </c>
      <c r="H210" s="5" t="s">
        <v>782</v>
      </c>
      <c r="I210" s="2" t="s">
        <v>731</v>
      </c>
      <c r="J210" s="3" t="s">
        <v>1080</v>
      </c>
      <c r="K210" s="3" t="s">
        <v>892</v>
      </c>
      <c r="L210" s="3" t="s">
        <v>873</v>
      </c>
      <c r="M210" s="3"/>
      <c r="N210" s="5" t="s">
        <v>424</v>
      </c>
      <c r="O210" s="5" t="s">
        <v>366</v>
      </c>
    </row>
    <row r="211" spans="1:15" ht="24.85" customHeight="1">
      <c r="A211" s="2" t="s">
        <v>486</v>
      </c>
      <c r="B211" s="6" t="s">
        <v>438</v>
      </c>
      <c r="C211" s="5" t="s">
        <v>960</v>
      </c>
      <c r="D211" s="2" t="s">
        <v>824</v>
      </c>
      <c r="E211" s="5" t="s">
        <v>819</v>
      </c>
      <c r="F211" s="5" t="str">
        <f>"Private Consumption "&amp;O211</f>
        <v xml:space="preserve">Private Consumption (Nominal $m) </v>
      </c>
      <c r="G211" s="5" t="s">
        <v>217</v>
      </c>
      <c r="H211" s="5" t="s">
        <v>816</v>
      </c>
      <c r="I211" s="17" t="s">
        <v>921</v>
      </c>
      <c r="J211" s="3" t="s">
        <v>1080</v>
      </c>
      <c r="K211" s="3" t="s">
        <v>892</v>
      </c>
      <c r="L211" s="3" t="s">
        <v>873</v>
      </c>
      <c r="M211" s="3"/>
      <c r="N211" s="5" t="s">
        <v>959</v>
      </c>
      <c r="O211" s="5" t="s">
        <v>437</v>
      </c>
    </row>
    <row r="212" spans="1:15" ht="24.85" customHeight="1">
      <c r="A212" s="2" t="s">
        <v>486</v>
      </c>
      <c r="B212" s="6" t="s">
        <v>439</v>
      </c>
      <c r="C212" s="5" t="s">
        <v>961</v>
      </c>
      <c r="D212" s="2" t="s">
        <v>825</v>
      </c>
      <c r="E212" s="5" t="s">
        <v>819</v>
      </c>
      <c r="F212" s="5" t="str">
        <f>"Private Consumption "&amp;O212</f>
        <v>Private Consumption (Nominal $m s.a.)</v>
      </c>
      <c r="G212" s="5" t="s">
        <v>346</v>
      </c>
      <c r="H212" s="5" t="s">
        <v>816</v>
      </c>
      <c r="I212" s="17" t="s">
        <v>921</v>
      </c>
      <c r="J212" s="3" t="s">
        <v>1080</v>
      </c>
      <c r="K212" s="3" t="s">
        <v>892</v>
      </c>
      <c r="L212" s="3" t="s">
        <v>873</v>
      </c>
      <c r="M212" s="3"/>
      <c r="N212" s="5" t="s">
        <v>959</v>
      </c>
      <c r="O212" s="5" t="s">
        <v>427</v>
      </c>
    </row>
    <row r="213" spans="1:15" ht="24.85" customHeight="1">
      <c r="A213" s="2" t="s">
        <v>486</v>
      </c>
      <c r="B213" s="6" t="s">
        <v>440</v>
      </c>
      <c r="C213" s="5" t="s">
        <v>962</v>
      </c>
      <c r="D213" s="2" t="s">
        <v>826</v>
      </c>
      <c r="E213" s="5" t="s">
        <v>819</v>
      </c>
      <c r="F213" s="5" t="str">
        <f>"Private Consumption "&amp;O213</f>
        <v>Private Consumption (Nominal q/q% s.a.)</v>
      </c>
      <c r="G213" s="5" t="s">
        <v>348</v>
      </c>
      <c r="H213" s="5" t="s">
        <v>781</v>
      </c>
      <c r="I213" s="2" t="s">
        <v>731</v>
      </c>
      <c r="J213" s="3" t="s">
        <v>1080</v>
      </c>
      <c r="K213" s="3" t="s">
        <v>892</v>
      </c>
      <c r="L213" s="3" t="s">
        <v>873</v>
      </c>
      <c r="M213" s="3"/>
      <c r="N213" s="5" t="s">
        <v>959</v>
      </c>
      <c r="O213" s="5" t="s">
        <v>429</v>
      </c>
    </row>
    <row r="214" spans="1:15" ht="24.85" customHeight="1">
      <c r="A214" s="2" t="s">
        <v>486</v>
      </c>
      <c r="B214" s="6" t="s">
        <v>441</v>
      </c>
      <c r="C214" s="5" t="s">
        <v>963</v>
      </c>
      <c r="D214" s="2" t="s">
        <v>827</v>
      </c>
      <c r="E214" s="5" t="s">
        <v>819</v>
      </c>
      <c r="F214" s="5" t="str">
        <f>"Private Consumption "&amp;O214</f>
        <v>Private Consumption (Nominal y/y%)</v>
      </c>
      <c r="G214" s="5" t="s">
        <v>16</v>
      </c>
      <c r="H214" s="5" t="s">
        <v>782</v>
      </c>
      <c r="I214" s="2" t="s">
        <v>731</v>
      </c>
      <c r="J214" s="3" t="s">
        <v>1080</v>
      </c>
      <c r="K214" s="3" t="s">
        <v>892</v>
      </c>
      <c r="L214" s="3" t="s">
        <v>873</v>
      </c>
      <c r="M214" s="3"/>
      <c r="N214" s="5" t="s">
        <v>959</v>
      </c>
      <c r="O214" s="5" t="s">
        <v>431</v>
      </c>
    </row>
    <row r="215" spans="1:15" ht="24.85" customHeight="1">
      <c r="A215" s="2" t="s">
        <v>486</v>
      </c>
      <c r="B215" s="6" t="s">
        <v>361</v>
      </c>
      <c r="C215" s="5" t="s">
        <v>964</v>
      </c>
      <c r="D215" s="2" t="s">
        <v>828</v>
      </c>
      <c r="E215" s="5" t="s">
        <v>819</v>
      </c>
      <c r="F215" s="5" t="str">
        <f>"Private Consumption "&amp;O215</f>
        <v>Private Consumption (Real $m)</v>
      </c>
      <c r="G215" s="5" t="s">
        <v>352</v>
      </c>
      <c r="H215" s="5" t="s">
        <v>816</v>
      </c>
      <c r="I215" s="17" t="s">
        <v>921</v>
      </c>
      <c r="J215" s="3" t="s">
        <v>1080</v>
      </c>
      <c r="K215" s="3" t="s">
        <v>892</v>
      </c>
      <c r="L215" s="3" t="s">
        <v>873</v>
      </c>
      <c r="M215" s="3"/>
      <c r="N215" s="5" t="s">
        <v>959</v>
      </c>
      <c r="O215" s="5" t="s">
        <v>360</v>
      </c>
    </row>
    <row r="216" spans="1:15" ht="24.85" customHeight="1">
      <c r="A216" s="2" t="s">
        <v>486</v>
      </c>
      <c r="B216" s="6" t="s">
        <v>363</v>
      </c>
      <c r="C216" s="5" t="s">
        <v>965</v>
      </c>
      <c r="D216" s="2" t="s">
        <v>829</v>
      </c>
      <c r="E216" s="5" t="s">
        <v>819</v>
      </c>
      <c r="F216" s="5" t="str">
        <f>"Private Consumption "&amp;O216</f>
        <v>Private Consumption (Real $m s.a.)</v>
      </c>
      <c r="G216" s="5" t="s">
        <v>354</v>
      </c>
      <c r="H216" s="5" t="s">
        <v>816</v>
      </c>
      <c r="I216" s="2" t="s">
        <v>921</v>
      </c>
      <c r="J216" s="3" t="s">
        <v>1080</v>
      </c>
      <c r="K216" s="3" t="s">
        <v>892</v>
      </c>
      <c r="L216" s="3" t="s">
        <v>873</v>
      </c>
      <c r="M216" s="3"/>
      <c r="N216" s="5" t="s">
        <v>959</v>
      </c>
      <c r="O216" s="5" t="s">
        <v>362</v>
      </c>
    </row>
    <row r="217" spans="1:15" ht="24.85" customHeight="1">
      <c r="A217" s="2" t="s">
        <v>486</v>
      </c>
      <c r="B217" s="6" t="s">
        <v>365</v>
      </c>
      <c r="C217" s="5" t="s">
        <v>966</v>
      </c>
      <c r="D217" s="2" t="s">
        <v>830</v>
      </c>
      <c r="E217" s="5" t="s">
        <v>819</v>
      </c>
      <c r="F217" s="5" t="str">
        <f>"Private Consumption "&amp;O217</f>
        <v>Private Consumption (Real q/q% s.a.)</v>
      </c>
      <c r="G217" s="5" t="s">
        <v>356</v>
      </c>
      <c r="H217" s="5" t="s">
        <v>781</v>
      </c>
      <c r="I217" s="2" t="s">
        <v>731</v>
      </c>
      <c r="J217" s="3" t="s">
        <v>1080</v>
      </c>
      <c r="K217" s="3" t="s">
        <v>892</v>
      </c>
      <c r="L217" s="3" t="s">
        <v>873</v>
      </c>
      <c r="M217" s="3"/>
      <c r="N217" s="5" t="s">
        <v>959</v>
      </c>
      <c r="O217" s="5" t="s">
        <v>364</v>
      </c>
    </row>
    <row r="218" spans="1:15" ht="24.85" customHeight="1">
      <c r="A218" s="2" t="s">
        <v>486</v>
      </c>
      <c r="B218" s="6" t="s">
        <v>367</v>
      </c>
      <c r="C218" s="5" t="s">
        <v>967</v>
      </c>
      <c r="D218" s="2" t="s">
        <v>831</v>
      </c>
      <c r="E218" s="5" t="s">
        <v>819</v>
      </c>
      <c r="F218" s="5" t="str">
        <f>"Private Consumption "&amp;O218</f>
        <v>Private Consumption (Real y/y%)</v>
      </c>
      <c r="G218" s="5" t="s">
        <v>358</v>
      </c>
      <c r="H218" s="5" t="s">
        <v>782</v>
      </c>
      <c r="I218" s="2" t="s">
        <v>731</v>
      </c>
      <c r="J218" s="3" t="s">
        <v>1080</v>
      </c>
      <c r="K218" s="3" t="s">
        <v>892</v>
      </c>
      <c r="L218" s="3" t="s">
        <v>873</v>
      </c>
      <c r="M218" s="3"/>
      <c r="N218" s="5" t="s">
        <v>959</v>
      </c>
      <c r="O218" s="5" t="s">
        <v>366</v>
      </c>
    </row>
    <row r="219" spans="1:15" ht="24.85" customHeight="1">
      <c r="A219" s="2" t="s">
        <v>486</v>
      </c>
      <c r="B219" s="6" t="s">
        <v>442</v>
      </c>
      <c r="C219" s="5" t="s">
        <v>969</v>
      </c>
      <c r="D219" s="2" t="s">
        <v>832</v>
      </c>
      <c r="E219" s="5" t="s">
        <v>819</v>
      </c>
      <c r="F219" s="5" t="str">
        <f>"Government Consumption "&amp;O219</f>
        <v>Government Consumption (Nominal $m)</v>
      </c>
      <c r="G219" s="5" t="s">
        <v>217</v>
      </c>
      <c r="H219" s="5" t="s">
        <v>816</v>
      </c>
      <c r="I219" s="2" t="s">
        <v>921</v>
      </c>
      <c r="J219" s="3" t="s">
        <v>1080</v>
      </c>
      <c r="K219" s="3" t="s">
        <v>892</v>
      </c>
      <c r="L219" s="3" t="s">
        <v>873</v>
      </c>
      <c r="M219" s="3"/>
      <c r="N219" s="5" t="s">
        <v>968</v>
      </c>
      <c r="O219" s="5" t="s">
        <v>425</v>
      </c>
    </row>
    <row r="220" spans="1:15" ht="24.85" customHeight="1">
      <c r="A220" s="2" t="s">
        <v>486</v>
      </c>
      <c r="B220" s="6" t="s">
        <v>443</v>
      </c>
      <c r="C220" s="5" t="s">
        <v>970</v>
      </c>
      <c r="D220" s="2" t="s">
        <v>825</v>
      </c>
      <c r="E220" s="5" t="s">
        <v>819</v>
      </c>
      <c r="F220" s="5" t="str">
        <f>"Government Consumption "&amp;O220</f>
        <v>Government Consumption (Nominal $m s.a.)</v>
      </c>
      <c r="G220" s="5" t="s">
        <v>346</v>
      </c>
      <c r="H220" s="5" t="s">
        <v>816</v>
      </c>
      <c r="I220" s="2" t="s">
        <v>921</v>
      </c>
      <c r="J220" s="3" t="s">
        <v>1080</v>
      </c>
      <c r="K220" s="3" t="s">
        <v>892</v>
      </c>
      <c r="L220" s="3" t="s">
        <v>873</v>
      </c>
      <c r="M220" s="3"/>
      <c r="N220" s="5" t="s">
        <v>968</v>
      </c>
      <c r="O220" s="5" t="s">
        <v>427</v>
      </c>
    </row>
    <row r="221" spans="1:15" ht="24.85" customHeight="1">
      <c r="A221" s="2" t="s">
        <v>486</v>
      </c>
      <c r="B221" s="6" t="s">
        <v>444</v>
      </c>
      <c r="C221" s="5" t="s">
        <v>971</v>
      </c>
      <c r="D221" s="2" t="s">
        <v>826</v>
      </c>
      <c r="E221" s="5" t="s">
        <v>819</v>
      </c>
      <c r="F221" s="5" t="str">
        <f>"Government Consumption "&amp;O221</f>
        <v>Government Consumption (Nominal q/q% s.a.)</v>
      </c>
      <c r="G221" s="5" t="s">
        <v>348</v>
      </c>
      <c r="H221" s="5" t="s">
        <v>781</v>
      </c>
      <c r="I221" s="2" t="s">
        <v>731</v>
      </c>
      <c r="J221" s="3" t="s">
        <v>1080</v>
      </c>
      <c r="K221" s="3" t="s">
        <v>892</v>
      </c>
      <c r="L221" s="3" t="s">
        <v>873</v>
      </c>
      <c r="M221" s="3"/>
      <c r="N221" s="5" t="s">
        <v>968</v>
      </c>
      <c r="O221" s="5" t="s">
        <v>429</v>
      </c>
    </row>
    <row r="222" spans="1:15" ht="24.85" customHeight="1">
      <c r="A222" s="2" t="s">
        <v>486</v>
      </c>
      <c r="B222" s="6" t="s">
        <v>445</v>
      </c>
      <c r="C222" s="5" t="s">
        <v>972</v>
      </c>
      <c r="D222" s="2" t="s">
        <v>827</v>
      </c>
      <c r="E222" s="5" t="s">
        <v>819</v>
      </c>
      <c r="F222" s="5" t="str">
        <f>"Government Consumption "&amp;O222</f>
        <v>Government Consumption (Nominal y/y%)</v>
      </c>
      <c r="G222" s="5" t="s">
        <v>16</v>
      </c>
      <c r="H222" s="5" t="s">
        <v>782</v>
      </c>
      <c r="I222" s="2" t="s">
        <v>731</v>
      </c>
      <c r="J222" s="3" t="s">
        <v>1080</v>
      </c>
      <c r="K222" s="3" t="s">
        <v>892</v>
      </c>
      <c r="L222" s="3" t="s">
        <v>873</v>
      </c>
      <c r="M222" s="3"/>
      <c r="N222" s="5" t="s">
        <v>968</v>
      </c>
      <c r="O222" s="5" t="s">
        <v>431</v>
      </c>
    </row>
    <row r="223" spans="1:15" ht="24.85" customHeight="1">
      <c r="A223" s="2" t="s">
        <v>486</v>
      </c>
      <c r="B223" s="6" t="s">
        <v>369</v>
      </c>
      <c r="C223" s="5" t="s">
        <v>973</v>
      </c>
      <c r="D223" s="2" t="s">
        <v>828</v>
      </c>
      <c r="E223" s="5" t="s">
        <v>819</v>
      </c>
      <c r="F223" s="5" t="str">
        <f>"Government Consumption "&amp;O223</f>
        <v>Government Consumption (Real $m)</v>
      </c>
      <c r="G223" s="5" t="s">
        <v>352</v>
      </c>
      <c r="H223" s="5" t="s">
        <v>816</v>
      </c>
      <c r="I223" s="2" t="s">
        <v>921</v>
      </c>
      <c r="J223" s="3" t="s">
        <v>1080</v>
      </c>
      <c r="K223" s="3" t="s">
        <v>892</v>
      </c>
      <c r="L223" s="3" t="s">
        <v>873</v>
      </c>
      <c r="M223" s="3"/>
      <c r="N223" s="5" t="s">
        <v>968</v>
      </c>
      <c r="O223" s="5" t="s">
        <v>360</v>
      </c>
    </row>
    <row r="224" spans="1:15" ht="24.85" customHeight="1">
      <c r="A224" s="2" t="s">
        <v>486</v>
      </c>
      <c r="B224" s="6" t="s">
        <v>370</v>
      </c>
      <c r="C224" s="5" t="s">
        <v>974</v>
      </c>
      <c r="D224" s="2" t="s">
        <v>829</v>
      </c>
      <c r="E224" s="5" t="s">
        <v>819</v>
      </c>
      <c r="F224" s="5" t="str">
        <f>"Government Consumption "&amp;O224</f>
        <v>Government Consumption (Real $m s.a.)</v>
      </c>
      <c r="G224" s="5" t="s">
        <v>354</v>
      </c>
      <c r="H224" s="5" t="s">
        <v>816</v>
      </c>
      <c r="I224" s="2" t="s">
        <v>921</v>
      </c>
      <c r="J224" s="3" t="s">
        <v>1080</v>
      </c>
      <c r="K224" s="3" t="s">
        <v>892</v>
      </c>
      <c r="L224" s="3" t="s">
        <v>873</v>
      </c>
      <c r="M224" s="3"/>
      <c r="N224" s="5" t="s">
        <v>968</v>
      </c>
      <c r="O224" s="5" t="s">
        <v>362</v>
      </c>
    </row>
    <row r="225" spans="1:15" ht="24.85" customHeight="1">
      <c r="A225" s="2" t="s">
        <v>486</v>
      </c>
      <c r="B225" s="6" t="s">
        <v>371</v>
      </c>
      <c r="C225" s="5" t="s">
        <v>975</v>
      </c>
      <c r="D225" s="2" t="s">
        <v>830</v>
      </c>
      <c r="E225" s="5" t="s">
        <v>819</v>
      </c>
      <c r="F225" s="5" t="str">
        <f>"Government Consumption "&amp;O225</f>
        <v>Government Consumption (Real q/q% s.a.)</v>
      </c>
      <c r="G225" s="5" t="s">
        <v>356</v>
      </c>
      <c r="H225" s="5" t="s">
        <v>781</v>
      </c>
      <c r="I225" s="2" t="s">
        <v>731</v>
      </c>
      <c r="J225" s="3" t="s">
        <v>1080</v>
      </c>
      <c r="K225" s="3" t="s">
        <v>892</v>
      </c>
      <c r="L225" s="3" t="s">
        <v>873</v>
      </c>
      <c r="M225" s="3"/>
      <c r="N225" s="5" t="s">
        <v>968</v>
      </c>
      <c r="O225" s="5" t="s">
        <v>364</v>
      </c>
    </row>
    <row r="226" spans="1:15" ht="24.85" customHeight="1">
      <c r="A226" s="2" t="s">
        <v>486</v>
      </c>
      <c r="B226" s="6" t="s">
        <v>372</v>
      </c>
      <c r="C226" s="5" t="s">
        <v>976</v>
      </c>
      <c r="D226" s="2" t="s">
        <v>831</v>
      </c>
      <c r="E226" s="5" t="s">
        <v>819</v>
      </c>
      <c r="F226" s="5" t="str">
        <f>"Government Consumption "&amp;O226</f>
        <v>Government Consumption (Real y/y%)</v>
      </c>
      <c r="G226" s="5" t="s">
        <v>358</v>
      </c>
      <c r="H226" s="5" t="s">
        <v>782</v>
      </c>
      <c r="I226" s="2" t="s">
        <v>731</v>
      </c>
      <c r="J226" s="3" t="s">
        <v>1080</v>
      </c>
      <c r="K226" s="3" t="s">
        <v>892</v>
      </c>
      <c r="L226" s="3" t="s">
        <v>873</v>
      </c>
      <c r="M226" s="3"/>
      <c r="N226" s="5" t="s">
        <v>968</v>
      </c>
      <c r="O226" s="5" t="s">
        <v>366</v>
      </c>
    </row>
    <row r="227" spans="1:15" ht="24.85" customHeight="1">
      <c r="A227" s="2" t="s">
        <v>486</v>
      </c>
      <c r="B227" s="6" t="s">
        <v>447</v>
      </c>
      <c r="C227" s="5" t="s">
        <v>820</v>
      </c>
      <c r="D227" s="2" t="s">
        <v>833</v>
      </c>
      <c r="E227" s="5" t="s">
        <v>446</v>
      </c>
      <c r="F227" s="5" t="str">
        <f>"Change in inventories "&amp;O227</f>
        <v>Change in inventories (Nominal $m)</v>
      </c>
      <c r="G227" s="5" t="s">
        <v>217</v>
      </c>
      <c r="H227" s="5" t="s">
        <v>816</v>
      </c>
      <c r="I227" s="2" t="s">
        <v>921</v>
      </c>
      <c r="J227" s="3" t="s">
        <v>1080</v>
      </c>
      <c r="K227" s="3" t="s">
        <v>892</v>
      </c>
      <c r="L227" s="3" t="s">
        <v>873</v>
      </c>
      <c r="M227" s="3"/>
      <c r="N227" s="5" t="s">
        <v>446</v>
      </c>
      <c r="O227" s="5" t="s">
        <v>425</v>
      </c>
    </row>
    <row r="228" spans="1:15" ht="24.85" customHeight="1">
      <c r="A228" s="2" t="s">
        <v>486</v>
      </c>
      <c r="B228" s="6" t="s">
        <v>448</v>
      </c>
      <c r="C228" s="5" t="s">
        <v>821</v>
      </c>
      <c r="D228" s="2" t="s">
        <v>834</v>
      </c>
      <c r="E228" s="5" t="s">
        <v>446</v>
      </c>
      <c r="F228" s="5" t="str">
        <f>"Change in inventories "&amp;O228</f>
        <v>Change in inventories (Nominal $m s.a.)</v>
      </c>
      <c r="G228" s="5" t="s">
        <v>346</v>
      </c>
      <c r="H228" s="5" t="s">
        <v>816</v>
      </c>
      <c r="I228" s="2" t="s">
        <v>921</v>
      </c>
      <c r="J228" s="3" t="s">
        <v>1080</v>
      </c>
      <c r="K228" s="3" t="s">
        <v>892</v>
      </c>
      <c r="L228" s="3" t="s">
        <v>873</v>
      </c>
      <c r="M228" s="3"/>
      <c r="N228" s="5" t="s">
        <v>446</v>
      </c>
      <c r="O228" s="5" t="s">
        <v>427</v>
      </c>
    </row>
    <row r="229" spans="1:15" ht="24.85" customHeight="1">
      <c r="A229" s="2" t="s">
        <v>486</v>
      </c>
      <c r="B229" s="6" t="s">
        <v>391</v>
      </c>
      <c r="C229" s="5" t="s">
        <v>822</v>
      </c>
      <c r="D229" s="2" t="s">
        <v>835</v>
      </c>
      <c r="E229" s="5" t="s">
        <v>446</v>
      </c>
      <c r="F229" s="5" t="str">
        <f>"Change in inventories "&amp;O229</f>
        <v>Change in inventories (Real $m)</v>
      </c>
      <c r="G229" s="5" t="s">
        <v>352</v>
      </c>
      <c r="H229" s="5" t="s">
        <v>816</v>
      </c>
      <c r="I229" s="2" t="s">
        <v>921</v>
      </c>
      <c r="J229" s="3" t="s">
        <v>1080</v>
      </c>
      <c r="K229" s="3" t="s">
        <v>892</v>
      </c>
      <c r="L229" s="3" t="s">
        <v>873</v>
      </c>
      <c r="M229" s="3"/>
      <c r="N229" s="5" t="s">
        <v>446</v>
      </c>
      <c r="O229" s="5" t="s">
        <v>360</v>
      </c>
    </row>
    <row r="230" spans="1:15" ht="24.85" customHeight="1">
      <c r="A230" s="2" t="s">
        <v>486</v>
      </c>
      <c r="B230" s="6" t="s">
        <v>392</v>
      </c>
      <c r="C230" s="5" t="s">
        <v>823</v>
      </c>
      <c r="D230" s="2" t="s">
        <v>836</v>
      </c>
      <c r="E230" s="5" t="s">
        <v>446</v>
      </c>
      <c r="F230" s="5" t="str">
        <f>"Change in inventories "&amp;O230</f>
        <v>Change in inventories (Real $m s.a.)</v>
      </c>
      <c r="G230" s="5" t="s">
        <v>354</v>
      </c>
      <c r="H230" s="5" t="s">
        <v>816</v>
      </c>
      <c r="I230" s="2" t="s">
        <v>921</v>
      </c>
      <c r="J230" s="3" t="s">
        <v>1080</v>
      </c>
      <c r="K230" s="3" t="s">
        <v>892</v>
      </c>
      <c r="L230" s="3" t="s">
        <v>873</v>
      </c>
      <c r="M230" s="3"/>
      <c r="N230" s="5" t="s">
        <v>446</v>
      </c>
      <c r="O230" s="5" t="s">
        <v>362</v>
      </c>
    </row>
    <row r="231" spans="1:15" ht="24.85" customHeight="1">
      <c r="A231" s="2" t="s">
        <v>486</v>
      </c>
      <c r="B231" s="6" t="s">
        <v>450</v>
      </c>
      <c r="C231" s="16" t="s">
        <v>939</v>
      </c>
      <c r="D231" s="2" t="s">
        <v>837</v>
      </c>
      <c r="E231" s="5" t="s">
        <v>818</v>
      </c>
      <c r="F231" s="5" t="str">
        <f>"GFCF - Residential "&amp;O231</f>
        <v>GFCF - Residential (Nominal $m)</v>
      </c>
      <c r="G231" s="5" t="s">
        <v>217</v>
      </c>
      <c r="H231" s="5" t="s">
        <v>816</v>
      </c>
      <c r="I231" s="2" t="s">
        <v>921</v>
      </c>
      <c r="J231" s="3" t="s">
        <v>1080</v>
      </c>
      <c r="K231" s="3" t="s">
        <v>892</v>
      </c>
      <c r="L231" s="3" t="s">
        <v>873</v>
      </c>
      <c r="M231" s="3"/>
      <c r="N231" s="5" t="s">
        <v>449</v>
      </c>
      <c r="O231" s="5" t="s">
        <v>425</v>
      </c>
    </row>
    <row r="232" spans="1:15" ht="24.85" customHeight="1">
      <c r="A232" s="2" t="s">
        <v>486</v>
      </c>
      <c r="B232" s="6" t="s">
        <v>451</v>
      </c>
      <c r="C232" s="5" t="s">
        <v>940</v>
      </c>
      <c r="D232" s="2" t="s">
        <v>838</v>
      </c>
      <c r="E232" s="5" t="s">
        <v>818</v>
      </c>
      <c r="F232" s="5" t="str">
        <f>"GFCF - Residential "&amp;O232</f>
        <v>GFCF - Residential (Nominal $m s.a.)</v>
      </c>
      <c r="G232" s="5" t="s">
        <v>346</v>
      </c>
      <c r="H232" s="5" t="s">
        <v>816</v>
      </c>
      <c r="I232" s="2" t="s">
        <v>921</v>
      </c>
      <c r="J232" s="3" t="s">
        <v>1080</v>
      </c>
      <c r="K232" s="3" t="s">
        <v>892</v>
      </c>
      <c r="L232" s="3" t="s">
        <v>873</v>
      </c>
      <c r="M232" s="3"/>
      <c r="N232" s="5" t="s">
        <v>449</v>
      </c>
      <c r="O232" s="5" t="s">
        <v>427</v>
      </c>
    </row>
    <row r="233" spans="1:15" ht="24.85" customHeight="1">
      <c r="A233" s="2" t="s">
        <v>486</v>
      </c>
      <c r="B233" s="6" t="s">
        <v>452</v>
      </c>
      <c r="C233" s="5" t="s">
        <v>941</v>
      </c>
      <c r="D233" s="2" t="s">
        <v>839</v>
      </c>
      <c r="E233" s="5" t="s">
        <v>818</v>
      </c>
      <c r="F233" s="5" t="str">
        <f>"GFCF - Residential "&amp;O233</f>
        <v>GFCF - Residential (Nominal q/q% s.a.)</v>
      </c>
      <c r="G233" s="5" t="s">
        <v>348</v>
      </c>
      <c r="H233" s="5" t="s">
        <v>781</v>
      </c>
      <c r="I233" s="2" t="s">
        <v>731</v>
      </c>
      <c r="J233" s="3" t="s">
        <v>1080</v>
      </c>
      <c r="K233" s="3" t="s">
        <v>892</v>
      </c>
      <c r="L233" s="3" t="s">
        <v>873</v>
      </c>
      <c r="M233" s="3"/>
      <c r="N233" s="5" t="s">
        <v>449</v>
      </c>
      <c r="O233" s="5" t="s">
        <v>429</v>
      </c>
    </row>
    <row r="234" spans="1:15" ht="24.85" customHeight="1">
      <c r="A234" s="2" t="s">
        <v>486</v>
      </c>
      <c r="B234" s="6" t="s">
        <v>453</v>
      </c>
      <c r="C234" s="5" t="s">
        <v>942</v>
      </c>
      <c r="D234" s="2" t="s">
        <v>840</v>
      </c>
      <c r="E234" s="5" t="s">
        <v>818</v>
      </c>
      <c r="F234" s="5" t="str">
        <f>"GFCF - Residential "&amp;O234</f>
        <v>GFCF - Residential (Nominal y/y%)</v>
      </c>
      <c r="G234" s="5" t="s">
        <v>16</v>
      </c>
      <c r="H234" s="5" t="s">
        <v>782</v>
      </c>
      <c r="I234" s="2" t="s">
        <v>731</v>
      </c>
      <c r="J234" s="3" t="s">
        <v>1080</v>
      </c>
      <c r="K234" s="3" t="s">
        <v>892</v>
      </c>
      <c r="L234" s="3" t="s">
        <v>873</v>
      </c>
      <c r="M234" s="3"/>
      <c r="N234" s="5" t="s">
        <v>449</v>
      </c>
      <c r="O234" s="5" t="s">
        <v>431</v>
      </c>
    </row>
    <row r="235" spans="1:15" ht="24.85" customHeight="1">
      <c r="A235" s="2" t="s">
        <v>486</v>
      </c>
      <c r="B235" s="6" t="s">
        <v>380</v>
      </c>
      <c r="C235" s="5" t="s">
        <v>943</v>
      </c>
      <c r="D235" s="2" t="s">
        <v>841</v>
      </c>
      <c r="E235" s="5" t="s">
        <v>818</v>
      </c>
      <c r="F235" s="5" t="str">
        <f>"GFCF - Residential "&amp;O235</f>
        <v>GFCF - Residential (Real $m)</v>
      </c>
      <c r="G235" s="5" t="s">
        <v>352</v>
      </c>
      <c r="H235" s="5" t="s">
        <v>816</v>
      </c>
      <c r="I235" s="2" t="s">
        <v>921</v>
      </c>
      <c r="J235" s="3" t="s">
        <v>1080</v>
      </c>
      <c r="K235" s="3" t="s">
        <v>892</v>
      </c>
      <c r="L235" s="3" t="s">
        <v>873</v>
      </c>
      <c r="M235" s="3"/>
      <c r="N235" s="5" t="s">
        <v>449</v>
      </c>
      <c r="O235" s="5" t="s">
        <v>360</v>
      </c>
    </row>
    <row r="236" spans="1:15" ht="24.85" customHeight="1">
      <c r="A236" s="2" t="s">
        <v>486</v>
      </c>
      <c r="B236" s="6" t="s">
        <v>381</v>
      </c>
      <c r="C236" s="5" t="s">
        <v>944</v>
      </c>
      <c r="D236" s="2" t="s">
        <v>842</v>
      </c>
      <c r="E236" s="5" t="s">
        <v>818</v>
      </c>
      <c r="F236" s="5" t="str">
        <f>"GFCF - Residential "&amp;O236</f>
        <v>GFCF - Residential (Real $m s.a.)</v>
      </c>
      <c r="G236" s="5" t="s">
        <v>354</v>
      </c>
      <c r="H236" s="5" t="s">
        <v>816</v>
      </c>
      <c r="I236" s="2" t="s">
        <v>921</v>
      </c>
      <c r="J236" s="3" t="s">
        <v>1080</v>
      </c>
      <c r="K236" s="3" t="s">
        <v>892</v>
      </c>
      <c r="L236" s="3" t="s">
        <v>873</v>
      </c>
      <c r="M236" s="3"/>
      <c r="N236" s="5" t="s">
        <v>449</v>
      </c>
      <c r="O236" s="5" t="s">
        <v>362</v>
      </c>
    </row>
    <row r="237" spans="1:15" ht="24.85" customHeight="1">
      <c r="A237" s="2" t="s">
        <v>486</v>
      </c>
      <c r="B237" s="6" t="s">
        <v>383</v>
      </c>
      <c r="C237" s="5" t="s">
        <v>945</v>
      </c>
      <c r="D237" s="2" t="s">
        <v>843</v>
      </c>
      <c r="E237" s="5" t="s">
        <v>818</v>
      </c>
      <c r="F237" s="5" t="str">
        <f>"GFCF - Residential "&amp;O237</f>
        <v>GFCF - Residential (Real q/q% s.a.)</v>
      </c>
      <c r="G237" s="5" t="s">
        <v>356</v>
      </c>
      <c r="H237" s="5" t="s">
        <v>781</v>
      </c>
      <c r="I237" s="2" t="s">
        <v>731</v>
      </c>
      <c r="J237" s="3" t="s">
        <v>1080</v>
      </c>
      <c r="K237" s="3" t="s">
        <v>892</v>
      </c>
      <c r="L237" s="3" t="s">
        <v>873</v>
      </c>
      <c r="M237" s="3"/>
      <c r="N237" s="5" t="s">
        <v>449</v>
      </c>
      <c r="O237" s="5" t="s">
        <v>364</v>
      </c>
    </row>
    <row r="238" spans="1:15" ht="24.85" customHeight="1">
      <c r="A238" s="2" t="s">
        <v>486</v>
      </c>
      <c r="B238" s="6" t="s">
        <v>384</v>
      </c>
      <c r="C238" s="5" t="s">
        <v>946</v>
      </c>
      <c r="D238" s="2" t="s">
        <v>844</v>
      </c>
      <c r="E238" s="5" t="s">
        <v>818</v>
      </c>
      <c r="F238" s="5" t="str">
        <f>"GFCF - Residential "&amp;O238</f>
        <v>GFCF - Residential (Real y/y%)</v>
      </c>
      <c r="G238" s="5" t="s">
        <v>358</v>
      </c>
      <c r="H238" s="5" t="s">
        <v>782</v>
      </c>
      <c r="I238" s="2" t="s">
        <v>731</v>
      </c>
      <c r="J238" s="3" t="s">
        <v>1080</v>
      </c>
      <c r="K238" s="3" t="s">
        <v>892</v>
      </c>
      <c r="L238" s="3" t="s">
        <v>873</v>
      </c>
      <c r="M238" s="3"/>
      <c r="N238" s="5" t="s">
        <v>449</v>
      </c>
      <c r="O238" s="5" t="s">
        <v>366</v>
      </c>
    </row>
    <row r="239" spans="1:15" ht="24.85" customHeight="1">
      <c r="A239" s="2" t="s">
        <v>486</v>
      </c>
      <c r="B239" s="6" t="s">
        <v>455</v>
      </c>
      <c r="C239" s="5" t="s">
        <v>846</v>
      </c>
      <c r="D239" s="2" t="s">
        <v>837</v>
      </c>
      <c r="E239" s="5" t="s">
        <v>818</v>
      </c>
      <c r="F239" s="5" t="str">
        <f>"GFCF - Other "&amp;O239</f>
        <v>GFCF - Other (Nominal $m)</v>
      </c>
      <c r="G239" s="5" t="s">
        <v>217</v>
      </c>
      <c r="H239" s="5" t="s">
        <v>816</v>
      </c>
      <c r="I239" s="2" t="s">
        <v>921</v>
      </c>
      <c r="J239" s="3" t="s">
        <v>1080</v>
      </c>
      <c r="K239" s="3" t="s">
        <v>892</v>
      </c>
      <c r="L239" s="3" t="s">
        <v>873</v>
      </c>
      <c r="M239" s="3"/>
      <c r="N239" s="5" t="s">
        <v>454</v>
      </c>
      <c r="O239" s="5" t="s">
        <v>425</v>
      </c>
    </row>
    <row r="240" spans="1:15" ht="24.85" customHeight="1">
      <c r="A240" s="2" t="s">
        <v>486</v>
      </c>
      <c r="B240" s="6" t="s">
        <v>456</v>
      </c>
      <c r="C240" s="5" t="s">
        <v>847</v>
      </c>
      <c r="D240" s="2" t="s">
        <v>838</v>
      </c>
      <c r="E240" s="5" t="s">
        <v>818</v>
      </c>
      <c r="F240" s="5" t="str">
        <f>"GFCF - Other "&amp;O240</f>
        <v>GFCF - Other (Nominal $m s.a.)</v>
      </c>
      <c r="G240" s="5" t="s">
        <v>346</v>
      </c>
      <c r="H240" s="5" t="s">
        <v>816</v>
      </c>
      <c r="I240" s="2" t="s">
        <v>921</v>
      </c>
      <c r="J240" s="3" t="s">
        <v>1080</v>
      </c>
      <c r="K240" s="3" t="s">
        <v>892</v>
      </c>
      <c r="L240" s="3" t="s">
        <v>873</v>
      </c>
      <c r="M240" s="3"/>
      <c r="N240" s="5" t="s">
        <v>454</v>
      </c>
      <c r="O240" s="5" t="s">
        <v>427</v>
      </c>
    </row>
    <row r="241" spans="1:15" ht="24.85" customHeight="1">
      <c r="A241" s="2" t="s">
        <v>486</v>
      </c>
      <c r="B241" s="6" t="s">
        <v>457</v>
      </c>
      <c r="C241" s="5" t="s">
        <v>848</v>
      </c>
      <c r="D241" s="2" t="s">
        <v>839</v>
      </c>
      <c r="E241" s="5" t="s">
        <v>818</v>
      </c>
      <c r="F241" s="5" t="str">
        <f>"GFCF - Other "&amp;O241</f>
        <v>GFCF - Other (Nominal q/q% s.a.)</v>
      </c>
      <c r="G241" s="5" t="s">
        <v>348</v>
      </c>
      <c r="H241" s="5" t="s">
        <v>781</v>
      </c>
      <c r="I241" s="2" t="s">
        <v>731</v>
      </c>
      <c r="J241" s="3" t="s">
        <v>1080</v>
      </c>
      <c r="K241" s="3" t="s">
        <v>892</v>
      </c>
      <c r="L241" s="3" t="s">
        <v>873</v>
      </c>
      <c r="M241" s="3"/>
      <c r="N241" s="5" t="s">
        <v>454</v>
      </c>
      <c r="O241" s="5" t="s">
        <v>429</v>
      </c>
    </row>
    <row r="242" spans="1:15" ht="24.85" customHeight="1">
      <c r="A242" s="2" t="s">
        <v>486</v>
      </c>
      <c r="B242" s="6" t="s">
        <v>458</v>
      </c>
      <c r="C242" s="5" t="s">
        <v>849</v>
      </c>
      <c r="D242" s="2" t="s">
        <v>840</v>
      </c>
      <c r="E242" s="5" t="s">
        <v>818</v>
      </c>
      <c r="F242" s="5" t="str">
        <f>"GFCF - Other "&amp;O242</f>
        <v>GFCF - Other (Nominal y/y%)</v>
      </c>
      <c r="G242" s="5" t="s">
        <v>16</v>
      </c>
      <c r="H242" s="5" t="s">
        <v>782</v>
      </c>
      <c r="I242" s="2" t="s">
        <v>731</v>
      </c>
      <c r="J242" s="3" t="s">
        <v>1080</v>
      </c>
      <c r="K242" s="3" t="s">
        <v>892</v>
      </c>
      <c r="L242" s="3" t="s">
        <v>873</v>
      </c>
      <c r="M242" s="3"/>
      <c r="N242" s="5" t="s">
        <v>454</v>
      </c>
      <c r="O242" s="5" t="s">
        <v>431</v>
      </c>
    </row>
    <row r="243" spans="1:15" ht="24.85" customHeight="1">
      <c r="A243" s="2" t="s">
        <v>486</v>
      </c>
      <c r="B243" s="6" t="s">
        <v>386</v>
      </c>
      <c r="C243" s="5" t="s">
        <v>850</v>
      </c>
      <c r="D243" s="2" t="s">
        <v>841</v>
      </c>
      <c r="E243" s="5" t="s">
        <v>818</v>
      </c>
      <c r="F243" s="5" t="str">
        <f>"GFCF - Other "&amp;O243</f>
        <v>GFCF - Other (Real $m)</v>
      </c>
      <c r="G243" s="5" t="s">
        <v>352</v>
      </c>
      <c r="H243" s="5" t="s">
        <v>816</v>
      </c>
      <c r="I243" s="2" t="s">
        <v>921</v>
      </c>
      <c r="J243" s="3" t="s">
        <v>1080</v>
      </c>
      <c r="K243" s="3" t="s">
        <v>892</v>
      </c>
      <c r="L243" s="3" t="s">
        <v>873</v>
      </c>
      <c r="M243" s="3"/>
      <c r="N243" s="5" t="s">
        <v>454</v>
      </c>
      <c r="O243" s="5" t="s">
        <v>360</v>
      </c>
    </row>
    <row r="244" spans="1:15" ht="24.85" customHeight="1">
      <c r="A244" s="2" t="s">
        <v>486</v>
      </c>
      <c r="B244" s="6" t="s">
        <v>387</v>
      </c>
      <c r="C244" s="5" t="s">
        <v>851</v>
      </c>
      <c r="D244" s="2" t="s">
        <v>842</v>
      </c>
      <c r="E244" s="5" t="s">
        <v>818</v>
      </c>
      <c r="F244" s="5" t="str">
        <f>"GFCF - Other "&amp;O244</f>
        <v>GFCF - Other (Real $m s.a.)</v>
      </c>
      <c r="G244" s="5" t="s">
        <v>354</v>
      </c>
      <c r="H244" s="5" t="s">
        <v>816</v>
      </c>
      <c r="I244" s="2" t="s">
        <v>921</v>
      </c>
      <c r="J244" s="3" t="s">
        <v>1080</v>
      </c>
      <c r="K244" s="3" t="s">
        <v>892</v>
      </c>
      <c r="L244" s="3" t="s">
        <v>873</v>
      </c>
      <c r="M244" s="3"/>
      <c r="N244" s="5" t="s">
        <v>454</v>
      </c>
      <c r="O244" s="5" t="s">
        <v>362</v>
      </c>
    </row>
    <row r="245" spans="1:15" ht="24.85" customHeight="1">
      <c r="A245" s="2" t="s">
        <v>486</v>
      </c>
      <c r="B245" s="6" t="s">
        <v>388</v>
      </c>
      <c r="C245" s="5" t="s">
        <v>852</v>
      </c>
      <c r="D245" s="2" t="s">
        <v>843</v>
      </c>
      <c r="E245" s="5" t="s">
        <v>818</v>
      </c>
      <c r="F245" s="5" t="str">
        <f>"GFCF - Other "&amp;O245</f>
        <v>GFCF - Other (Real q/q% s.a.)</v>
      </c>
      <c r="G245" s="5" t="s">
        <v>356</v>
      </c>
      <c r="H245" s="5" t="s">
        <v>781</v>
      </c>
      <c r="I245" s="2" t="s">
        <v>731</v>
      </c>
      <c r="J245" s="3" t="s">
        <v>1080</v>
      </c>
      <c r="K245" s="3" t="s">
        <v>892</v>
      </c>
      <c r="L245" s="3" t="s">
        <v>873</v>
      </c>
      <c r="M245" s="3"/>
      <c r="N245" s="5" t="s">
        <v>454</v>
      </c>
      <c r="O245" s="5" t="s">
        <v>364</v>
      </c>
    </row>
    <row r="246" spans="1:15" ht="24.85" customHeight="1">
      <c r="A246" s="2" t="s">
        <v>486</v>
      </c>
      <c r="B246" s="6" t="s">
        <v>389</v>
      </c>
      <c r="C246" s="5" t="s">
        <v>853</v>
      </c>
      <c r="D246" s="2" t="s">
        <v>844</v>
      </c>
      <c r="E246" s="5" t="s">
        <v>818</v>
      </c>
      <c r="F246" s="5" t="str">
        <f>"GFCF - Other "&amp;O246</f>
        <v>GFCF - Other (Real y/y%)</v>
      </c>
      <c r="G246" s="5" t="s">
        <v>358</v>
      </c>
      <c r="H246" s="5" t="s">
        <v>782</v>
      </c>
      <c r="I246" s="2" t="s">
        <v>731</v>
      </c>
      <c r="J246" s="3" t="s">
        <v>1080</v>
      </c>
      <c r="K246" s="3" t="s">
        <v>892</v>
      </c>
      <c r="L246" s="3" t="s">
        <v>873</v>
      </c>
      <c r="M246" s="3"/>
      <c r="N246" s="5" t="s">
        <v>454</v>
      </c>
      <c r="O246" s="5" t="s">
        <v>366</v>
      </c>
    </row>
    <row r="247" spans="1:15" ht="24.85" customHeight="1">
      <c r="A247" s="2" t="s">
        <v>486</v>
      </c>
      <c r="B247" s="6" t="s">
        <v>460</v>
      </c>
      <c r="C247" s="5" t="s">
        <v>931</v>
      </c>
      <c r="D247" s="2" t="s">
        <v>832</v>
      </c>
      <c r="E247" s="5" t="s">
        <v>819</v>
      </c>
      <c r="F247" s="5" t="str">
        <f>"GNE  "&amp;O247</f>
        <v>GNE  (Nominal $m)</v>
      </c>
      <c r="G247" s="5" t="s">
        <v>217</v>
      </c>
      <c r="H247" s="5" t="s">
        <v>816</v>
      </c>
      <c r="I247" s="2" t="s">
        <v>921</v>
      </c>
      <c r="J247" s="3" t="s">
        <v>1080</v>
      </c>
      <c r="K247" s="3" t="s">
        <v>892</v>
      </c>
      <c r="L247" s="3" t="s">
        <v>873</v>
      </c>
      <c r="M247" s="3"/>
      <c r="N247" s="5" t="s">
        <v>459</v>
      </c>
      <c r="O247" s="5" t="s">
        <v>425</v>
      </c>
    </row>
    <row r="248" spans="1:15" ht="24.85" customHeight="1">
      <c r="A248" s="2" t="s">
        <v>486</v>
      </c>
      <c r="B248" s="6" t="s">
        <v>461</v>
      </c>
      <c r="C248" s="16" t="s">
        <v>932</v>
      </c>
      <c r="D248" s="2" t="s">
        <v>825</v>
      </c>
      <c r="E248" s="5" t="s">
        <v>819</v>
      </c>
      <c r="F248" s="5" t="str">
        <f>"GNE  "&amp;O248</f>
        <v>GNE  (Nominal $m s.a.)</v>
      </c>
      <c r="G248" s="5" t="s">
        <v>346</v>
      </c>
      <c r="H248" s="5" t="s">
        <v>816</v>
      </c>
      <c r="I248" s="2" t="s">
        <v>921</v>
      </c>
      <c r="J248" s="3" t="s">
        <v>1080</v>
      </c>
      <c r="K248" s="3" t="s">
        <v>892</v>
      </c>
      <c r="L248" s="3" t="s">
        <v>873</v>
      </c>
      <c r="M248" s="3"/>
      <c r="N248" s="5" t="s">
        <v>459</v>
      </c>
      <c r="O248" s="5" t="s">
        <v>427</v>
      </c>
    </row>
    <row r="249" spans="1:15" ht="24.85" customHeight="1">
      <c r="A249" s="2" t="s">
        <v>486</v>
      </c>
      <c r="B249" s="6" t="s">
        <v>462</v>
      </c>
      <c r="C249" s="5" t="s">
        <v>933</v>
      </c>
      <c r="D249" s="2" t="s">
        <v>826</v>
      </c>
      <c r="E249" s="5" t="s">
        <v>819</v>
      </c>
      <c r="F249" s="5" t="str">
        <f>"GNE  "&amp;O249</f>
        <v>GNE  (Nominal q/q% s.a.)</v>
      </c>
      <c r="G249" s="5" t="s">
        <v>348</v>
      </c>
      <c r="H249" s="5" t="s">
        <v>781</v>
      </c>
      <c r="I249" s="2" t="s">
        <v>731</v>
      </c>
      <c r="J249" s="3" t="s">
        <v>1080</v>
      </c>
      <c r="K249" s="3" t="s">
        <v>892</v>
      </c>
      <c r="L249" s="3" t="s">
        <v>873</v>
      </c>
      <c r="M249" s="3"/>
      <c r="N249" s="5" t="s">
        <v>459</v>
      </c>
      <c r="O249" s="5" t="s">
        <v>429</v>
      </c>
    </row>
    <row r="250" spans="1:15" ht="24.85" customHeight="1">
      <c r="A250" s="2" t="s">
        <v>486</v>
      </c>
      <c r="B250" s="6" t="s">
        <v>463</v>
      </c>
      <c r="C250" s="5" t="s">
        <v>934</v>
      </c>
      <c r="D250" s="2" t="s">
        <v>827</v>
      </c>
      <c r="E250" s="5" t="s">
        <v>819</v>
      </c>
      <c r="F250" s="5" t="str">
        <f>"GNE  "&amp;O250</f>
        <v>GNE  (Nominal y/y%)</v>
      </c>
      <c r="G250" s="5" t="s">
        <v>16</v>
      </c>
      <c r="H250" s="5" t="s">
        <v>782</v>
      </c>
      <c r="I250" s="2" t="s">
        <v>731</v>
      </c>
      <c r="J250" s="3" t="s">
        <v>1080</v>
      </c>
      <c r="K250" s="3" t="s">
        <v>892</v>
      </c>
      <c r="L250" s="3" t="s">
        <v>873</v>
      </c>
      <c r="M250" s="3"/>
      <c r="N250" s="5" t="s">
        <v>459</v>
      </c>
      <c r="O250" s="5" t="s">
        <v>431</v>
      </c>
    </row>
    <row r="251" spans="1:15" ht="24.85" customHeight="1">
      <c r="A251" s="2" t="s">
        <v>486</v>
      </c>
      <c r="B251" s="6" t="s">
        <v>464</v>
      </c>
      <c r="C251" s="5" t="s">
        <v>935</v>
      </c>
      <c r="D251" s="2" t="s">
        <v>828</v>
      </c>
      <c r="E251" s="5" t="s">
        <v>819</v>
      </c>
      <c r="F251" s="5" t="str">
        <f>"GNE  "&amp;O251</f>
        <v>GNE  (Real $m)</v>
      </c>
      <c r="G251" s="5" t="s">
        <v>352</v>
      </c>
      <c r="H251" s="5" t="s">
        <v>816</v>
      </c>
      <c r="I251" s="2" t="s">
        <v>921</v>
      </c>
      <c r="J251" s="3" t="s">
        <v>1080</v>
      </c>
      <c r="K251" s="3" t="s">
        <v>892</v>
      </c>
      <c r="L251" s="3" t="s">
        <v>873</v>
      </c>
      <c r="M251" s="3"/>
      <c r="N251" s="5" t="s">
        <v>459</v>
      </c>
      <c r="O251" s="5" t="s">
        <v>360</v>
      </c>
    </row>
    <row r="252" spans="1:15" ht="24.85" customHeight="1">
      <c r="A252" s="2" t="s">
        <v>486</v>
      </c>
      <c r="B252" s="6" t="s">
        <v>465</v>
      </c>
      <c r="C252" s="5" t="s">
        <v>936</v>
      </c>
      <c r="D252" s="2" t="s">
        <v>829</v>
      </c>
      <c r="E252" s="5" t="s">
        <v>819</v>
      </c>
      <c r="F252" s="5" t="str">
        <f>"GNE  "&amp;O252</f>
        <v>GNE  (Real $m s.a.)</v>
      </c>
      <c r="G252" s="5" t="s">
        <v>354</v>
      </c>
      <c r="H252" s="5" t="s">
        <v>816</v>
      </c>
      <c r="I252" s="2" t="s">
        <v>921</v>
      </c>
      <c r="J252" s="3" t="s">
        <v>1080</v>
      </c>
      <c r="K252" s="3" t="s">
        <v>892</v>
      </c>
      <c r="L252" s="3" t="s">
        <v>873</v>
      </c>
      <c r="M252" s="3"/>
      <c r="N252" s="5" t="s">
        <v>459</v>
      </c>
      <c r="O252" s="5" t="s">
        <v>362</v>
      </c>
    </row>
    <row r="253" spans="1:15" ht="24.85" customHeight="1">
      <c r="A253" s="2" t="s">
        <v>486</v>
      </c>
      <c r="B253" s="6" t="s">
        <v>466</v>
      </c>
      <c r="C253" s="5" t="s">
        <v>937</v>
      </c>
      <c r="D253" s="2" t="s">
        <v>830</v>
      </c>
      <c r="E253" s="5" t="s">
        <v>819</v>
      </c>
      <c r="F253" s="5" t="str">
        <f>"GNE  "&amp;O253</f>
        <v>GNE  (Real q/q% s.a.)</v>
      </c>
      <c r="G253" s="5" t="s">
        <v>356</v>
      </c>
      <c r="H253" s="5" t="s">
        <v>781</v>
      </c>
      <c r="I253" s="2" t="s">
        <v>731</v>
      </c>
      <c r="J253" s="3" t="s">
        <v>1080</v>
      </c>
      <c r="K253" s="3" t="s">
        <v>892</v>
      </c>
      <c r="L253" s="3" t="s">
        <v>873</v>
      </c>
      <c r="M253" s="3"/>
      <c r="N253" s="5" t="s">
        <v>459</v>
      </c>
      <c r="O253" s="5" t="s">
        <v>364</v>
      </c>
    </row>
    <row r="254" spans="1:15" ht="24.85" customHeight="1">
      <c r="A254" s="2" t="s">
        <v>486</v>
      </c>
      <c r="B254" s="6" t="s">
        <v>467</v>
      </c>
      <c r="C254" s="5" t="s">
        <v>938</v>
      </c>
      <c r="D254" s="2" t="s">
        <v>831</v>
      </c>
      <c r="E254" s="5" t="s">
        <v>819</v>
      </c>
      <c r="F254" s="5" t="str">
        <f>"GNE  "&amp;O254</f>
        <v>GNE  (Real y/y%)</v>
      </c>
      <c r="G254" s="5" t="s">
        <v>358</v>
      </c>
      <c r="H254" s="5" t="s">
        <v>782</v>
      </c>
      <c r="I254" s="2" t="s">
        <v>731</v>
      </c>
      <c r="J254" s="3" t="s">
        <v>1080</v>
      </c>
      <c r="K254" s="3" t="s">
        <v>892</v>
      </c>
      <c r="L254" s="3" t="s">
        <v>873</v>
      </c>
      <c r="M254" s="3"/>
      <c r="N254" s="5" t="s">
        <v>459</v>
      </c>
      <c r="O254" s="5" t="s">
        <v>366</v>
      </c>
    </row>
    <row r="255" spans="1:15" ht="24.85" customHeight="1">
      <c r="A255" s="2" t="s">
        <v>486</v>
      </c>
      <c r="B255" s="6" t="s">
        <v>469</v>
      </c>
      <c r="C255" s="5" t="s">
        <v>977</v>
      </c>
      <c r="D255" s="2" t="s">
        <v>978</v>
      </c>
      <c r="E255" s="5" t="s">
        <v>979</v>
      </c>
      <c r="F255" s="5" t="str">
        <f>"Exports G&amp;S "&amp;O255</f>
        <v>Exports G&amp;S (Nominal $m)</v>
      </c>
      <c r="G255" s="5" t="s">
        <v>217</v>
      </c>
      <c r="H255" s="5" t="s">
        <v>816</v>
      </c>
      <c r="I255" s="17" t="s">
        <v>921</v>
      </c>
      <c r="J255" s="3" t="s">
        <v>1080</v>
      </c>
      <c r="K255" s="3" t="s">
        <v>892</v>
      </c>
      <c r="L255" s="3" t="s">
        <v>873</v>
      </c>
      <c r="M255" s="3"/>
      <c r="N255" s="5" t="s">
        <v>468</v>
      </c>
      <c r="O255" s="5" t="s">
        <v>425</v>
      </c>
    </row>
    <row r="256" spans="1:15" ht="24.85" customHeight="1">
      <c r="A256" s="2" t="s">
        <v>486</v>
      </c>
      <c r="B256" s="6" t="s">
        <v>470</v>
      </c>
      <c r="C256" s="5" t="s">
        <v>980</v>
      </c>
      <c r="D256" s="2" t="s">
        <v>981</v>
      </c>
      <c r="E256" s="5" t="s">
        <v>979</v>
      </c>
      <c r="F256" s="5" t="str">
        <f>"Exports G&amp;S "&amp;O256</f>
        <v>Exports G&amp;S (Nominal $m s.a.)</v>
      </c>
      <c r="G256" s="5" t="s">
        <v>346</v>
      </c>
      <c r="H256" s="5" t="s">
        <v>816</v>
      </c>
      <c r="I256" s="17" t="s">
        <v>921</v>
      </c>
      <c r="J256" s="3" t="s">
        <v>1080</v>
      </c>
      <c r="K256" s="3" t="s">
        <v>892</v>
      </c>
      <c r="L256" s="3" t="s">
        <v>873</v>
      </c>
      <c r="M256" s="3"/>
      <c r="N256" s="5" t="s">
        <v>468</v>
      </c>
      <c r="O256" s="5" t="s">
        <v>427</v>
      </c>
    </row>
    <row r="257" spans="1:15" ht="24.85" customHeight="1">
      <c r="A257" s="2" t="s">
        <v>486</v>
      </c>
      <c r="B257" s="6" t="s">
        <v>471</v>
      </c>
      <c r="C257" s="5" t="s">
        <v>982</v>
      </c>
      <c r="D257" s="2" t="s">
        <v>983</v>
      </c>
      <c r="E257" s="5" t="s">
        <v>979</v>
      </c>
      <c r="F257" s="5" t="str">
        <f>"Exports G&amp;S "&amp;O257</f>
        <v>Exports G&amp;S (Nominal q/q% s.a.)</v>
      </c>
      <c r="G257" s="5" t="s">
        <v>348</v>
      </c>
      <c r="H257" s="5" t="s">
        <v>781</v>
      </c>
      <c r="I257" s="2" t="s">
        <v>731</v>
      </c>
      <c r="J257" s="3" t="s">
        <v>1080</v>
      </c>
      <c r="K257" s="3" t="s">
        <v>892</v>
      </c>
      <c r="L257" s="3" t="s">
        <v>873</v>
      </c>
      <c r="M257" s="3"/>
      <c r="N257" s="5" t="s">
        <v>468</v>
      </c>
      <c r="O257" s="5" t="s">
        <v>429</v>
      </c>
    </row>
    <row r="258" spans="1:15" ht="24.85" customHeight="1">
      <c r="A258" s="2" t="s">
        <v>486</v>
      </c>
      <c r="B258" s="6" t="s">
        <v>472</v>
      </c>
      <c r="C258" s="5" t="s">
        <v>984</v>
      </c>
      <c r="D258" s="2" t="s">
        <v>985</v>
      </c>
      <c r="E258" s="5" t="s">
        <v>979</v>
      </c>
      <c r="F258" s="5" t="str">
        <f>"Exports G&amp;S "&amp;O258</f>
        <v>Exports G&amp;S (Nominal y/y%)</v>
      </c>
      <c r="G258" s="5" t="s">
        <v>16</v>
      </c>
      <c r="H258" s="5" t="s">
        <v>782</v>
      </c>
      <c r="I258" s="2" t="s">
        <v>731</v>
      </c>
      <c r="J258" s="3" t="s">
        <v>1080</v>
      </c>
      <c r="K258" s="3" t="s">
        <v>892</v>
      </c>
      <c r="L258" s="3" t="s">
        <v>873</v>
      </c>
      <c r="M258" s="3"/>
      <c r="N258" s="5" t="s">
        <v>468</v>
      </c>
      <c r="O258" s="5" t="s">
        <v>431</v>
      </c>
    </row>
    <row r="259" spans="1:15" ht="24.85" customHeight="1">
      <c r="A259" s="2" t="s">
        <v>486</v>
      </c>
      <c r="B259" s="6" t="s">
        <v>473</v>
      </c>
      <c r="C259" s="5" t="s">
        <v>986</v>
      </c>
      <c r="D259" s="2" t="s">
        <v>987</v>
      </c>
      <c r="E259" s="5" t="s">
        <v>979</v>
      </c>
      <c r="F259" s="5" t="str">
        <f>"Exports G&amp;S "&amp;O259</f>
        <v>Exports G&amp;S (Real $m)</v>
      </c>
      <c r="G259" s="5" t="s">
        <v>352</v>
      </c>
      <c r="H259" s="5" t="s">
        <v>816</v>
      </c>
      <c r="I259" s="17" t="s">
        <v>921</v>
      </c>
      <c r="J259" s="3" t="s">
        <v>1080</v>
      </c>
      <c r="K259" s="3" t="s">
        <v>892</v>
      </c>
      <c r="L259" s="3" t="s">
        <v>873</v>
      </c>
      <c r="M259" s="3"/>
      <c r="N259" s="5" t="s">
        <v>468</v>
      </c>
      <c r="O259" s="5" t="s">
        <v>360</v>
      </c>
    </row>
    <row r="260" spans="1:15" ht="24.85" customHeight="1">
      <c r="A260" s="2" t="s">
        <v>486</v>
      </c>
      <c r="B260" s="6" t="s">
        <v>474</v>
      </c>
      <c r="C260" s="5" t="s">
        <v>988</v>
      </c>
      <c r="D260" s="2" t="s">
        <v>989</v>
      </c>
      <c r="E260" s="5" t="s">
        <v>979</v>
      </c>
      <c r="F260" s="5" t="str">
        <f>"Exports G&amp;S "&amp;O260</f>
        <v>Exports G&amp;S (Real $m s.a.)</v>
      </c>
      <c r="G260" s="5" t="s">
        <v>354</v>
      </c>
      <c r="H260" s="5" t="s">
        <v>816</v>
      </c>
      <c r="I260" s="17" t="s">
        <v>921</v>
      </c>
      <c r="J260" s="3" t="s">
        <v>1080</v>
      </c>
      <c r="K260" s="3" t="s">
        <v>892</v>
      </c>
      <c r="L260" s="3" t="s">
        <v>873</v>
      </c>
      <c r="M260" s="3"/>
      <c r="N260" s="5" t="s">
        <v>468</v>
      </c>
      <c r="O260" s="5" t="s">
        <v>362</v>
      </c>
    </row>
    <row r="261" spans="1:15" ht="24.85" customHeight="1">
      <c r="A261" s="2" t="s">
        <v>486</v>
      </c>
      <c r="B261" s="6" t="s">
        <v>475</v>
      </c>
      <c r="C261" s="5" t="s">
        <v>990</v>
      </c>
      <c r="D261" s="2" t="s">
        <v>991</v>
      </c>
      <c r="E261" s="5" t="s">
        <v>979</v>
      </c>
      <c r="F261" s="5" t="str">
        <f>"Exports G&amp;S "&amp;O261</f>
        <v>Exports G&amp;S (Real q/q% s.a.)</v>
      </c>
      <c r="G261" s="5" t="s">
        <v>356</v>
      </c>
      <c r="H261" s="5" t="s">
        <v>781</v>
      </c>
      <c r="I261" s="2" t="s">
        <v>731</v>
      </c>
      <c r="J261" s="3" t="s">
        <v>1080</v>
      </c>
      <c r="K261" s="3" t="s">
        <v>892</v>
      </c>
      <c r="L261" s="3" t="s">
        <v>873</v>
      </c>
      <c r="M261" s="3"/>
      <c r="N261" s="5" t="s">
        <v>468</v>
      </c>
      <c r="O261" s="5" t="s">
        <v>364</v>
      </c>
    </row>
    <row r="262" spans="1:15" ht="24.85" customHeight="1">
      <c r="A262" s="2" t="s">
        <v>486</v>
      </c>
      <c r="B262" s="6" t="s">
        <v>476</v>
      </c>
      <c r="C262" s="5" t="s">
        <v>992</v>
      </c>
      <c r="D262" s="2" t="s">
        <v>993</v>
      </c>
      <c r="E262" s="5" t="s">
        <v>979</v>
      </c>
      <c r="F262" s="5" t="str">
        <f>"Exports G&amp;S "&amp;O262</f>
        <v>Exports G&amp;S (Real y/y%)</v>
      </c>
      <c r="G262" s="5" t="s">
        <v>358</v>
      </c>
      <c r="H262" s="5" t="s">
        <v>782</v>
      </c>
      <c r="I262" s="2" t="s">
        <v>731</v>
      </c>
      <c r="J262" s="3" t="s">
        <v>1080</v>
      </c>
      <c r="K262" s="3" t="s">
        <v>892</v>
      </c>
      <c r="L262" s="3" t="s">
        <v>873</v>
      </c>
      <c r="M262" s="3"/>
      <c r="N262" s="5" t="s">
        <v>468</v>
      </c>
      <c r="O262" s="5" t="s">
        <v>366</v>
      </c>
    </row>
    <row r="263" spans="1:15" ht="24.85" customHeight="1">
      <c r="A263" s="2" t="s">
        <v>486</v>
      </c>
      <c r="B263" s="6" t="s">
        <v>478</v>
      </c>
      <c r="C263" s="5" t="s">
        <v>994</v>
      </c>
      <c r="D263" s="2" t="s">
        <v>978</v>
      </c>
      <c r="E263" s="5" t="s">
        <v>979</v>
      </c>
      <c r="F263" s="5" t="str">
        <f>"Import G&amp;S "&amp;O263</f>
        <v>Import G&amp;S (Nominal $m)</v>
      </c>
      <c r="G263" s="5" t="s">
        <v>217</v>
      </c>
      <c r="H263" s="5" t="s">
        <v>816</v>
      </c>
      <c r="I263" s="17" t="s">
        <v>921</v>
      </c>
      <c r="J263" s="3" t="s">
        <v>1080</v>
      </c>
      <c r="K263" s="3" t="s">
        <v>892</v>
      </c>
      <c r="L263" s="3" t="s">
        <v>873</v>
      </c>
      <c r="M263" s="3"/>
      <c r="N263" s="5" t="s">
        <v>477</v>
      </c>
      <c r="O263" s="5" t="s">
        <v>425</v>
      </c>
    </row>
    <row r="264" spans="1:15" ht="24.85" customHeight="1">
      <c r="A264" s="2" t="s">
        <v>486</v>
      </c>
      <c r="B264" s="6" t="s">
        <v>479</v>
      </c>
      <c r="C264" s="5" t="s">
        <v>995</v>
      </c>
      <c r="D264" s="2" t="s">
        <v>981</v>
      </c>
      <c r="E264" s="5" t="s">
        <v>979</v>
      </c>
      <c r="F264" s="5" t="str">
        <f>"Import G&amp;S "&amp;O264</f>
        <v>Import G&amp;S (Nominal $m s.a.)</v>
      </c>
      <c r="G264" s="5" t="s">
        <v>346</v>
      </c>
      <c r="H264" s="5" t="s">
        <v>816</v>
      </c>
      <c r="I264" s="17" t="s">
        <v>921</v>
      </c>
      <c r="J264" s="3" t="s">
        <v>1080</v>
      </c>
      <c r="K264" s="3" t="s">
        <v>892</v>
      </c>
      <c r="L264" s="3" t="s">
        <v>873</v>
      </c>
      <c r="M264" s="3"/>
      <c r="N264" s="5" t="s">
        <v>477</v>
      </c>
      <c r="O264" s="5" t="s">
        <v>427</v>
      </c>
    </row>
    <row r="265" spans="1:15" ht="24.85" customHeight="1">
      <c r="A265" s="2" t="s">
        <v>486</v>
      </c>
      <c r="B265" s="6" t="s">
        <v>480</v>
      </c>
      <c r="C265" s="5" t="s">
        <v>996</v>
      </c>
      <c r="D265" s="2" t="s">
        <v>983</v>
      </c>
      <c r="E265" s="5" t="s">
        <v>979</v>
      </c>
      <c r="F265" s="5" t="str">
        <f>"Import G&amp;S "&amp;O265</f>
        <v>Import G&amp;S (Nominal q/q% s.a.)</v>
      </c>
      <c r="G265" s="5" t="s">
        <v>348</v>
      </c>
      <c r="H265" s="5" t="s">
        <v>781</v>
      </c>
      <c r="I265" s="2" t="s">
        <v>731</v>
      </c>
      <c r="J265" s="3" t="s">
        <v>1080</v>
      </c>
      <c r="K265" s="3" t="s">
        <v>892</v>
      </c>
      <c r="L265" s="3" t="s">
        <v>873</v>
      </c>
      <c r="M265" s="3"/>
      <c r="N265" s="5" t="s">
        <v>477</v>
      </c>
      <c r="O265" s="5" t="s">
        <v>429</v>
      </c>
    </row>
    <row r="266" spans="1:15" ht="24.85" customHeight="1">
      <c r="A266" s="2" t="s">
        <v>486</v>
      </c>
      <c r="B266" s="6" t="s">
        <v>481</v>
      </c>
      <c r="C266" s="5" t="s">
        <v>997</v>
      </c>
      <c r="D266" s="2" t="s">
        <v>985</v>
      </c>
      <c r="E266" s="5" t="s">
        <v>979</v>
      </c>
      <c r="F266" s="5" t="str">
        <f>"Import G&amp;S "&amp;O266</f>
        <v>Import G&amp;S (Nominal y/y%)</v>
      </c>
      <c r="G266" s="5" t="s">
        <v>16</v>
      </c>
      <c r="H266" s="5" t="s">
        <v>782</v>
      </c>
      <c r="I266" s="2" t="s">
        <v>731</v>
      </c>
      <c r="J266" s="3" t="s">
        <v>1080</v>
      </c>
      <c r="K266" s="3" t="s">
        <v>892</v>
      </c>
      <c r="L266" s="3" t="s">
        <v>873</v>
      </c>
      <c r="M266" s="3"/>
      <c r="N266" s="5" t="s">
        <v>477</v>
      </c>
      <c r="O266" s="5" t="s">
        <v>431</v>
      </c>
    </row>
    <row r="267" spans="1:15" ht="24.85" customHeight="1">
      <c r="A267" s="2" t="s">
        <v>486</v>
      </c>
      <c r="B267" s="6" t="s">
        <v>482</v>
      </c>
      <c r="C267" s="5" t="s">
        <v>998</v>
      </c>
      <c r="D267" s="2" t="s">
        <v>987</v>
      </c>
      <c r="E267" s="5" t="s">
        <v>979</v>
      </c>
      <c r="F267" s="5" t="str">
        <f>"Import G&amp;S "&amp;O267</f>
        <v>Import G&amp;S (Real $m)</v>
      </c>
      <c r="G267" s="5" t="s">
        <v>352</v>
      </c>
      <c r="H267" s="5" t="s">
        <v>816</v>
      </c>
      <c r="I267" s="17" t="s">
        <v>921</v>
      </c>
      <c r="J267" s="3" t="s">
        <v>1080</v>
      </c>
      <c r="K267" s="3" t="s">
        <v>892</v>
      </c>
      <c r="L267" s="3" t="s">
        <v>873</v>
      </c>
      <c r="M267" s="3"/>
      <c r="N267" s="5" t="s">
        <v>477</v>
      </c>
      <c r="O267" s="5" t="s">
        <v>360</v>
      </c>
    </row>
    <row r="268" spans="1:15" ht="24.85" customHeight="1">
      <c r="A268" s="2" t="s">
        <v>486</v>
      </c>
      <c r="B268" s="6" t="s">
        <v>483</v>
      </c>
      <c r="C268" s="5" t="s">
        <v>999</v>
      </c>
      <c r="D268" s="2" t="s">
        <v>989</v>
      </c>
      <c r="E268" s="5" t="s">
        <v>979</v>
      </c>
      <c r="F268" s="5" t="str">
        <f>"Import G&amp;S "&amp;O268</f>
        <v>Import G&amp;S (Real $m s.a.)</v>
      </c>
      <c r="G268" s="5" t="s">
        <v>354</v>
      </c>
      <c r="H268" s="5" t="s">
        <v>816</v>
      </c>
      <c r="I268" s="17" t="s">
        <v>921</v>
      </c>
      <c r="J268" s="3" t="s">
        <v>1080</v>
      </c>
      <c r="K268" s="3" t="s">
        <v>892</v>
      </c>
      <c r="L268" s="3" t="s">
        <v>873</v>
      </c>
      <c r="M268" s="3"/>
      <c r="N268" s="5" t="s">
        <v>477</v>
      </c>
      <c r="O268" s="5" t="s">
        <v>362</v>
      </c>
    </row>
    <row r="269" spans="1:15" ht="24.85" customHeight="1">
      <c r="A269" s="2" t="s">
        <v>486</v>
      </c>
      <c r="B269" s="6" t="s">
        <v>484</v>
      </c>
      <c r="C269" s="5" t="s">
        <v>1000</v>
      </c>
      <c r="D269" s="2" t="s">
        <v>991</v>
      </c>
      <c r="E269" s="5" t="s">
        <v>979</v>
      </c>
      <c r="F269" s="5" t="str">
        <f>"Import G&amp;S "&amp;O269</f>
        <v>Import G&amp;S (Real q/q% s.a.)</v>
      </c>
      <c r="G269" s="5" t="s">
        <v>356</v>
      </c>
      <c r="H269" s="5" t="s">
        <v>781</v>
      </c>
      <c r="I269" s="2" t="s">
        <v>731</v>
      </c>
      <c r="J269" s="3" t="s">
        <v>1080</v>
      </c>
      <c r="K269" s="3" t="s">
        <v>892</v>
      </c>
      <c r="L269" s="3" t="s">
        <v>873</v>
      </c>
      <c r="M269" s="3"/>
      <c r="N269" s="5" t="s">
        <v>477</v>
      </c>
      <c r="O269" s="5" t="s">
        <v>364</v>
      </c>
    </row>
    <row r="270" spans="1:15" ht="24.85" customHeight="1">
      <c r="A270" s="2" t="s">
        <v>486</v>
      </c>
      <c r="B270" s="6" t="s">
        <v>485</v>
      </c>
      <c r="C270" s="5" t="s">
        <v>1001</v>
      </c>
      <c r="D270" s="2" t="s">
        <v>993</v>
      </c>
      <c r="E270" s="5" t="s">
        <v>979</v>
      </c>
      <c r="F270" s="5" t="str">
        <f>"Import G&amp;S "&amp;O270</f>
        <v>Import G&amp;S (Real y/y%)</v>
      </c>
      <c r="G270" s="5" t="s">
        <v>358</v>
      </c>
      <c r="H270" s="5" t="s">
        <v>782</v>
      </c>
      <c r="I270" s="2" t="s">
        <v>731</v>
      </c>
      <c r="J270" s="3" t="s">
        <v>1080</v>
      </c>
      <c r="K270" s="3" t="s">
        <v>892</v>
      </c>
      <c r="L270" s="3" t="s">
        <v>873</v>
      </c>
      <c r="M270" s="3"/>
      <c r="N270" s="5" t="s">
        <v>477</v>
      </c>
      <c r="O270" s="5" t="s">
        <v>366</v>
      </c>
    </row>
    <row r="271" spans="1:15" hidden="1">
      <c r="A271" s="8"/>
      <c r="B271" s="8"/>
      <c r="C271" s="8"/>
      <c r="D271" s="8"/>
      <c r="E271" s="8"/>
      <c r="F271" s="8"/>
      <c r="G271" s="8"/>
      <c r="H271" s="8"/>
      <c r="I271" s="8" t="s">
        <v>731</v>
      </c>
      <c r="J271" s="9" t="s">
        <v>52</v>
      </c>
      <c r="K271" s="9" t="s">
        <v>53</v>
      </c>
      <c r="L271" s="9" t="s">
        <v>873</v>
      </c>
      <c r="M271" s="9"/>
      <c r="N271" s="8" t="s">
        <v>507</v>
      </c>
      <c r="O271" s="8"/>
    </row>
    <row r="272" spans="1:15" hidden="1">
      <c r="A272" s="2" t="s">
        <v>507</v>
      </c>
      <c r="B272" s="6" t="s">
        <v>489</v>
      </c>
      <c r="C272" s="5"/>
      <c r="E272" s="5"/>
      <c r="F272" s="5"/>
      <c r="G272" s="5" t="s">
        <v>217</v>
      </c>
      <c r="H272" s="5"/>
      <c r="I272" s="17" t="s">
        <v>921</v>
      </c>
      <c r="J272" s="3"/>
      <c r="K272" s="3"/>
      <c r="L272" s="3" t="s">
        <v>1002</v>
      </c>
      <c r="M272" s="3"/>
      <c r="N272" s="5" t="s">
        <v>487</v>
      </c>
      <c r="O272" s="5" t="s">
        <v>488</v>
      </c>
    </row>
    <row r="273" spans="1:15" hidden="1">
      <c r="A273" s="2" t="s">
        <v>507</v>
      </c>
      <c r="B273" s="6" t="s">
        <v>491</v>
      </c>
      <c r="C273" s="5"/>
      <c r="E273" s="5"/>
      <c r="F273" s="5"/>
      <c r="G273" s="5" t="s">
        <v>217</v>
      </c>
      <c r="H273" s="5"/>
      <c r="I273" s="17" t="s">
        <v>921</v>
      </c>
      <c r="J273" s="3"/>
      <c r="K273" s="3"/>
      <c r="L273" s="3" t="s">
        <v>1002</v>
      </c>
      <c r="M273" s="3"/>
      <c r="N273" s="5" t="s">
        <v>487</v>
      </c>
      <c r="O273" s="5" t="s">
        <v>490</v>
      </c>
    </row>
    <row r="274" spans="1:15">
      <c r="A274" s="2" t="s">
        <v>507</v>
      </c>
      <c r="B274" s="6" t="s">
        <v>494</v>
      </c>
      <c r="C274" s="5" t="s">
        <v>493</v>
      </c>
      <c r="E274" s="5" t="s">
        <v>493</v>
      </c>
      <c r="F274" s="5"/>
      <c r="G274" s="5" t="s">
        <v>8</v>
      </c>
      <c r="H274" s="5" t="s">
        <v>492</v>
      </c>
      <c r="I274" s="17" t="s">
        <v>921</v>
      </c>
      <c r="J274" s="3" t="s">
        <v>1083</v>
      </c>
      <c r="K274" s="3" t="s">
        <v>53</v>
      </c>
      <c r="L274" s="3" t="s">
        <v>1002</v>
      </c>
      <c r="M274" s="3"/>
      <c r="N274" s="5" t="s">
        <v>492</v>
      </c>
      <c r="O274" s="5" t="s">
        <v>493</v>
      </c>
    </row>
    <row r="275" spans="1:15">
      <c r="A275" s="2" t="s">
        <v>507</v>
      </c>
      <c r="B275" s="6" t="s">
        <v>496</v>
      </c>
      <c r="C275" s="5" t="s">
        <v>495</v>
      </c>
      <c r="E275" s="5" t="s">
        <v>495</v>
      </c>
      <c r="F275" s="5"/>
      <c r="G275" s="5" t="s">
        <v>8</v>
      </c>
      <c r="H275" s="5" t="s">
        <v>492</v>
      </c>
      <c r="I275" s="17" t="s">
        <v>921</v>
      </c>
      <c r="J275" s="3" t="s">
        <v>1083</v>
      </c>
      <c r="K275" s="3" t="s">
        <v>52</v>
      </c>
      <c r="L275" s="3" t="s">
        <v>1002</v>
      </c>
      <c r="M275" s="3"/>
      <c r="N275" s="5" t="s">
        <v>492</v>
      </c>
      <c r="O275" s="5" t="s">
        <v>495</v>
      </c>
    </row>
    <row r="276" spans="1:15">
      <c r="A276" s="2" t="s">
        <v>507</v>
      </c>
      <c r="B276" s="6" t="s">
        <v>498</v>
      </c>
      <c r="C276" s="5" t="s">
        <v>497</v>
      </c>
      <c r="E276" s="5" t="s">
        <v>497</v>
      </c>
      <c r="F276" s="5"/>
      <c r="G276" s="5" t="s">
        <v>8</v>
      </c>
      <c r="H276" s="5" t="s">
        <v>492</v>
      </c>
      <c r="I276" s="17" t="s">
        <v>921</v>
      </c>
      <c r="J276" s="3" t="s">
        <v>1083</v>
      </c>
      <c r="K276" s="3" t="s">
        <v>754</v>
      </c>
      <c r="L276" s="3" t="s">
        <v>1002</v>
      </c>
      <c r="M276" s="3"/>
      <c r="N276" s="5" t="s">
        <v>492</v>
      </c>
      <c r="O276" s="5" t="s">
        <v>497</v>
      </c>
    </row>
    <row r="277" spans="1:15">
      <c r="A277" s="2" t="s">
        <v>507</v>
      </c>
      <c r="B277" s="6" t="s">
        <v>500</v>
      </c>
      <c r="C277" s="5" t="s">
        <v>499</v>
      </c>
      <c r="E277" s="5" t="s">
        <v>499</v>
      </c>
      <c r="F277" s="5"/>
      <c r="G277" s="5" t="s">
        <v>8</v>
      </c>
      <c r="H277" s="5" t="s">
        <v>492</v>
      </c>
      <c r="I277" s="17" t="s">
        <v>921</v>
      </c>
      <c r="J277" s="3" t="s">
        <v>1083</v>
      </c>
      <c r="K277" s="3" t="s">
        <v>757</v>
      </c>
      <c r="L277" s="3" t="s">
        <v>1002</v>
      </c>
      <c r="M277" s="3"/>
      <c r="N277" s="5" t="s">
        <v>492</v>
      </c>
      <c r="O277" s="5" t="s">
        <v>499</v>
      </c>
    </row>
    <row r="278" spans="1:15">
      <c r="A278" s="2" t="s">
        <v>507</v>
      </c>
      <c r="B278" s="6" t="s">
        <v>502</v>
      </c>
      <c r="C278" s="5" t="s">
        <v>501</v>
      </c>
      <c r="E278" s="5" t="s">
        <v>501</v>
      </c>
      <c r="F278" s="5"/>
      <c r="G278" s="5" t="s">
        <v>8</v>
      </c>
      <c r="H278" s="5" t="s">
        <v>492</v>
      </c>
      <c r="I278" s="17" t="s">
        <v>921</v>
      </c>
      <c r="J278" s="3" t="s">
        <v>1083</v>
      </c>
      <c r="K278" s="3" t="s">
        <v>759</v>
      </c>
      <c r="L278" s="3" t="s">
        <v>1002</v>
      </c>
      <c r="M278" s="3"/>
      <c r="N278" s="5" t="s">
        <v>492</v>
      </c>
      <c r="O278" s="5" t="s">
        <v>501</v>
      </c>
    </row>
    <row r="279" spans="1:15">
      <c r="A279" s="2" t="s">
        <v>507</v>
      </c>
      <c r="B279" s="6" t="s">
        <v>504</v>
      </c>
      <c r="C279" s="5" t="s">
        <v>503</v>
      </c>
      <c r="E279" s="5" t="s">
        <v>503</v>
      </c>
      <c r="F279" s="5"/>
      <c r="G279" s="5" t="s">
        <v>8</v>
      </c>
      <c r="H279" s="5" t="s">
        <v>492</v>
      </c>
      <c r="I279" s="17" t="s">
        <v>921</v>
      </c>
      <c r="J279" s="3" t="s">
        <v>1083</v>
      </c>
      <c r="K279" s="3" t="s">
        <v>760</v>
      </c>
      <c r="L279" s="3" t="s">
        <v>1002</v>
      </c>
      <c r="M279" s="3"/>
      <c r="N279" s="5" t="s">
        <v>492</v>
      </c>
      <c r="O279" s="5" t="s">
        <v>503</v>
      </c>
    </row>
    <row r="280" spans="1:15" ht="25.5">
      <c r="A280" s="2" t="s">
        <v>507</v>
      </c>
      <c r="B280" s="6" t="s">
        <v>506</v>
      </c>
      <c r="C280" s="5" t="s">
        <v>505</v>
      </c>
      <c r="E280" s="5" t="s">
        <v>503</v>
      </c>
      <c r="F280" s="5"/>
      <c r="G280" s="5" t="s">
        <v>16</v>
      </c>
      <c r="H280" s="5" t="s">
        <v>505</v>
      </c>
      <c r="I280" s="2" t="s">
        <v>731</v>
      </c>
      <c r="J280" s="3" t="s">
        <v>1083</v>
      </c>
      <c r="K280" s="3" t="s">
        <v>758</v>
      </c>
      <c r="L280" s="3" t="s">
        <v>873</v>
      </c>
      <c r="M280" s="3"/>
      <c r="N280" s="5" t="s">
        <v>492</v>
      </c>
      <c r="O280" s="5" t="s">
        <v>505</v>
      </c>
    </row>
    <row r="281" spans="1:15" hidden="1">
      <c r="A281" s="8"/>
      <c r="B281" s="8"/>
      <c r="C281" s="8"/>
      <c r="D281" s="8"/>
      <c r="E281" s="8"/>
      <c r="F281" s="8"/>
      <c r="G281" s="8"/>
      <c r="H281" s="8"/>
      <c r="I281" s="8"/>
      <c r="J281" s="9"/>
      <c r="K281" s="9"/>
      <c r="L281" s="9" t="s">
        <v>873</v>
      </c>
      <c r="M281" s="9"/>
      <c r="N281" s="8" t="s">
        <v>534</v>
      </c>
      <c r="O281" s="8"/>
    </row>
    <row r="282" spans="1:15">
      <c r="A282" s="2" t="s">
        <v>534</v>
      </c>
      <c r="B282" s="2" t="s">
        <v>509</v>
      </c>
      <c r="C282" s="2" t="s">
        <v>508</v>
      </c>
      <c r="D282" s="2" t="s">
        <v>905</v>
      </c>
      <c r="E282" s="2" t="s">
        <v>26</v>
      </c>
      <c r="G282" s="2" t="s">
        <v>16</v>
      </c>
      <c r="H282" s="2" t="s">
        <v>16</v>
      </c>
      <c r="I282" s="2" t="s">
        <v>908</v>
      </c>
      <c r="J282" s="3" t="s">
        <v>1080</v>
      </c>
      <c r="K282" s="3" t="s">
        <v>892</v>
      </c>
      <c r="L282" s="3" t="s">
        <v>873</v>
      </c>
      <c r="M282" s="3"/>
      <c r="N282" s="2" t="s">
        <v>508</v>
      </c>
      <c r="O282" s="2" t="s">
        <v>26</v>
      </c>
    </row>
    <row r="283" spans="1:15">
      <c r="A283" s="2" t="s">
        <v>534</v>
      </c>
      <c r="B283" s="2" t="s">
        <v>510</v>
      </c>
      <c r="C283" s="2" t="s">
        <v>508</v>
      </c>
      <c r="D283" s="2" t="s">
        <v>906</v>
      </c>
      <c r="E283" s="2" t="s">
        <v>18</v>
      </c>
      <c r="G283" s="2" t="s">
        <v>16</v>
      </c>
      <c r="H283" s="2" t="s">
        <v>16</v>
      </c>
      <c r="I283" s="2" t="s">
        <v>908</v>
      </c>
      <c r="J283" s="3" t="s">
        <v>1080</v>
      </c>
      <c r="K283" s="3" t="s">
        <v>892</v>
      </c>
      <c r="L283" s="3" t="s">
        <v>873</v>
      </c>
      <c r="M283" s="3"/>
      <c r="N283" s="2" t="s">
        <v>508</v>
      </c>
      <c r="O283" s="2" t="s">
        <v>18</v>
      </c>
    </row>
    <row r="284" spans="1:15">
      <c r="A284" s="2" t="s">
        <v>534</v>
      </c>
      <c r="B284" s="2" t="s">
        <v>513</v>
      </c>
      <c r="C284" s="2" t="s">
        <v>512</v>
      </c>
      <c r="D284" s="2" t="s">
        <v>512</v>
      </c>
      <c r="E284" s="2" t="s">
        <v>512</v>
      </c>
      <c r="G284" s="2" t="s">
        <v>16</v>
      </c>
      <c r="H284" s="2" t="s">
        <v>16</v>
      </c>
      <c r="I284" s="2" t="s">
        <v>908</v>
      </c>
      <c r="J284" s="3" t="s">
        <v>1080</v>
      </c>
      <c r="K284" s="3" t="s">
        <v>892</v>
      </c>
      <c r="L284" s="3" t="s">
        <v>873</v>
      </c>
      <c r="M284" s="3"/>
      <c r="N284" s="2" t="s">
        <v>511</v>
      </c>
      <c r="O284" s="2" t="s">
        <v>512</v>
      </c>
    </row>
    <row r="285" spans="1:15">
      <c r="A285" s="2" t="s">
        <v>534</v>
      </c>
      <c r="B285" s="2" t="s">
        <v>516</v>
      </c>
      <c r="C285" s="2" t="s">
        <v>515</v>
      </c>
      <c r="D285" s="2" t="s">
        <v>515</v>
      </c>
      <c r="E285" s="2" t="s">
        <v>514</v>
      </c>
      <c r="G285" s="2" t="s">
        <v>16</v>
      </c>
      <c r="H285" s="2" t="s">
        <v>16</v>
      </c>
      <c r="I285" s="2" t="s">
        <v>908</v>
      </c>
      <c r="J285" s="3" t="s">
        <v>1080</v>
      </c>
      <c r="K285" s="3" t="s">
        <v>892</v>
      </c>
      <c r="L285" s="3" t="s">
        <v>873</v>
      </c>
      <c r="M285" s="3"/>
      <c r="N285" s="2" t="s">
        <v>514</v>
      </c>
      <c r="O285" s="2" t="s">
        <v>515</v>
      </c>
    </row>
    <row r="286" spans="1:15">
      <c r="A286" s="2" t="s">
        <v>534</v>
      </c>
      <c r="B286" s="2" t="s">
        <v>518</v>
      </c>
      <c r="C286" s="2" t="s">
        <v>517</v>
      </c>
      <c r="D286" s="2" t="s">
        <v>1003</v>
      </c>
      <c r="E286" s="2" t="s">
        <v>517</v>
      </c>
      <c r="G286" s="2" t="s">
        <v>217</v>
      </c>
      <c r="H286" s="2" t="s">
        <v>217</v>
      </c>
      <c r="I286" s="17" t="s">
        <v>921</v>
      </c>
      <c r="J286" s="3" t="s">
        <v>1080</v>
      </c>
      <c r="K286" s="3" t="s">
        <v>892</v>
      </c>
      <c r="L286" s="3" t="s">
        <v>1002</v>
      </c>
      <c r="M286" s="3"/>
      <c r="N286" s="2" t="s">
        <v>511</v>
      </c>
      <c r="O286" s="2" t="s">
        <v>517</v>
      </c>
    </row>
    <row r="287" spans="1:15">
      <c r="A287" s="2" t="s">
        <v>534</v>
      </c>
      <c r="B287" s="2" t="s">
        <v>520</v>
      </c>
      <c r="C287" s="2" t="s">
        <v>519</v>
      </c>
      <c r="D287" s="2" t="s">
        <v>1003</v>
      </c>
      <c r="E287" s="2" t="s">
        <v>519</v>
      </c>
      <c r="G287" s="2" t="s">
        <v>217</v>
      </c>
      <c r="H287" s="2" t="s">
        <v>217</v>
      </c>
      <c r="I287" s="17" t="s">
        <v>921</v>
      </c>
      <c r="J287" s="3" t="s">
        <v>1080</v>
      </c>
      <c r="K287" s="3" t="s">
        <v>892</v>
      </c>
      <c r="L287" s="3" t="s">
        <v>1002</v>
      </c>
      <c r="M287" s="3"/>
      <c r="N287" s="2" t="s">
        <v>511</v>
      </c>
      <c r="O287" s="2" t="s">
        <v>519</v>
      </c>
    </row>
    <row r="288" spans="1:15">
      <c r="A288" s="2" t="s">
        <v>534</v>
      </c>
      <c r="B288" s="2" t="s">
        <v>522</v>
      </c>
      <c r="C288" s="2" t="s">
        <v>521</v>
      </c>
      <c r="D288" s="2" t="s">
        <v>1003</v>
      </c>
      <c r="E288" s="2" t="s">
        <v>521</v>
      </c>
      <c r="G288" s="2" t="s">
        <v>217</v>
      </c>
      <c r="H288" s="2" t="s">
        <v>217</v>
      </c>
      <c r="I288" s="17" t="s">
        <v>921</v>
      </c>
      <c r="J288" s="3" t="s">
        <v>1080</v>
      </c>
      <c r="K288" s="3" t="s">
        <v>892</v>
      </c>
      <c r="L288" s="3" t="s">
        <v>1002</v>
      </c>
      <c r="M288" s="3"/>
      <c r="N288" s="2" t="s">
        <v>511</v>
      </c>
      <c r="O288" s="2" t="s">
        <v>521</v>
      </c>
    </row>
    <row r="289" spans="1:16">
      <c r="A289" s="2" t="s">
        <v>534</v>
      </c>
      <c r="B289" s="2" t="s">
        <v>524</v>
      </c>
      <c r="C289" s="2" t="s">
        <v>523</v>
      </c>
      <c r="D289" s="2" t="s">
        <v>1003</v>
      </c>
      <c r="E289" s="2" t="s">
        <v>523</v>
      </c>
      <c r="G289" s="2" t="s">
        <v>217</v>
      </c>
      <c r="H289" s="2" t="s">
        <v>217</v>
      </c>
      <c r="I289" s="17" t="s">
        <v>921</v>
      </c>
      <c r="J289" s="3" t="s">
        <v>1080</v>
      </c>
      <c r="K289" s="3" t="s">
        <v>892</v>
      </c>
      <c r="L289" s="3" t="s">
        <v>1002</v>
      </c>
      <c r="M289" s="3"/>
      <c r="N289" s="2" t="s">
        <v>511</v>
      </c>
      <c r="O289" s="2" t="s">
        <v>523</v>
      </c>
    </row>
    <row r="290" spans="1:16">
      <c r="A290" s="2" t="s">
        <v>534</v>
      </c>
      <c r="B290" s="2" t="s">
        <v>526</v>
      </c>
      <c r="C290" s="2" t="s">
        <v>525</v>
      </c>
      <c r="D290" s="2" t="s">
        <v>1004</v>
      </c>
      <c r="E290" s="2" t="s">
        <v>525</v>
      </c>
      <c r="G290" s="2" t="s">
        <v>217</v>
      </c>
      <c r="H290" s="2" t="s">
        <v>217</v>
      </c>
      <c r="I290" s="17" t="s">
        <v>921</v>
      </c>
      <c r="J290" s="3" t="s">
        <v>1080</v>
      </c>
      <c r="K290" s="3" t="s">
        <v>892</v>
      </c>
      <c r="L290" s="3" t="s">
        <v>1002</v>
      </c>
      <c r="M290" s="3"/>
      <c r="N290" s="2" t="s">
        <v>511</v>
      </c>
      <c r="O290" s="2" t="s">
        <v>525</v>
      </c>
    </row>
    <row r="291" spans="1:16">
      <c r="A291" s="2" t="s">
        <v>534</v>
      </c>
      <c r="B291" s="2" t="s">
        <v>528</v>
      </c>
      <c r="C291" s="2" t="s">
        <v>527</v>
      </c>
      <c r="D291" s="2" t="s">
        <v>1005</v>
      </c>
      <c r="E291" s="2" t="s">
        <v>527</v>
      </c>
      <c r="G291" s="2" t="s">
        <v>217</v>
      </c>
      <c r="H291" s="2" t="s">
        <v>217</v>
      </c>
      <c r="I291" s="17" t="s">
        <v>921</v>
      </c>
      <c r="J291" s="3" t="s">
        <v>1080</v>
      </c>
      <c r="K291" s="3" t="s">
        <v>892</v>
      </c>
      <c r="L291" s="3" t="s">
        <v>873</v>
      </c>
      <c r="M291" s="3"/>
      <c r="N291" s="2" t="s">
        <v>514</v>
      </c>
      <c r="O291" s="2" t="s">
        <v>527</v>
      </c>
    </row>
    <row r="292" spans="1:16">
      <c r="A292" s="2" t="s">
        <v>534</v>
      </c>
      <c r="B292" s="2" t="s">
        <v>530</v>
      </c>
      <c r="C292" s="2" t="s">
        <v>529</v>
      </c>
      <c r="D292" s="2" t="s">
        <v>1005</v>
      </c>
      <c r="E292" s="2" t="s">
        <v>529</v>
      </c>
      <c r="G292" s="2" t="s">
        <v>217</v>
      </c>
      <c r="H292" s="2" t="s">
        <v>217</v>
      </c>
      <c r="I292" s="17" t="s">
        <v>921</v>
      </c>
      <c r="J292" s="3" t="s">
        <v>1080</v>
      </c>
      <c r="K292" s="3" t="s">
        <v>892</v>
      </c>
      <c r="L292" s="3" t="s">
        <v>873</v>
      </c>
      <c r="M292" s="3"/>
      <c r="N292" s="2" t="s">
        <v>514</v>
      </c>
      <c r="O292" s="2" t="s">
        <v>529</v>
      </c>
    </row>
    <row r="293" spans="1:16">
      <c r="A293" s="2" t="s">
        <v>534</v>
      </c>
      <c r="B293" s="2" t="s">
        <v>532</v>
      </c>
      <c r="C293" s="2" t="s">
        <v>531</v>
      </c>
      <c r="D293" s="2" t="s">
        <v>531</v>
      </c>
      <c r="G293" s="2" t="s">
        <v>217</v>
      </c>
      <c r="H293" s="2" t="s">
        <v>217</v>
      </c>
      <c r="I293" s="17" t="s">
        <v>921</v>
      </c>
      <c r="J293" s="3" t="s">
        <v>1080</v>
      </c>
      <c r="K293" s="3" t="s">
        <v>892</v>
      </c>
      <c r="L293" s="3" t="s">
        <v>873</v>
      </c>
      <c r="M293" s="3"/>
      <c r="N293" s="2" t="s">
        <v>514</v>
      </c>
      <c r="O293" s="2" t="s">
        <v>531</v>
      </c>
    </row>
    <row r="294" spans="1:16">
      <c r="A294" s="2" t="s">
        <v>534</v>
      </c>
      <c r="B294" s="2" t="s">
        <v>533</v>
      </c>
      <c r="C294" s="2" t="s">
        <v>508</v>
      </c>
      <c r="D294" s="2" t="s">
        <v>1006</v>
      </c>
      <c r="E294" s="2" t="s">
        <v>22</v>
      </c>
      <c r="H294" s="2" t="s">
        <v>58</v>
      </c>
      <c r="I294" s="17" t="s">
        <v>921</v>
      </c>
      <c r="J294" s="3" t="s">
        <v>1080</v>
      </c>
      <c r="K294" s="3" t="s">
        <v>892</v>
      </c>
      <c r="L294" s="3" t="s">
        <v>873</v>
      </c>
      <c r="M294" s="3"/>
      <c r="N294" s="2" t="s">
        <v>508</v>
      </c>
      <c r="O294" s="2" t="s">
        <v>22</v>
      </c>
    </row>
    <row r="295" spans="1:16" hidden="1">
      <c r="A295" s="8"/>
      <c r="B295" s="8"/>
      <c r="C295" s="8"/>
      <c r="D295" s="8"/>
      <c r="E295" s="8"/>
      <c r="F295" s="8"/>
      <c r="G295" s="8"/>
      <c r="H295" s="8"/>
      <c r="I295" s="8"/>
      <c r="J295" s="9"/>
      <c r="K295" s="9"/>
      <c r="L295" s="9" t="s">
        <v>873</v>
      </c>
      <c r="M295" s="9"/>
      <c r="N295" s="8" t="s">
        <v>48</v>
      </c>
      <c r="O295" s="8"/>
    </row>
    <row r="296" spans="1:16">
      <c r="A296" s="2" t="s">
        <v>48</v>
      </c>
      <c r="B296" s="2" t="s">
        <v>7</v>
      </c>
      <c r="C296" s="2" t="str">
        <f>N296&amp;" "&amp;F296</f>
        <v>Export values $m s.a.</v>
      </c>
      <c r="D296" s="2" t="str">
        <f>P296&amp;" ("&amp;F296&amp;")"</f>
        <v>Values ($m s.a.)</v>
      </c>
      <c r="E296" s="2" t="s">
        <v>44</v>
      </c>
      <c r="F296" s="2" t="s">
        <v>815</v>
      </c>
      <c r="G296" s="2" t="s">
        <v>8</v>
      </c>
      <c r="H296" s="2" t="s">
        <v>816</v>
      </c>
      <c r="I296" s="17" t="s">
        <v>921</v>
      </c>
      <c r="J296" s="3" t="s">
        <v>1080</v>
      </c>
      <c r="K296" s="3" t="s">
        <v>892</v>
      </c>
      <c r="L296" s="3" t="s">
        <v>873</v>
      </c>
      <c r="M296" s="3"/>
      <c r="N296" s="2" t="s">
        <v>5</v>
      </c>
      <c r="O296" s="2" t="s">
        <v>6</v>
      </c>
      <c r="P296" s="2" t="s">
        <v>854</v>
      </c>
    </row>
    <row r="297" spans="1:16">
      <c r="A297" s="2" t="s">
        <v>48</v>
      </c>
      <c r="B297" s="2" t="s">
        <v>10</v>
      </c>
      <c r="C297" s="2" t="str">
        <f>N297&amp;" "&amp;F297</f>
        <v>Import values $m s.a.</v>
      </c>
      <c r="D297" s="2" t="str">
        <f>P297&amp;" ("&amp;F297&amp;")"</f>
        <v>Values ($m s.a.)</v>
      </c>
      <c r="E297" s="2" t="s">
        <v>45</v>
      </c>
      <c r="F297" s="2" t="s">
        <v>815</v>
      </c>
      <c r="G297" s="2" t="s">
        <v>8</v>
      </c>
      <c r="H297" s="2" t="s">
        <v>816</v>
      </c>
      <c r="I297" s="2" t="s">
        <v>921</v>
      </c>
      <c r="J297" s="3" t="s">
        <v>1080</v>
      </c>
      <c r="K297" s="3" t="s">
        <v>892</v>
      </c>
      <c r="L297" s="3" t="s">
        <v>873</v>
      </c>
      <c r="M297" s="3"/>
      <c r="N297" s="2" t="s">
        <v>9</v>
      </c>
      <c r="O297" s="2" t="s">
        <v>6</v>
      </c>
      <c r="P297" s="2" t="s">
        <v>854</v>
      </c>
    </row>
    <row r="298" spans="1:16">
      <c r="A298" s="2" t="s">
        <v>48</v>
      </c>
      <c r="B298" s="2" t="s">
        <v>12</v>
      </c>
      <c r="C298" s="2" t="str">
        <f>N298&amp;" "&amp;F298</f>
        <v>Export values $m</v>
      </c>
      <c r="D298" s="2" t="str">
        <f>P298&amp;" ("&amp;F298&amp;")"</f>
        <v>Values ($m)</v>
      </c>
      <c r="E298" s="2" t="s">
        <v>44</v>
      </c>
      <c r="F298" s="2" t="s">
        <v>816</v>
      </c>
      <c r="G298" s="2" t="s">
        <v>8</v>
      </c>
      <c r="H298" s="2" t="s">
        <v>816</v>
      </c>
      <c r="I298" s="2" t="s">
        <v>921</v>
      </c>
      <c r="J298" s="3" t="s">
        <v>1080</v>
      </c>
      <c r="K298" s="3" t="s">
        <v>892</v>
      </c>
      <c r="L298" s="3" t="s">
        <v>873</v>
      </c>
      <c r="M298" s="3"/>
      <c r="N298" s="2" t="s">
        <v>5</v>
      </c>
      <c r="O298" s="2" t="s">
        <v>11</v>
      </c>
      <c r="P298" s="2" t="s">
        <v>854</v>
      </c>
    </row>
    <row r="299" spans="1:16">
      <c r="A299" s="2" t="s">
        <v>48</v>
      </c>
      <c r="B299" s="2" t="s">
        <v>13</v>
      </c>
      <c r="C299" s="2" t="str">
        <f>N299&amp;" "&amp;F299</f>
        <v>Import values $m</v>
      </c>
      <c r="D299" s="2" t="str">
        <f>P299&amp;" ("&amp;F299&amp;")"</f>
        <v>Values ($m)</v>
      </c>
      <c r="E299" s="2" t="s">
        <v>45</v>
      </c>
      <c r="F299" s="2" t="s">
        <v>816</v>
      </c>
      <c r="G299" s="2" t="s">
        <v>8</v>
      </c>
      <c r="H299" s="2" t="s">
        <v>816</v>
      </c>
      <c r="I299" s="2" t="s">
        <v>921</v>
      </c>
      <c r="J299" s="3" t="s">
        <v>1080</v>
      </c>
      <c r="K299" s="3" t="s">
        <v>892</v>
      </c>
      <c r="L299" s="3" t="s">
        <v>873</v>
      </c>
      <c r="M299" s="3"/>
      <c r="N299" s="2" t="s">
        <v>9</v>
      </c>
      <c r="O299" s="2" t="s">
        <v>11</v>
      </c>
      <c r="P299" s="2" t="s">
        <v>854</v>
      </c>
    </row>
    <row r="300" spans="1:16">
      <c r="A300" s="2" t="s">
        <v>48</v>
      </c>
      <c r="B300" s="2" t="s">
        <v>15</v>
      </c>
      <c r="C300" s="2" t="str">
        <f>N300&amp;" "&amp;F300</f>
        <v>Export values q/q% s.a.</v>
      </c>
      <c r="D300" s="2" t="str">
        <f>P300&amp;" ("&amp;F300&amp;")"</f>
        <v>Values (q/q% s.a.)</v>
      </c>
      <c r="E300" s="2" t="s">
        <v>44</v>
      </c>
      <c r="F300" s="2" t="s">
        <v>817</v>
      </c>
      <c r="G300" s="2" t="s">
        <v>16</v>
      </c>
      <c r="H300" s="2" t="s">
        <v>16</v>
      </c>
      <c r="I300" s="2" t="s">
        <v>908</v>
      </c>
      <c r="J300" s="3" t="s">
        <v>1080</v>
      </c>
      <c r="K300" s="3" t="s">
        <v>892</v>
      </c>
      <c r="L300" s="3" t="s">
        <v>873</v>
      </c>
      <c r="M300" s="3"/>
      <c r="N300" s="2" t="s">
        <v>5</v>
      </c>
      <c r="O300" s="2" t="s">
        <v>14</v>
      </c>
      <c r="P300" s="2" t="s">
        <v>854</v>
      </c>
    </row>
    <row r="301" spans="1:16">
      <c r="A301" s="2" t="s">
        <v>48</v>
      </c>
      <c r="B301" s="2" t="s">
        <v>17</v>
      </c>
      <c r="C301" s="2" t="str">
        <f>N301&amp;" "&amp;F301</f>
        <v>Import values q/q% s.a.</v>
      </c>
      <c r="D301" s="2" t="str">
        <f>P301&amp;" ("&amp;F301&amp;")"</f>
        <v>Values (q/q% s.a.)</v>
      </c>
      <c r="E301" s="2" t="s">
        <v>45</v>
      </c>
      <c r="F301" s="2" t="s">
        <v>817</v>
      </c>
      <c r="G301" s="2" t="s">
        <v>16</v>
      </c>
      <c r="H301" s="2" t="s">
        <v>16</v>
      </c>
      <c r="I301" s="2" t="s">
        <v>908</v>
      </c>
      <c r="J301" s="3" t="s">
        <v>1080</v>
      </c>
      <c r="K301" s="3" t="s">
        <v>892</v>
      </c>
      <c r="L301" s="3" t="s">
        <v>873</v>
      </c>
      <c r="M301" s="3"/>
      <c r="N301" s="2" t="s">
        <v>9</v>
      </c>
      <c r="O301" s="2" t="s">
        <v>14</v>
      </c>
      <c r="P301" s="2" t="s">
        <v>854</v>
      </c>
    </row>
    <row r="302" spans="1:16">
      <c r="A302" s="2" t="s">
        <v>48</v>
      </c>
      <c r="B302" s="2" t="s">
        <v>19</v>
      </c>
      <c r="C302" s="2" t="str">
        <f>N302&amp;" "&amp;F302</f>
        <v>Export values y/y%</v>
      </c>
      <c r="D302" s="2" t="str">
        <f>P302&amp;" ("&amp;F302&amp;")"</f>
        <v>Values (y/y%)</v>
      </c>
      <c r="E302" s="2" t="s">
        <v>44</v>
      </c>
      <c r="F302" s="2" t="s">
        <v>782</v>
      </c>
      <c r="G302" s="2" t="s">
        <v>16</v>
      </c>
      <c r="H302" s="2" t="s">
        <v>16</v>
      </c>
      <c r="I302" s="2" t="s">
        <v>908</v>
      </c>
      <c r="J302" s="3" t="s">
        <v>1080</v>
      </c>
      <c r="K302" s="3" t="s">
        <v>892</v>
      </c>
      <c r="L302" s="3" t="s">
        <v>873</v>
      </c>
      <c r="M302" s="3"/>
      <c r="N302" s="2" t="s">
        <v>5</v>
      </c>
      <c r="O302" s="2" t="s">
        <v>18</v>
      </c>
      <c r="P302" s="2" t="s">
        <v>854</v>
      </c>
    </row>
    <row r="303" spans="1:16">
      <c r="A303" s="2" t="s">
        <v>48</v>
      </c>
      <c r="B303" s="2" t="s">
        <v>20</v>
      </c>
      <c r="C303" s="2" t="str">
        <f>N303&amp;" "&amp;F303</f>
        <v>Import values y/y%</v>
      </c>
      <c r="D303" s="2" t="str">
        <f>P303&amp;" ("&amp;F303&amp;")"</f>
        <v>Values (y/y%)</v>
      </c>
      <c r="E303" s="2" t="s">
        <v>45</v>
      </c>
      <c r="F303" s="2" t="s">
        <v>782</v>
      </c>
      <c r="G303" s="2" t="s">
        <v>16</v>
      </c>
      <c r="H303" s="2" t="s">
        <v>16</v>
      </c>
      <c r="I303" s="2" t="s">
        <v>908</v>
      </c>
      <c r="J303" s="3" t="s">
        <v>1080</v>
      </c>
      <c r="K303" s="3" t="s">
        <v>892</v>
      </c>
      <c r="L303" s="3" t="s">
        <v>873</v>
      </c>
      <c r="M303" s="3"/>
      <c r="N303" s="2" t="s">
        <v>9</v>
      </c>
      <c r="O303" s="2" t="s">
        <v>18</v>
      </c>
      <c r="P303" s="2" t="s">
        <v>854</v>
      </c>
    </row>
    <row r="304" spans="1:16">
      <c r="A304" s="2" t="s">
        <v>48</v>
      </c>
      <c r="B304" s="2" t="s">
        <v>23</v>
      </c>
      <c r="C304" s="2" t="str">
        <f>N304&amp;" "&amp;F304</f>
        <v>Export prices Index</v>
      </c>
      <c r="D304" s="2" t="str">
        <f>P304&amp;" ("&amp;F304&amp;")"</f>
        <v>Prices (Index)</v>
      </c>
      <c r="E304" s="2" t="s">
        <v>44</v>
      </c>
      <c r="F304" s="2" t="s">
        <v>58</v>
      </c>
      <c r="H304" s="2" t="s">
        <v>58</v>
      </c>
      <c r="I304" s="2" t="s">
        <v>921</v>
      </c>
      <c r="J304" s="3" t="s">
        <v>1080</v>
      </c>
      <c r="K304" s="3" t="s">
        <v>892</v>
      </c>
      <c r="L304" s="3" t="s">
        <v>873</v>
      </c>
      <c r="M304" s="3"/>
      <c r="N304" s="2" t="s">
        <v>21</v>
      </c>
      <c r="O304" s="2" t="s">
        <v>22</v>
      </c>
      <c r="P304" s="2" t="s">
        <v>855</v>
      </c>
    </row>
    <row r="305" spans="1:16">
      <c r="A305" s="2" t="s">
        <v>48</v>
      </c>
      <c r="B305" s="2" t="s">
        <v>25</v>
      </c>
      <c r="C305" s="2" t="str">
        <f>N305&amp;" "&amp;F305</f>
        <v>Import prices Index</v>
      </c>
      <c r="D305" s="2" t="str">
        <f>P305&amp;" ("&amp;F305&amp;")"</f>
        <v>Prices (Index)</v>
      </c>
      <c r="E305" s="2" t="s">
        <v>45</v>
      </c>
      <c r="F305" s="2" t="s">
        <v>58</v>
      </c>
      <c r="H305" s="2" t="s">
        <v>58</v>
      </c>
      <c r="I305" s="2" t="s">
        <v>921</v>
      </c>
      <c r="J305" s="3" t="s">
        <v>1080</v>
      </c>
      <c r="K305" s="3" t="s">
        <v>892</v>
      </c>
      <c r="L305" s="3" t="s">
        <v>873</v>
      </c>
      <c r="M305" s="3"/>
      <c r="N305" s="2" t="s">
        <v>24</v>
      </c>
      <c r="O305" s="2" t="s">
        <v>22</v>
      </c>
      <c r="P305" s="2" t="s">
        <v>855</v>
      </c>
    </row>
    <row r="306" spans="1:16">
      <c r="A306" s="2" t="s">
        <v>48</v>
      </c>
      <c r="B306" s="2" t="s">
        <v>27</v>
      </c>
      <c r="C306" s="2" t="str">
        <f>N306&amp;" "&amp;F306</f>
        <v>Export prices q/q%</v>
      </c>
      <c r="D306" s="2" t="str">
        <f>P306&amp;" ("&amp;F306&amp;")"</f>
        <v>Prices (q/q%)</v>
      </c>
      <c r="E306" s="2" t="s">
        <v>44</v>
      </c>
      <c r="F306" s="2" t="s">
        <v>781</v>
      </c>
      <c r="G306" s="2" t="s">
        <v>16</v>
      </c>
      <c r="H306" s="2" t="s">
        <v>16</v>
      </c>
      <c r="I306" s="2" t="s">
        <v>908</v>
      </c>
      <c r="J306" s="3" t="s">
        <v>1080</v>
      </c>
      <c r="K306" s="3" t="s">
        <v>892</v>
      </c>
      <c r="L306" s="3" t="s">
        <v>873</v>
      </c>
      <c r="M306" s="3"/>
      <c r="N306" s="2" t="s">
        <v>21</v>
      </c>
      <c r="O306" s="2" t="s">
        <v>26</v>
      </c>
      <c r="P306" s="2" t="s">
        <v>855</v>
      </c>
    </row>
    <row r="307" spans="1:16">
      <c r="A307" s="2" t="s">
        <v>48</v>
      </c>
      <c r="B307" s="2" t="s">
        <v>28</v>
      </c>
      <c r="C307" s="2" t="str">
        <f>N307&amp;" "&amp;F307</f>
        <v>Import prices q/q%</v>
      </c>
      <c r="D307" s="2" t="str">
        <f>P307&amp;" ("&amp;F307&amp;")"</f>
        <v>Prices (q/q%)</v>
      </c>
      <c r="E307" s="2" t="s">
        <v>45</v>
      </c>
      <c r="F307" s="2" t="s">
        <v>781</v>
      </c>
      <c r="G307" s="2" t="s">
        <v>16</v>
      </c>
      <c r="H307" s="2" t="s">
        <v>16</v>
      </c>
      <c r="I307" s="2" t="s">
        <v>908</v>
      </c>
      <c r="J307" s="3" t="s">
        <v>1080</v>
      </c>
      <c r="K307" s="3" t="s">
        <v>892</v>
      </c>
      <c r="L307" s="3" t="s">
        <v>873</v>
      </c>
      <c r="M307" s="3"/>
      <c r="N307" s="2" t="s">
        <v>24</v>
      </c>
      <c r="O307" s="2" t="s">
        <v>26</v>
      </c>
      <c r="P307" s="2" t="s">
        <v>855</v>
      </c>
    </row>
    <row r="308" spans="1:16">
      <c r="A308" s="2" t="s">
        <v>48</v>
      </c>
      <c r="B308" s="2" t="s">
        <v>29</v>
      </c>
      <c r="C308" s="2" t="str">
        <f>N308&amp;" "&amp;F308</f>
        <v>Export prices y/y%</v>
      </c>
      <c r="D308" s="2" t="str">
        <f>P308&amp;" ("&amp;F308&amp;")"</f>
        <v>Prices (y/y%)</v>
      </c>
      <c r="E308" s="2" t="s">
        <v>44</v>
      </c>
      <c r="F308" s="2" t="s">
        <v>782</v>
      </c>
      <c r="G308" s="2" t="s">
        <v>16</v>
      </c>
      <c r="H308" s="2" t="s">
        <v>16</v>
      </c>
      <c r="I308" s="2" t="s">
        <v>908</v>
      </c>
      <c r="J308" s="3" t="s">
        <v>1080</v>
      </c>
      <c r="K308" s="3" t="s">
        <v>892</v>
      </c>
      <c r="L308" s="3" t="s">
        <v>873</v>
      </c>
      <c r="M308" s="3"/>
      <c r="N308" s="2" t="s">
        <v>21</v>
      </c>
      <c r="O308" s="2" t="s">
        <v>18</v>
      </c>
      <c r="P308" s="2" t="s">
        <v>855</v>
      </c>
    </row>
    <row r="309" spans="1:16">
      <c r="A309" s="2" t="s">
        <v>48</v>
      </c>
      <c r="B309" s="2" t="s">
        <v>30</v>
      </c>
      <c r="C309" s="2" t="str">
        <f>N309&amp;" "&amp;F309</f>
        <v>Import prices y/y%</v>
      </c>
      <c r="D309" s="2" t="str">
        <f>P309&amp;" ("&amp;F309&amp;")"</f>
        <v>Prices (y/y%)</v>
      </c>
      <c r="E309" s="2" t="s">
        <v>45</v>
      </c>
      <c r="F309" s="2" t="s">
        <v>782</v>
      </c>
      <c r="G309" s="2" t="s">
        <v>16</v>
      </c>
      <c r="H309" s="2" t="s">
        <v>16</v>
      </c>
      <c r="I309" s="2" t="s">
        <v>908</v>
      </c>
      <c r="J309" s="3" t="s">
        <v>1080</v>
      </c>
      <c r="K309" s="3" t="s">
        <v>892</v>
      </c>
      <c r="L309" s="3" t="s">
        <v>873</v>
      </c>
      <c r="M309" s="3"/>
      <c r="N309" s="2" t="s">
        <v>24</v>
      </c>
      <c r="O309" s="2" t="s">
        <v>18</v>
      </c>
      <c r="P309" s="2" t="s">
        <v>855</v>
      </c>
    </row>
    <row r="310" spans="1:16">
      <c r="A310" s="2" t="s">
        <v>48</v>
      </c>
      <c r="B310" s="2" t="s">
        <v>32</v>
      </c>
      <c r="C310" s="2" t="str">
        <f>N310&amp;" "&amp;F310</f>
        <v>Export volumes Index</v>
      </c>
      <c r="D310" s="2" t="str">
        <f>P310&amp;" ("&amp;F310&amp;")"</f>
        <v>Volumes (Index)</v>
      </c>
      <c r="E310" s="2" t="s">
        <v>44</v>
      </c>
      <c r="F310" s="2" t="s">
        <v>58</v>
      </c>
      <c r="H310" s="2" t="s">
        <v>58</v>
      </c>
      <c r="I310" s="2" t="s">
        <v>921</v>
      </c>
      <c r="J310" s="3" t="s">
        <v>1080</v>
      </c>
      <c r="K310" s="3" t="s">
        <v>892</v>
      </c>
      <c r="L310" s="3" t="s">
        <v>873</v>
      </c>
      <c r="M310" s="3"/>
      <c r="N310" s="2" t="s">
        <v>31</v>
      </c>
      <c r="O310" s="2" t="s">
        <v>22</v>
      </c>
      <c r="P310" s="2" t="s">
        <v>856</v>
      </c>
    </row>
    <row r="311" spans="1:16">
      <c r="A311" s="2" t="s">
        <v>48</v>
      </c>
      <c r="B311" s="2" t="s">
        <v>34</v>
      </c>
      <c r="C311" s="2" t="str">
        <f>N311&amp;" "&amp;F311</f>
        <v>Import volumes Index</v>
      </c>
      <c r="D311" s="2" t="str">
        <f>P311&amp;" ("&amp;F311&amp;")"</f>
        <v>Volumes (Index)</v>
      </c>
      <c r="E311" s="2" t="s">
        <v>45</v>
      </c>
      <c r="F311" s="2" t="s">
        <v>58</v>
      </c>
      <c r="H311" s="2" t="s">
        <v>58</v>
      </c>
      <c r="I311" s="2" t="s">
        <v>921</v>
      </c>
      <c r="J311" s="3" t="s">
        <v>1080</v>
      </c>
      <c r="K311" s="3" t="s">
        <v>892</v>
      </c>
      <c r="L311" s="3" t="s">
        <v>873</v>
      </c>
      <c r="M311" s="3"/>
      <c r="N311" s="2" t="s">
        <v>33</v>
      </c>
      <c r="O311" s="2" t="s">
        <v>22</v>
      </c>
      <c r="P311" s="2" t="s">
        <v>856</v>
      </c>
    </row>
    <row r="312" spans="1:16">
      <c r="A312" s="2" t="s">
        <v>48</v>
      </c>
      <c r="B312" s="2" t="s">
        <v>35</v>
      </c>
      <c r="C312" s="2" t="str">
        <f>N312&amp;" "&amp;F312</f>
        <v>Export volumes q/q% s.a.</v>
      </c>
      <c r="D312" s="2" t="str">
        <f>P312&amp;" ("&amp;F312&amp;")"</f>
        <v>Volumes (q/q% s.a.)</v>
      </c>
      <c r="E312" s="2" t="s">
        <v>44</v>
      </c>
      <c r="F312" s="2" t="s">
        <v>817</v>
      </c>
      <c r="G312" s="2" t="s">
        <v>16</v>
      </c>
      <c r="H312" s="2" t="s">
        <v>16</v>
      </c>
      <c r="I312" s="2" t="s">
        <v>908</v>
      </c>
      <c r="J312" s="3" t="s">
        <v>1080</v>
      </c>
      <c r="K312" s="3" t="s">
        <v>892</v>
      </c>
      <c r="L312" s="3" t="s">
        <v>873</v>
      </c>
      <c r="M312" s="3"/>
      <c r="N312" s="2" t="s">
        <v>31</v>
      </c>
      <c r="O312" s="2" t="s">
        <v>14</v>
      </c>
      <c r="P312" s="2" t="s">
        <v>856</v>
      </c>
    </row>
    <row r="313" spans="1:16">
      <c r="A313" s="2" t="s">
        <v>48</v>
      </c>
      <c r="B313" s="2" t="s">
        <v>36</v>
      </c>
      <c r="C313" s="2" t="str">
        <f>N313&amp;" "&amp;F313</f>
        <v>Import volumes q/q% s.a.</v>
      </c>
      <c r="D313" s="2" t="str">
        <f>P313&amp;" ("&amp;F313&amp;")"</f>
        <v>Volumes (q/q% s.a.)</v>
      </c>
      <c r="E313" s="2" t="s">
        <v>45</v>
      </c>
      <c r="F313" s="2" t="s">
        <v>817</v>
      </c>
      <c r="G313" s="2" t="s">
        <v>16</v>
      </c>
      <c r="H313" s="2" t="s">
        <v>16</v>
      </c>
      <c r="I313" s="2" t="s">
        <v>908</v>
      </c>
      <c r="J313" s="3" t="s">
        <v>1080</v>
      </c>
      <c r="K313" s="3" t="s">
        <v>892</v>
      </c>
      <c r="L313" s="3" t="s">
        <v>873</v>
      </c>
      <c r="M313" s="3"/>
      <c r="N313" s="2" t="s">
        <v>33</v>
      </c>
      <c r="O313" s="2" t="s">
        <v>14</v>
      </c>
      <c r="P313" s="2" t="s">
        <v>856</v>
      </c>
    </row>
    <row r="314" spans="1:16">
      <c r="A314" s="2" t="s">
        <v>48</v>
      </c>
      <c r="B314" s="2" t="s">
        <v>37</v>
      </c>
      <c r="C314" s="2" t="str">
        <f>N314&amp;" "&amp;F314</f>
        <v>Export volumes y/y%</v>
      </c>
      <c r="D314" s="2" t="str">
        <f>P314&amp;" ("&amp;F314&amp;")"</f>
        <v>Volumes (y/y%)</v>
      </c>
      <c r="E314" s="2" t="s">
        <v>44</v>
      </c>
      <c r="F314" s="2" t="s">
        <v>782</v>
      </c>
      <c r="G314" s="2" t="s">
        <v>16</v>
      </c>
      <c r="H314" s="2" t="s">
        <v>16</v>
      </c>
      <c r="I314" s="2" t="s">
        <v>908</v>
      </c>
      <c r="J314" s="3" t="s">
        <v>1080</v>
      </c>
      <c r="K314" s="3" t="s">
        <v>892</v>
      </c>
      <c r="L314" s="3" t="s">
        <v>873</v>
      </c>
      <c r="M314" s="3"/>
      <c r="N314" s="2" t="s">
        <v>31</v>
      </c>
      <c r="O314" s="2" t="s">
        <v>18</v>
      </c>
      <c r="P314" s="2" t="s">
        <v>856</v>
      </c>
    </row>
    <row r="315" spans="1:16">
      <c r="A315" s="2" t="s">
        <v>48</v>
      </c>
      <c r="B315" s="2" t="s">
        <v>38</v>
      </c>
      <c r="C315" s="2" t="str">
        <f>N315&amp;" "&amp;F315</f>
        <v>Import volumes y/y%</v>
      </c>
      <c r="D315" s="2" t="str">
        <f>P315&amp;" ("&amp;F315&amp;")"</f>
        <v>Volumes (y/y%)</v>
      </c>
      <c r="E315" s="2" t="s">
        <v>45</v>
      </c>
      <c r="F315" s="2" t="s">
        <v>782</v>
      </c>
      <c r="G315" s="2" t="s">
        <v>16</v>
      </c>
      <c r="H315" s="2" t="s">
        <v>16</v>
      </c>
      <c r="I315" s="2" t="s">
        <v>908</v>
      </c>
      <c r="J315" s="3" t="s">
        <v>1080</v>
      </c>
      <c r="K315" s="3" t="s">
        <v>892</v>
      </c>
      <c r="L315" s="3" t="s">
        <v>873</v>
      </c>
      <c r="M315" s="3"/>
      <c r="N315" s="2" t="s">
        <v>33</v>
      </c>
      <c r="O315" s="2" t="s">
        <v>18</v>
      </c>
      <c r="P315" s="2" t="s">
        <v>856</v>
      </c>
    </row>
    <row r="316" spans="1:16">
      <c r="A316" s="2" t="s">
        <v>48</v>
      </c>
      <c r="B316" s="2" t="s">
        <v>40</v>
      </c>
      <c r="C316" s="2" t="str">
        <f>N316&amp;" "&amp;F316</f>
        <v>Export volumes Index s.a.</v>
      </c>
      <c r="D316" s="2" t="str">
        <f>P316&amp;" ("&amp;F316&amp;")"</f>
        <v>Volumes (Index s.a.)</v>
      </c>
      <c r="E316" s="2" t="s">
        <v>44</v>
      </c>
      <c r="F316" s="2" t="s">
        <v>857</v>
      </c>
      <c r="H316" s="2" t="s">
        <v>58</v>
      </c>
      <c r="I316" s="2" t="s">
        <v>921</v>
      </c>
      <c r="J316" s="3" t="s">
        <v>1080</v>
      </c>
      <c r="K316" s="3" t="s">
        <v>892</v>
      </c>
      <c r="L316" s="3" t="s">
        <v>873</v>
      </c>
      <c r="M316" s="3"/>
      <c r="N316" s="2" t="s">
        <v>31</v>
      </c>
      <c r="O316" s="2" t="s">
        <v>39</v>
      </c>
      <c r="P316" s="2" t="s">
        <v>856</v>
      </c>
    </row>
    <row r="317" spans="1:16">
      <c r="A317" s="2" t="s">
        <v>48</v>
      </c>
      <c r="B317" s="2" t="s">
        <v>41</v>
      </c>
      <c r="C317" s="2" t="str">
        <f>N317&amp;" "&amp;F317</f>
        <v>Import volumes Index s.a.</v>
      </c>
      <c r="D317" s="2" t="str">
        <f>P317&amp;" ("&amp;F317&amp;")"</f>
        <v>Volumes (Index s.a.)</v>
      </c>
      <c r="E317" s="2" t="s">
        <v>45</v>
      </c>
      <c r="F317" s="2" t="s">
        <v>857</v>
      </c>
      <c r="H317" s="2" t="s">
        <v>58</v>
      </c>
      <c r="I317" s="2" t="s">
        <v>921</v>
      </c>
      <c r="J317" s="3" t="s">
        <v>1080</v>
      </c>
      <c r="K317" s="3" t="s">
        <v>892</v>
      </c>
      <c r="L317" s="3" t="s">
        <v>873</v>
      </c>
      <c r="M317" s="3"/>
      <c r="N317" s="2" t="s">
        <v>33</v>
      </c>
      <c r="O317" s="2" t="s">
        <v>39</v>
      </c>
      <c r="P317" s="2" t="s">
        <v>856</v>
      </c>
    </row>
    <row r="318" spans="1:16" hidden="1">
      <c r="A318" s="8"/>
      <c r="B318" s="8"/>
      <c r="C318" s="8"/>
      <c r="D318" s="8"/>
      <c r="E318" s="8"/>
      <c r="F318" s="8"/>
      <c r="G318" s="8"/>
      <c r="H318" s="8"/>
      <c r="I318" s="8" t="s">
        <v>731</v>
      </c>
      <c r="J318" s="9"/>
      <c r="K318" s="9"/>
      <c r="L318" s="9" t="s">
        <v>873</v>
      </c>
      <c r="M318" s="9"/>
      <c r="N318" s="8" t="s">
        <v>577</v>
      </c>
      <c r="O318" s="8"/>
    </row>
    <row r="319" spans="1:16">
      <c r="A319" s="2" t="s">
        <v>577</v>
      </c>
      <c r="B319" s="2" t="s">
        <v>537</v>
      </c>
      <c r="C319" s="2" t="str">
        <f>E319&amp;" - "&amp;F319</f>
        <v>Labour force participation rate	 - % s.a.</v>
      </c>
      <c r="D319" s="2" t="s">
        <v>1007</v>
      </c>
      <c r="E319" s="2" t="s">
        <v>535</v>
      </c>
      <c r="F319" s="2" t="s">
        <v>348</v>
      </c>
      <c r="G319" s="2" t="s">
        <v>16</v>
      </c>
      <c r="H319" s="2" t="s">
        <v>1025</v>
      </c>
      <c r="I319" s="2" t="s">
        <v>908</v>
      </c>
      <c r="J319" s="3" t="s">
        <v>1080</v>
      </c>
      <c r="K319" s="3" t="s">
        <v>892</v>
      </c>
      <c r="L319" s="3" t="s">
        <v>873</v>
      </c>
      <c r="M319" s="3"/>
      <c r="N319" s="2" t="s">
        <v>535</v>
      </c>
      <c r="O319" s="2" t="s">
        <v>536</v>
      </c>
    </row>
    <row r="320" spans="1:16">
      <c r="A320" s="2" t="s">
        <v>577</v>
      </c>
      <c r="B320" s="2" t="s">
        <v>539</v>
      </c>
      <c r="C320" s="2" t="str">
        <f>E320&amp;" - "&amp;F320</f>
        <v>Unemployment rate	 - % s.a.</v>
      </c>
      <c r="D320" s="2" t="s">
        <v>1008</v>
      </c>
      <c r="E320" s="2" t="s">
        <v>538</v>
      </c>
      <c r="F320" s="2" t="s">
        <v>348</v>
      </c>
      <c r="G320" s="2" t="s">
        <v>16</v>
      </c>
      <c r="H320" s="2" t="s">
        <v>1025</v>
      </c>
      <c r="I320" s="2" t="s">
        <v>908</v>
      </c>
      <c r="J320" s="3" t="s">
        <v>1080</v>
      </c>
      <c r="K320" s="3" t="s">
        <v>892</v>
      </c>
      <c r="L320" s="3" t="s">
        <v>873</v>
      </c>
      <c r="M320" s="3"/>
      <c r="N320" s="2" t="s">
        <v>538</v>
      </c>
      <c r="O320" s="2" t="s">
        <v>536</v>
      </c>
    </row>
    <row r="321" spans="1:15">
      <c r="A321" s="2" t="s">
        <v>577</v>
      </c>
      <c r="B321" s="2" t="s">
        <v>542</v>
      </c>
      <c r="C321" s="2" t="str">
        <f>E321&amp;" - "&amp;F321</f>
        <v>Not in labour force - 000s s.a.</v>
      </c>
      <c r="D321" s="2" t="s">
        <v>540</v>
      </c>
      <c r="E321" s="2" t="s">
        <v>540</v>
      </c>
      <c r="F321" s="2" t="s">
        <v>858</v>
      </c>
      <c r="G321" s="2" t="s">
        <v>543</v>
      </c>
      <c r="H321" s="2" t="s">
        <v>860</v>
      </c>
      <c r="I321" s="2" t="s">
        <v>921</v>
      </c>
      <c r="J321" s="3" t="s">
        <v>1080</v>
      </c>
      <c r="K321" s="3" t="s">
        <v>892</v>
      </c>
      <c r="L321" s="3" t="s">
        <v>873</v>
      </c>
      <c r="M321" s="3"/>
      <c r="N321" s="2" t="s">
        <v>540</v>
      </c>
      <c r="O321" s="2" t="s">
        <v>541</v>
      </c>
    </row>
    <row r="322" spans="1:15">
      <c r="A322" s="2" t="s">
        <v>577</v>
      </c>
      <c r="B322" s="2" t="s">
        <v>545</v>
      </c>
      <c r="C322" s="2" t="str">
        <f>E322&amp;" - "&amp;F322</f>
        <v>Working-age population - 000s s.a.</v>
      </c>
      <c r="D322" s="2" t="s">
        <v>544</v>
      </c>
      <c r="E322" s="2" t="s">
        <v>544</v>
      </c>
      <c r="F322" s="2" t="s">
        <v>858</v>
      </c>
      <c r="G322" s="2" t="s">
        <v>543</v>
      </c>
      <c r="H322" s="2" t="s">
        <v>860</v>
      </c>
      <c r="I322" s="2" t="s">
        <v>921</v>
      </c>
      <c r="J322" s="3" t="s">
        <v>1080</v>
      </c>
      <c r="K322" s="3" t="s">
        <v>892</v>
      </c>
      <c r="L322" s="3" t="s">
        <v>873</v>
      </c>
      <c r="M322" s="3"/>
      <c r="N322" s="2" t="s">
        <v>544</v>
      </c>
      <c r="O322" s="2" t="s">
        <v>541</v>
      </c>
    </row>
    <row r="323" spans="1:15">
      <c r="A323" s="2" t="s">
        <v>577</v>
      </c>
      <c r="B323" s="2" t="s">
        <v>547</v>
      </c>
      <c r="C323" s="2" t="str">
        <f>E323&amp;" - "&amp;F323</f>
        <v>Labour cost index (LCI) - Index</v>
      </c>
      <c r="D323" s="2" t="s">
        <v>1009</v>
      </c>
      <c r="E323" s="2" t="s">
        <v>546</v>
      </c>
      <c r="F323" s="2" t="s">
        <v>58</v>
      </c>
      <c r="G323" s="2" t="s">
        <v>58</v>
      </c>
      <c r="H323" s="2" t="s">
        <v>58</v>
      </c>
      <c r="I323" s="2" t="s">
        <v>921</v>
      </c>
      <c r="J323" s="3" t="s">
        <v>1080</v>
      </c>
      <c r="K323" s="3" t="s">
        <v>892</v>
      </c>
      <c r="L323" s="3" t="s">
        <v>873</v>
      </c>
      <c r="M323" s="3"/>
      <c r="N323" s="2" t="s">
        <v>546</v>
      </c>
      <c r="O323" s="2" t="s">
        <v>22</v>
      </c>
    </row>
    <row r="324" spans="1:15">
      <c r="A324" s="2" t="s">
        <v>577</v>
      </c>
      <c r="B324" s="2" t="s">
        <v>548</v>
      </c>
      <c r="C324" s="2" t="str">
        <f>E324&amp;" - "&amp;F324</f>
        <v>Labour cost index (LCI) - y/y%</v>
      </c>
      <c r="D324" s="2" t="s">
        <v>1010</v>
      </c>
      <c r="E324" s="2" t="s">
        <v>546</v>
      </c>
      <c r="F324" s="2" t="s">
        <v>782</v>
      </c>
      <c r="G324" s="2" t="s">
        <v>16</v>
      </c>
      <c r="H324" s="2" t="s">
        <v>16</v>
      </c>
      <c r="I324" s="2" t="s">
        <v>908</v>
      </c>
      <c r="J324" s="3" t="s">
        <v>1080</v>
      </c>
      <c r="K324" s="3" t="s">
        <v>892</v>
      </c>
      <c r="L324" s="3" t="s">
        <v>873</v>
      </c>
      <c r="M324" s="3"/>
      <c r="N324" s="2" t="s">
        <v>546</v>
      </c>
      <c r="O324" s="2" t="s">
        <v>18</v>
      </c>
    </row>
    <row r="325" spans="1:15">
      <c r="A325" s="2" t="s">
        <v>577</v>
      </c>
      <c r="B325" s="2" t="s">
        <v>549</v>
      </c>
      <c r="C325" s="2" t="str">
        <f>E325&amp;" - "&amp;F325</f>
        <v>Not in labour force - y/y%</v>
      </c>
      <c r="D325" s="2" t="s">
        <v>1011</v>
      </c>
      <c r="E325" s="2" t="s">
        <v>540</v>
      </c>
      <c r="F325" s="2" t="s">
        <v>782</v>
      </c>
      <c r="G325" s="2" t="s">
        <v>16</v>
      </c>
      <c r="H325" s="2" t="s">
        <v>1024</v>
      </c>
      <c r="I325" s="2" t="s">
        <v>908</v>
      </c>
      <c r="J325" s="3" t="s">
        <v>1080</v>
      </c>
      <c r="K325" s="3" t="s">
        <v>892</v>
      </c>
      <c r="L325" s="3" t="s">
        <v>873</v>
      </c>
      <c r="M325" s="3"/>
      <c r="N325" s="2" t="s">
        <v>540</v>
      </c>
      <c r="O325" s="2" t="s">
        <v>18</v>
      </c>
    </row>
    <row r="326" spans="1:15">
      <c r="A326" s="2" t="s">
        <v>577</v>
      </c>
      <c r="B326" s="2" t="s">
        <v>550</v>
      </c>
      <c r="C326" s="2" t="str">
        <f>E326&amp;" - "&amp;F326</f>
        <v>Working-age population - y/y%</v>
      </c>
      <c r="D326" s="2" t="s">
        <v>1012</v>
      </c>
      <c r="E326" s="2" t="s">
        <v>544</v>
      </c>
      <c r="F326" s="2" t="s">
        <v>782</v>
      </c>
      <c r="G326" s="2" t="s">
        <v>16</v>
      </c>
      <c r="H326" s="2" t="s">
        <v>1025</v>
      </c>
      <c r="I326" s="2" t="s">
        <v>908</v>
      </c>
      <c r="J326" s="3" t="s">
        <v>1080</v>
      </c>
      <c r="K326" s="3" t="s">
        <v>892</v>
      </c>
      <c r="L326" s="3" t="s">
        <v>873</v>
      </c>
      <c r="M326" s="3"/>
      <c r="N326" s="2" t="s">
        <v>544</v>
      </c>
      <c r="O326" s="2" t="s">
        <v>18</v>
      </c>
    </row>
    <row r="327" spans="1:15">
      <c r="A327" s="2" t="s">
        <v>577</v>
      </c>
      <c r="B327" s="2" t="s">
        <v>553</v>
      </c>
      <c r="C327" s="2" t="str">
        <f>E327&amp;" - "&amp;F327</f>
        <v>Labour force - Employed (y/y%)</v>
      </c>
      <c r="D327" s="2" t="s">
        <v>552</v>
      </c>
      <c r="E327" s="2" t="s">
        <v>551</v>
      </c>
      <c r="F327" s="2" t="s">
        <v>552</v>
      </c>
      <c r="G327" s="2" t="s">
        <v>16</v>
      </c>
      <c r="H327" s="2" t="s">
        <v>1025</v>
      </c>
      <c r="I327" s="2" t="s">
        <v>908</v>
      </c>
      <c r="J327" s="3" t="s">
        <v>1080</v>
      </c>
      <c r="K327" s="3" t="s">
        <v>892</v>
      </c>
      <c r="L327" s="3" t="s">
        <v>873</v>
      </c>
      <c r="M327" s="3"/>
      <c r="N327" s="2" t="s">
        <v>551</v>
      </c>
      <c r="O327" s="2" t="s">
        <v>552</v>
      </c>
    </row>
    <row r="328" spans="1:15">
      <c r="A328" s="2" t="s">
        <v>577</v>
      </c>
      <c r="B328" s="2" t="s">
        <v>555</v>
      </c>
      <c r="C328" s="2" t="str">
        <f>E328&amp;" - "&amp;F328</f>
        <v>Labour force - Unemployed (y/y%)</v>
      </c>
      <c r="D328" s="2" t="s">
        <v>554</v>
      </c>
      <c r="E328" s="2" t="s">
        <v>551</v>
      </c>
      <c r="F328" s="2" t="s">
        <v>554</v>
      </c>
      <c r="G328" s="2" t="s">
        <v>16</v>
      </c>
      <c r="H328" s="2" t="s">
        <v>1025</v>
      </c>
      <c r="I328" s="2" t="s">
        <v>908</v>
      </c>
      <c r="J328" s="3" t="s">
        <v>1080</v>
      </c>
      <c r="K328" s="3" t="s">
        <v>892</v>
      </c>
      <c r="L328" s="3" t="s">
        <v>873</v>
      </c>
      <c r="M328" s="3"/>
      <c r="N328" s="2" t="s">
        <v>551</v>
      </c>
      <c r="O328" s="2" t="s">
        <v>554</v>
      </c>
    </row>
    <row r="329" spans="1:15">
      <c r="A329" s="2" t="s">
        <v>577</v>
      </c>
      <c r="B329" s="2" t="s">
        <v>557</v>
      </c>
      <c r="C329" s="2" t="str">
        <f>E329&amp;" - "&amp;F329</f>
        <v>Labour force - Total (y/y%)</v>
      </c>
      <c r="D329" s="2" t="s">
        <v>556</v>
      </c>
      <c r="E329" s="2" t="s">
        <v>551</v>
      </c>
      <c r="F329" s="2" t="s">
        <v>556</v>
      </c>
      <c r="G329" s="2" t="s">
        <v>16</v>
      </c>
      <c r="H329" s="2" t="s">
        <v>1025</v>
      </c>
      <c r="I329" s="2" t="s">
        <v>908</v>
      </c>
      <c r="J329" s="3" t="s">
        <v>1080</v>
      </c>
      <c r="K329" s="3" t="s">
        <v>892</v>
      </c>
      <c r="L329" s="3" t="s">
        <v>873</v>
      </c>
      <c r="M329" s="3"/>
      <c r="N329" s="2" t="s">
        <v>551</v>
      </c>
      <c r="O329" s="2" t="s">
        <v>556</v>
      </c>
    </row>
    <row r="330" spans="1:15">
      <c r="A330" s="2" t="s">
        <v>577</v>
      </c>
      <c r="B330" s="2" t="s">
        <v>559</v>
      </c>
      <c r="C330" s="2" t="str">
        <f>E330&amp;" - "&amp;F330</f>
        <v>Labour force - Employed (000s s.a.)</v>
      </c>
      <c r="D330" s="2" t="s">
        <v>558</v>
      </c>
      <c r="E330" s="2" t="s">
        <v>551</v>
      </c>
      <c r="F330" s="2" t="s">
        <v>558</v>
      </c>
      <c r="G330" s="2" t="s">
        <v>543</v>
      </c>
      <c r="H330" s="2" t="s">
        <v>860</v>
      </c>
      <c r="I330" s="2" t="s">
        <v>921</v>
      </c>
      <c r="J330" s="3" t="s">
        <v>1080</v>
      </c>
      <c r="K330" s="3" t="s">
        <v>892</v>
      </c>
      <c r="L330" s="3" t="s">
        <v>873</v>
      </c>
      <c r="M330" s="3"/>
      <c r="N330" s="2" t="s">
        <v>551</v>
      </c>
      <c r="O330" s="2" t="s">
        <v>558</v>
      </c>
    </row>
    <row r="331" spans="1:15">
      <c r="A331" s="2" t="s">
        <v>577</v>
      </c>
      <c r="B331" s="2" t="s">
        <v>561</v>
      </c>
      <c r="C331" s="2" t="str">
        <f>E331&amp;" - "&amp;F331</f>
        <v>Labour force - Unemployed (000s s.a.)</v>
      </c>
      <c r="D331" s="2" t="s">
        <v>560</v>
      </c>
      <c r="E331" s="2" t="s">
        <v>551</v>
      </c>
      <c r="F331" s="2" t="s">
        <v>560</v>
      </c>
      <c r="G331" s="2" t="s">
        <v>543</v>
      </c>
      <c r="H331" s="2" t="s">
        <v>860</v>
      </c>
      <c r="I331" s="2" t="s">
        <v>921</v>
      </c>
      <c r="J331" s="3" t="s">
        <v>1080</v>
      </c>
      <c r="K331" s="3" t="s">
        <v>892</v>
      </c>
      <c r="L331" s="3" t="s">
        <v>873</v>
      </c>
      <c r="M331" s="3"/>
      <c r="N331" s="2" t="s">
        <v>551</v>
      </c>
      <c r="O331" s="2" t="s">
        <v>560</v>
      </c>
    </row>
    <row r="332" spans="1:15">
      <c r="A332" s="2" t="s">
        <v>577</v>
      </c>
      <c r="B332" s="2" t="s">
        <v>563</v>
      </c>
      <c r="C332" s="2" t="str">
        <f>E332&amp;" - "&amp;F332</f>
        <v>Labour force - Total (000s s.a.)</v>
      </c>
      <c r="D332" s="2" t="s">
        <v>1022</v>
      </c>
      <c r="E332" s="2" t="s">
        <v>551</v>
      </c>
      <c r="F332" s="2" t="s">
        <v>562</v>
      </c>
      <c r="G332" s="2" t="s">
        <v>543</v>
      </c>
      <c r="H332" s="2" t="s">
        <v>860</v>
      </c>
      <c r="I332" s="2" t="s">
        <v>921</v>
      </c>
      <c r="J332" s="3" t="s">
        <v>1080</v>
      </c>
      <c r="K332" s="3" t="s">
        <v>892</v>
      </c>
      <c r="L332" s="3" t="s">
        <v>873</v>
      </c>
      <c r="M332" s="3"/>
      <c r="N332" s="2" t="s">
        <v>551</v>
      </c>
      <c r="O332" s="2" t="s">
        <v>562</v>
      </c>
    </row>
    <row r="333" spans="1:15">
      <c r="A333" s="2" t="s">
        <v>577</v>
      </c>
      <c r="B333" s="2" t="s">
        <v>566</v>
      </c>
      <c r="C333" s="2" t="str">
        <f>E333&amp;" - "&amp;F333</f>
        <v>Private sector wages - $</v>
      </c>
      <c r="D333" s="2" t="s">
        <v>1013</v>
      </c>
      <c r="E333" s="2" t="s">
        <v>564</v>
      </c>
      <c r="F333" s="2" t="s">
        <v>859</v>
      </c>
      <c r="H333" s="2" t="s">
        <v>859</v>
      </c>
      <c r="I333" s="2" t="s">
        <v>921</v>
      </c>
      <c r="J333" s="3" t="s">
        <v>1080</v>
      </c>
      <c r="K333" s="3" t="s">
        <v>892</v>
      </c>
      <c r="L333" s="3" t="s">
        <v>873</v>
      </c>
      <c r="M333" s="3"/>
      <c r="N333" s="2" t="s">
        <v>564</v>
      </c>
      <c r="O333" s="2" t="s">
        <v>565</v>
      </c>
    </row>
    <row r="334" spans="1:15">
      <c r="A334" s="2" t="s">
        <v>577</v>
      </c>
      <c r="B334" s="2" t="s">
        <v>567</v>
      </c>
      <c r="C334" s="2" t="str">
        <f>E334&amp;" - "&amp;F334</f>
        <v>Private sector wages - q/q%</v>
      </c>
      <c r="D334" s="2" t="s">
        <v>1014</v>
      </c>
      <c r="E334" s="2" t="s">
        <v>564</v>
      </c>
      <c r="F334" s="2" t="s">
        <v>781</v>
      </c>
      <c r="G334" s="2" t="s">
        <v>16</v>
      </c>
      <c r="H334" s="2" t="s">
        <v>16</v>
      </c>
      <c r="I334" s="2" t="s">
        <v>908</v>
      </c>
      <c r="J334" s="3" t="s">
        <v>1080</v>
      </c>
      <c r="K334" s="3" t="s">
        <v>892</v>
      </c>
      <c r="L334" s="3" t="s">
        <v>873</v>
      </c>
      <c r="M334" s="3"/>
      <c r="N334" s="2" t="s">
        <v>564</v>
      </c>
      <c r="O334" s="2" t="s">
        <v>26</v>
      </c>
    </row>
    <row r="335" spans="1:15">
      <c r="A335" s="2" t="s">
        <v>577</v>
      </c>
      <c r="B335" s="2" t="s">
        <v>568</v>
      </c>
      <c r="C335" s="2" t="str">
        <f>E335&amp;" - "&amp;F335</f>
        <v>Private sector wages - y/y%</v>
      </c>
      <c r="D335" s="2" t="s">
        <v>1015</v>
      </c>
      <c r="E335" s="2" t="s">
        <v>564</v>
      </c>
      <c r="F335" s="2" t="s">
        <v>782</v>
      </c>
      <c r="G335" s="2" t="s">
        <v>16</v>
      </c>
      <c r="H335" s="2" t="s">
        <v>16</v>
      </c>
      <c r="I335" s="2" t="s">
        <v>908</v>
      </c>
      <c r="J335" s="3" t="s">
        <v>1080</v>
      </c>
      <c r="K335" s="3" t="s">
        <v>892</v>
      </c>
      <c r="L335" s="3" t="s">
        <v>873</v>
      </c>
      <c r="M335" s="3"/>
      <c r="N335" s="2" t="s">
        <v>564</v>
      </c>
      <c r="O335" s="2" t="s">
        <v>18</v>
      </c>
    </row>
    <row r="336" spans="1:15">
      <c r="A336" s="2" t="s">
        <v>577</v>
      </c>
      <c r="B336" s="2" t="s">
        <v>570</v>
      </c>
      <c r="C336" s="2" t="str">
        <f>E336&amp;" - "&amp;F336</f>
        <v>Public sector wages - $</v>
      </c>
      <c r="D336" s="2" t="s">
        <v>1016</v>
      </c>
      <c r="E336" s="2" t="s">
        <v>569</v>
      </c>
      <c r="F336" s="2" t="s">
        <v>859</v>
      </c>
      <c r="H336" s="2" t="s">
        <v>859</v>
      </c>
      <c r="I336" s="2" t="s">
        <v>921</v>
      </c>
      <c r="J336" s="3" t="s">
        <v>1080</v>
      </c>
      <c r="K336" s="3" t="s">
        <v>892</v>
      </c>
      <c r="L336" s="3" t="s">
        <v>873</v>
      </c>
      <c r="M336" s="3"/>
      <c r="N336" s="2" t="s">
        <v>569</v>
      </c>
      <c r="O336" s="2" t="s">
        <v>565</v>
      </c>
    </row>
    <row r="337" spans="1:15">
      <c r="A337" s="2" t="s">
        <v>577</v>
      </c>
      <c r="B337" s="2" t="s">
        <v>571</v>
      </c>
      <c r="C337" s="2" t="str">
        <f>E337&amp;" - "&amp;F337</f>
        <v>Public sector wages - q/q%</v>
      </c>
      <c r="D337" s="2" t="s">
        <v>1017</v>
      </c>
      <c r="E337" s="2" t="s">
        <v>569</v>
      </c>
      <c r="F337" s="2" t="s">
        <v>781</v>
      </c>
      <c r="G337" s="2" t="s">
        <v>16</v>
      </c>
      <c r="H337" s="2" t="s">
        <v>16</v>
      </c>
      <c r="I337" s="2" t="s">
        <v>908</v>
      </c>
      <c r="J337" s="3" t="s">
        <v>1080</v>
      </c>
      <c r="K337" s="3" t="s">
        <v>892</v>
      </c>
      <c r="L337" s="3" t="s">
        <v>873</v>
      </c>
      <c r="M337" s="3"/>
      <c r="N337" s="2" t="s">
        <v>569</v>
      </c>
      <c r="O337" s="2" t="s">
        <v>26</v>
      </c>
    </row>
    <row r="338" spans="1:15">
      <c r="A338" s="2" t="s">
        <v>577</v>
      </c>
      <c r="B338" s="2" t="s">
        <v>572</v>
      </c>
      <c r="C338" s="2" t="str">
        <f>E338&amp;" - "&amp;F338</f>
        <v>Public sector wages - y/y%</v>
      </c>
      <c r="D338" s="2" t="s">
        <v>1018</v>
      </c>
      <c r="E338" s="2" t="s">
        <v>569</v>
      </c>
      <c r="F338" s="2" t="s">
        <v>782</v>
      </c>
      <c r="G338" s="2" t="s">
        <v>16</v>
      </c>
      <c r="H338" s="2" t="s">
        <v>16</v>
      </c>
      <c r="I338" s="2" t="s">
        <v>908</v>
      </c>
      <c r="J338" s="3" t="s">
        <v>1080</v>
      </c>
      <c r="K338" s="3" t="s">
        <v>892</v>
      </c>
      <c r="L338" s="3" t="s">
        <v>873</v>
      </c>
      <c r="M338" s="3"/>
      <c r="N338" s="2" t="s">
        <v>569</v>
      </c>
      <c r="O338" s="2" t="s">
        <v>18</v>
      </c>
    </row>
    <row r="339" spans="1:15">
      <c r="A339" s="2" t="s">
        <v>577</v>
      </c>
      <c r="B339" s="2" t="s">
        <v>574</v>
      </c>
      <c r="C339" s="2" t="str">
        <f>E339&amp;" - "&amp;F339</f>
        <v>Average hourly earnings (ordinary time and overtime)	 - $</v>
      </c>
      <c r="D339" s="2" t="s">
        <v>1019</v>
      </c>
      <c r="E339" s="2" t="s">
        <v>573</v>
      </c>
      <c r="F339" s="2" t="s">
        <v>859</v>
      </c>
      <c r="H339" s="2" t="s">
        <v>859</v>
      </c>
      <c r="I339" s="2" t="s">
        <v>921</v>
      </c>
      <c r="J339" s="3" t="s">
        <v>1080</v>
      </c>
      <c r="K339" s="3" t="s">
        <v>892</v>
      </c>
      <c r="L339" s="3" t="s">
        <v>873</v>
      </c>
      <c r="M339" s="3"/>
      <c r="N339" s="2" t="s">
        <v>573</v>
      </c>
      <c r="O339" s="2" t="s">
        <v>565</v>
      </c>
    </row>
    <row r="340" spans="1:15">
      <c r="A340" s="2" t="s">
        <v>577</v>
      </c>
      <c r="B340" s="2" t="s">
        <v>575</v>
      </c>
      <c r="C340" s="2" t="str">
        <f>E340&amp;" - "&amp;F340</f>
        <v>Average hourly earnings (ordinary time and overtime)	 - q/q%</v>
      </c>
      <c r="D340" s="2" t="s">
        <v>1020</v>
      </c>
      <c r="E340" s="2" t="s">
        <v>573</v>
      </c>
      <c r="F340" s="2" t="s">
        <v>781</v>
      </c>
      <c r="G340" s="2" t="s">
        <v>16</v>
      </c>
      <c r="H340" s="2" t="s">
        <v>16</v>
      </c>
      <c r="I340" s="2" t="s">
        <v>908</v>
      </c>
      <c r="J340" s="3" t="s">
        <v>1080</v>
      </c>
      <c r="K340" s="3" t="s">
        <v>892</v>
      </c>
      <c r="L340" s="3" t="s">
        <v>873</v>
      </c>
      <c r="M340" s="3"/>
      <c r="N340" s="2" t="s">
        <v>573</v>
      </c>
      <c r="O340" s="2" t="s">
        <v>26</v>
      </c>
    </row>
    <row r="341" spans="1:15">
      <c r="A341" s="2" t="s">
        <v>577</v>
      </c>
      <c r="B341" s="2" t="s">
        <v>576</v>
      </c>
      <c r="C341" s="2" t="str">
        <f>E341&amp;" - "&amp;F341</f>
        <v>Average hourly earnings (ordinary time and overtime)	 - y/y%</v>
      </c>
      <c r="D341" s="2" t="s">
        <v>1021</v>
      </c>
      <c r="E341" s="2" t="s">
        <v>573</v>
      </c>
      <c r="F341" s="2" t="s">
        <v>782</v>
      </c>
      <c r="G341" s="2" t="s">
        <v>16</v>
      </c>
      <c r="H341" s="2" t="s">
        <v>16</v>
      </c>
      <c r="I341" s="2" t="s">
        <v>908</v>
      </c>
      <c r="J341" s="3" t="s">
        <v>1080</v>
      </c>
      <c r="K341" s="3" t="s">
        <v>892</v>
      </c>
      <c r="L341" s="3" t="s">
        <v>873</v>
      </c>
      <c r="M341" s="3"/>
      <c r="N341" s="2" t="s">
        <v>573</v>
      </c>
      <c r="O341" s="2" t="s">
        <v>18</v>
      </c>
    </row>
    <row r="342" spans="1:15" hidden="1">
      <c r="A342" s="8"/>
      <c r="B342" s="8"/>
      <c r="C342" s="8"/>
      <c r="D342" s="8"/>
      <c r="E342" s="8"/>
      <c r="F342" s="8"/>
      <c r="G342" s="8"/>
      <c r="H342" s="8"/>
      <c r="I342" s="8" t="s">
        <v>731</v>
      </c>
      <c r="J342" s="9"/>
      <c r="K342" s="9"/>
      <c r="L342" s="9" t="s">
        <v>873</v>
      </c>
      <c r="M342" s="9"/>
      <c r="N342" s="8" t="s">
        <v>586</v>
      </c>
      <c r="O342" s="8"/>
    </row>
    <row r="343" spans="1:15">
      <c r="A343" s="2" t="s">
        <v>586</v>
      </c>
      <c r="B343" s="2" t="s">
        <v>580</v>
      </c>
      <c r="C343" s="2" t="s">
        <v>578</v>
      </c>
      <c r="E343" s="2" t="s">
        <v>578</v>
      </c>
      <c r="G343" s="2" t="s">
        <v>581</v>
      </c>
      <c r="H343" s="2" t="s">
        <v>581</v>
      </c>
      <c r="I343" s="2" t="s">
        <v>921</v>
      </c>
      <c r="J343" s="3" t="s">
        <v>1080</v>
      </c>
      <c r="K343" s="3" t="s">
        <v>909</v>
      </c>
      <c r="L343" s="3" t="s">
        <v>873</v>
      </c>
      <c r="M343" s="3"/>
      <c r="N343" s="2" t="s">
        <v>578</v>
      </c>
      <c r="O343" s="2" t="s">
        <v>579</v>
      </c>
    </row>
    <row r="344" spans="1:15">
      <c r="A344" s="2" t="s">
        <v>586</v>
      </c>
      <c r="B344" s="2" t="s">
        <v>326</v>
      </c>
      <c r="C344" s="2" t="s">
        <v>582</v>
      </c>
      <c r="E344" s="2" t="s">
        <v>582</v>
      </c>
      <c r="G344" s="2" t="s">
        <v>58</v>
      </c>
      <c r="H344" s="2" t="s">
        <v>58</v>
      </c>
      <c r="I344" s="2" t="s">
        <v>921</v>
      </c>
      <c r="J344" s="3" t="s">
        <v>1080</v>
      </c>
      <c r="K344" s="3" t="s">
        <v>909</v>
      </c>
      <c r="L344" s="3" t="s">
        <v>873</v>
      </c>
      <c r="M344" s="3"/>
      <c r="N344" s="2" t="s">
        <v>582</v>
      </c>
      <c r="O344" s="2" t="s">
        <v>22</v>
      </c>
    </row>
    <row r="345" spans="1:15">
      <c r="A345" s="2" t="s">
        <v>586</v>
      </c>
      <c r="B345" s="2" t="s">
        <v>584</v>
      </c>
      <c r="C345" s="2" t="s">
        <v>583</v>
      </c>
      <c r="E345" s="2" t="s">
        <v>583</v>
      </c>
      <c r="G345" s="2" t="s">
        <v>217</v>
      </c>
      <c r="H345" s="2" t="s">
        <v>217</v>
      </c>
      <c r="I345" s="2" t="s">
        <v>921</v>
      </c>
      <c r="J345" s="3" t="s">
        <v>1080</v>
      </c>
      <c r="K345" s="3" t="s">
        <v>909</v>
      </c>
      <c r="L345" s="3" t="s">
        <v>873</v>
      </c>
      <c r="M345" s="3"/>
      <c r="N345" s="2" t="s">
        <v>583</v>
      </c>
      <c r="O345" s="2" t="s">
        <v>11</v>
      </c>
    </row>
    <row r="346" spans="1:15">
      <c r="A346" s="2" t="s">
        <v>586</v>
      </c>
      <c r="B346" s="2" t="s">
        <v>380</v>
      </c>
      <c r="C346" s="2" t="s">
        <v>585</v>
      </c>
      <c r="E346" s="2" t="s">
        <v>585</v>
      </c>
      <c r="G346" s="2" t="s">
        <v>352</v>
      </c>
      <c r="H346" s="2" t="s">
        <v>868</v>
      </c>
      <c r="I346" s="2" t="s">
        <v>921</v>
      </c>
      <c r="J346" s="3" t="s">
        <v>1080</v>
      </c>
      <c r="K346" s="3" t="s">
        <v>909</v>
      </c>
      <c r="L346" s="3" t="s">
        <v>873</v>
      </c>
      <c r="M346" s="3"/>
      <c r="N346" s="2" t="s">
        <v>585</v>
      </c>
      <c r="O346" s="2" t="s">
        <v>360</v>
      </c>
    </row>
    <row r="347" spans="1:15" hidden="1">
      <c r="A347" s="8"/>
      <c r="B347" s="8"/>
      <c r="C347" s="8"/>
      <c r="D347" s="8"/>
      <c r="E347" s="8"/>
      <c r="F347" s="8"/>
      <c r="G347" s="8"/>
      <c r="H347" s="8"/>
      <c r="I347" s="8" t="s">
        <v>731</v>
      </c>
      <c r="J347" s="9"/>
      <c r="K347" s="9"/>
      <c r="L347" s="9" t="s">
        <v>873</v>
      </c>
      <c r="M347" s="9"/>
      <c r="N347" s="8" t="s">
        <v>646</v>
      </c>
      <c r="O347" s="8"/>
    </row>
    <row r="348" spans="1:15">
      <c r="A348" s="2" t="s">
        <v>646</v>
      </c>
      <c r="B348" s="6" t="s">
        <v>589</v>
      </c>
      <c r="C348" s="2" t="s">
        <v>1029</v>
      </c>
      <c r="D348" s="2" t="s">
        <v>1029</v>
      </c>
      <c r="E348" s="5" t="s">
        <v>587</v>
      </c>
      <c r="G348" s="5" t="s">
        <v>16</v>
      </c>
      <c r="H348" s="2" t="s">
        <v>1025</v>
      </c>
      <c r="I348" s="2" t="s">
        <v>731</v>
      </c>
      <c r="J348" s="3" t="s">
        <v>1080</v>
      </c>
      <c r="K348" s="3" t="s">
        <v>909</v>
      </c>
      <c r="L348" s="3" t="s">
        <v>873</v>
      </c>
      <c r="M348" s="3"/>
      <c r="N348" s="5" t="s">
        <v>587</v>
      </c>
      <c r="O348" s="5" t="s">
        <v>588</v>
      </c>
    </row>
    <row r="349" spans="1:15">
      <c r="A349" s="2" t="s">
        <v>646</v>
      </c>
      <c r="B349" s="6" t="s">
        <v>591</v>
      </c>
      <c r="C349" s="2" t="s">
        <v>1030</v>
      </c>
      <c r="D349" s="2" t="s">
        <v>1030</v>
      </c>
      <c r="E349" s="5" t="s">
        <v>587</v>
      </c>
      <c r="G349" s="5" t="s">
        <v>16</v>
      </c>
      <c r="H349" s="2" t="s">
        <v>1025</v>
      </c>
      <c r="I349" s="2" t="s">
        <v>731</v>
      </c>
      <c r="J349" s="3" t="s">
        <v>1080</v>
      </c>
      <c r="K349" s="3" t="s">
        <v>909</v>
      </c>
      <c r="L349" s="3" t="s">
        <v>873</v>
      </c>
      <c r="M349" s="3"/>
      <c r="N349" s="5" t="s">
        <v>587</v>
      </c>
      <c r="O349" s="5" t="s">
        <v>590</v>
      </c>
    </row>
    <row r="350" spans="1:15">
      <c r="A350" s="2" t="s">
        <v>646</v>
      </c>
      <c r="B350" s="6" t="s">
        <v>593</v>
      </c>
      <c r="C350" s="2" t="s">
        <v>1028</v>
      </c>
      <c r="D350" s="2" t="s">
        <v>1028</v>
      </c>
      <c r="E350" s="5" t="s">
        <v>587</v>
      </c>
      <c r="G350" s="5" t="s">
        <v>16</v>
      </c>
      <c r="H350" s="2" t="s">
        <v>1025</v>
      </c>
      <c r="I350" s="2" t="s">
        <v>731</v>
      </c>
      <c r="J350" s="3" t="s">
        <v>1080</v>
      </c>
      <c r="K350" s="3" t="s">
        <v>909</v>
      </c>
      <c r="L350" s="3" t="s">
        <v>873</v>
      </c>
      <c r="M350" s="3"/>
      <c r="N350" s="5" t="s">
        <v>587</v>
      </c>
      <c r="O350" s="5" t="s">
        <v>592</v>
      </c>
    </row>
    <row r="351" spans="1:15">
      <c r="A351" s="2" t="s">
        <v>646</v>
      </c>
      <c r="B351" s="6" t="s">
        <v>596</v>
      </c>
      <c r="C351" s="2" t="s">
        <v>1027</v>
      </c>
      <c r="D351" s="2" t="s">
        <v>1027</v>
      </c>
      <c r="E351" s="5" t="s">
        <v>594</v>
      </c>
      <c r="G351" s="5" t="s">
        <v>16</v>
      </c>
      <c r="H351" s="2" t="s">
        <v>16</v>
      </c>
      <c r="I351" s="2" t="s">
        <v>731</v>
      </c>
      <c r="J351" s="3" t="s">
        <v>1080</v>
      </c>
      <c r="K351" s="3" t="s">
        <v>909</v>
      </c>
      <c r="L351" s="14" t="s">
        <v>873</v>
      </c>
      <c r="M351" s="14"/>
      <c r="N351" s="5" t="s">
        <v>594</v>
      </c>
      <c r="O351" s="5" t="s">
        <v>595</v>
      </c>
    </row>
    <row r="352" spans="1:15">
      <c r="A352" s="2" t="s">
        <v>646</v>
      </c>
      <c r="B352" s="6" t="s">
        <v>598</v>
      </c>
      <c r="C352" s="2" t="s">
        <v>1031</v>
      </c>
      <c r="D352" s="2" t="s">
        <v>1031</v>
      </c>
      <c r="E352" s="5" t="s">
        <v>594</v>
      </c>
      <c r="G352" s="5" t="s">
        <v>16</v>
      </c>
      <c r="H352" s="2" t="s">
        <v>16</v>
      </c>
      <c r="I352" s="2" t="s">
        <v>731</v>
      </c>
      <c r="J352" s="3" t="s">
        <v>1080</v>
      </c>
      <c r="K352" s="3" t="s">
        <v>909</v>
      </c>
      <c r="L352" s="14" t="s">
        <v>873</v>
      </c>
      <c r="M352" s="14"/>
      <c r="N352" s="5" t="s">
        <v>594</v>
      </c>
      <c r="O352" s="5" t="s">
        <v>597</v>
      </c>
    </row>
    <row r="353" spans="1:15">
      <c r="A353" s="2" t="s">
        <v>646</v>
      </c>
      <c r="B353" s="6" t="s">
        <v>600</v>
      </c>
      <c r="C353" s="2" t="s">
        <v>1032</v>
      </c>
      <c r="D353" s="2" t="s">
        <v>1032</v>
      </c>
      <c r="E353" s="5" t="s">
        <v>594</v>
      </c>
      <c r="G353" s="5" t="s">
        <v>16</v>
      </c>
      <c r="H353" s="2" t="s">
        <v>16</v>
      </c>
      <c r="I353" s="2" t="s">
        <v>731</v>
      </c>
      <c r="J353" s="3" t="s">
        <v>1080</v>
      </c>
      <c r="K353" s="3" t="s">
        <v>909</v>
      </c>
      <c r="L353" s="14" t="s">
        <v>873</v>
      </c>
      <c r="M353" s="14"/>
      <c r="N353" s="5" t="s">
        <v>594</v>
      </c>
      <c r="O353" s="5" t="s">
        <v>599</v>
      </c>
    </row>
    <row r="354" spans="1:15">
      <c r="A354" s="2" t="s">
        <v>646</v>
      </c>
      <c r="B354" s="6" t="s">
        <v>602</v>
      </c>
      <c r="C354" s="2" t="s">
        <v>1033</v>
      </c>
      <c r="D354" s="2" t="s">
        <v>1033</v>
      </c>
      <c r="E354" s="5" t="s">
        <v>594</v>
      </c>
      <c r="G354" s="5" t="s">
        <v>16</v>
      </c>
      <c r="H354" s="2" t="s">
        <v>16</v>
      </c>
      <c r="I354" s="2" t="s">
        <v>731</v>
      </c>
      <c r="J354" s="3" t="s">
        <v>1080</v>
      </c>
      <c r="K354" s="3" t="s">
        <v>909</v>
      </c>
      <c r="L354" s="14" t="s">
        <v>873</v>
      </c>
      <c r="M354" s="14"/>
      <c r="N354" s="5" t="s">
        <v>594</v>
      </c>
      <c r="O354" s="5" t="s">
        <v>601</v>
      </c>
    </row>
    <row r="355" spans="1:15">
      <c r="A355" s="2" t="s">
        <v>646</v>
      </c>
      <c r="B355" s="6" t="s">
        <v>604</v>
      </c>
      <c r="C355" s="2" t="s">
        <v>1034</v>
      </c>
      <c r="D355" s="2" t="s">
        <v>1034</v>
      </c>
      <c r="E355" s="5" t="s">
        <v>119</v>
      </c>
      <c r="G355" s="5" t="s">
        <v>121</v>
      </c>
      <c r="H355" s="2" t="s">
        <v>16</v>
      </c>
      <c r="I355" s="2" t="s">
        <v>731</v>
      </c>
      <c r="J355" s="3" t="s">
        <v>1080</v>
      </c>
      <c r="K355" s="3" t="s">
        <v>909</v>
      </c>
      <c r="L355" s="10" t="s">
        <v>873</v>
      </c>
      <c r="M355" s="10"/>
      <c r="N355" s="5" t="s">
        <v>119</v>
      </c>
      <c r="O355" s="5" t="s">
        <v>603</v>
      </c>
    </row>
    <row r="356" spans="1:15">
      <c r="A356" s="2" t="s">
        <v>646</v>
      </c>
      <c r="B356" s="6" t="s">
        <v>606</v>
      </c>
      <c r="C356" s="2" t="s">
        <v>1035</v>
      </c>
      <c r="D356" s="2" t="s">
        <v>1035</v>
      </c>
      <c r="E356" s="5" t="s">
        <v>119</v>
      </c>
      <c r="G356" s="5" t="s">
        <v>121</v>
      </c>
      <c r="H356" s="2" t="s">
        <v>16</v>
      </c>
      <c r="I356" s="2" t="s">
        <v>731</v>
      </c>
      <c r="J356" s="3" t="s">
        <v>1080</v>
      </c>
      <c r="K356" s="3" t="s">
        <v>909</v>
      </c>
      <c r="L356" s="10" t="s">
        <v>873</v>
      </c>
      <c r="M356" s="10"/>
      <c r="N356" s="5" t="s">
        <v>119</v>
      </c>
      <c r="O356" s="5" t="s">
        <v>605</v>
      </c>
    </row>
    <row r="357" spans="1:15">
      <c r="A357" s="2" t="s">
        <v>646</v>
      </c>
      <c r="B357" s="6" t="s">
        <v>608</v>
      </c>
      <c r="C357" s="2" t="s">
        <v>1036</v>
      </c>
      <c r="D357" s="2" t="s">
        <v>1036</v>
      </c>
      <c r="E357" s="5" t="s">
        <v>119</v>
      </c>
      <c r="G357" s="5" t="s">
        <v>121</v>
      </c>
      <c r="H357" s="2" t="s">
        <v>16</v>
      </c>
      <c r="I357" s="2" t="s">
        <v>731</v>
      </c>
      <c r="J357" s="3" t="s">
        <v>1080</v>
      </c>
      <c r="K357" s="3" t="s">
        <v>909</v>
      </c>
      <c r="L357" s="10" t="s">
        <v>873</v>
      </c>
      <c r="M357" s="10"/>
      <c r="N357" s="5" t="s">
        <v>119</v>
      </c>
      <c r="O357" s="5" t="s">
        <v>607</v>
      </c>
    </row>
    <row r="358" spans="1:15">
      <c r="A358" s="2" t="s">
        <v>646</v>
      </c>
      <c r="B358" s="6" t="s">
        <v>610</v>
      </c>
      <c r="C358" s="2" t="s">
        <v>1037</v>
      </c>
      <c r="D358" s="2" t="s">
        <v>1037</v>
      </c>
      <c r="E358" s="5" t="s">
        <v>119</v>
      </c>
      <c r="G358" s="5" t="s">
        <v>121</v>
      </c>
      <c r="H358" s="2" t="s">
        <v>16</v>
      </c>
      <c r="I358" s="2" t="s">
        <v>731</v>
      </c>
      <c r="J358" s="3" t="s">
        <v>1080</v>
      </c>
      <c r="K358" s="3" t="s">
        <v>909</v>
      </c>
      <c r="L358" s="10" t="s">
        <v>873</v>
      </c>
      <c r="M358" s="10"/>
      <c r="N358" s="5" t="s">
        <v>119</v>
      </c>
      <c r="O358" s="5" t="s">
        <v>609</v>
      </c>
    </row>
    <row r="359" spans="1:15">
      <c r="A359" s="2" t="s">
        <v>646</v>
      </c>
      <c r="B359" s="6" t="s">
        <v>613</v>
      </c>
      <c r="C359" s="2" t="s">
        <v>1038</v>
      </c>
      <c r="D359" s="2" t="s">
        <v>1038</v>
      </c>
      <c r="E359" s="5" t="s">
        <v>611</v>
      </c>
      <c r="G359" s="5" t="s">
        <v>121</v>
      </c>
      <c r="H359" s="2" t="s">
        <v>16</v>
      </c>
      <c r="I359" s="2" t="s">
        <v>731</v>
      </c>
      <c r="J359" s="3" t="s">
        <v>1080</v>
      </c>
      <c r="K359" s="3" t="s">
        <v>909</v>
      </c>
      <c r="L359" s="13" t="s">
        <v>873</v>
      </c>
      <c r="M359" s="13"/>
      <c r="N359" s="5" t="s">
        <v>611</v>
      </c>
      <c r="O359" s="5" t="s">
        <v>612</v>
      </c>
    </row>
    <row r="360" spans="1:15">
      <c r="A360" s="2" t="s">
        <v>646</v>
      </c>
      <c r="B360" s="6" t="s">
        <v>615</v>
      </c>
      <c r="C360" s="2" t="s">
        <v>1039</v>
      </c>
      <c r="D360" s="2" t="s">
        <v>1039</v>
      </c>
      <c r="E360" s="5" t="s">
        <v>611</v>
      </c>
      <c r="G360" s="5" t="s">
        <v>121</v>
      </c>
      <c r="H360" s="2" t="s">
        <v>16</v>
      </c>
      <c r="I360" s="2" t="s">
        <v>731</v>
      </c>
      <c r="J360" s="3" t="s">
        <v>1080</v>
      </c>
      <c r="K360" s="3" t="s">
        <v>909</v>
      </c>
      <c r="L360" s="13" t="s">
        <v>873</v>
      </c>
      <c r="M360" s="13"/>
      <c r="N360" s="5" t="s">
        <v>611</v>
      </c>
      <c r="O360" s="5" t="s">
        <v>614</v>
      </c>
    </row>
    <row r="361" spans="1:15">
      <c r="A361" s="2" t="s">
        <v>646</v>
      </c>
      <c r="B361" s="6" t="s">
        <v>618</v>
      </c>
      <c r="C361" s="2" t="s">
        <v>1040</v>
      </c>
      <c r="D361" s="2" t="s">
        <v>1040</v>
      </c>
      <c r="E361" s="5" t="s">
        <v>616</v>
      </c>
      <c r="G361" s="5" t="s">
        <v>16</v>
      </c>
      <c r="H361" s="2" t="s">
        <v>16</v>
      </c>
      <c r="I361" s="2" t="s">
        <v>731</v>
      </c>
      <c r="J361" s="3" t="s">
        <v>1080</v>
      </c>
      <c r="K361" s="3" t="s">
        <v>909</v>
      </c>
      <c r="L361" s="10" t="s">
        <v>873</v>
      </c>
      <c r="M361" s="10"/>
      <c r="N361" s="5" t="s">
        <v>616</v>
      </c>
      <c r="O361" s="5" t="s">
        <v>617</v>
      </c>
    </row>
    <row r="362" spans="1:15">
      <c r="A362" s="2" t="s">
        <v>646</v>
      </c>
      <c r="B362" s="6" t="s">
        <v>620</v>
      </c>
      <c r="C362" s="2" t="s">
        <v>1026</v>
      </c>
      <c r="D362" s="2" t="s">
        <v>1026</v>
      </c>
      <c r="E362" s="5" t="s">
        <v>616</v>
      </c>
      <c r="G362" s="5" t="s">
        <v>16</v>
      </c>
      <c r="H362" s="2" t="s">
        <v>16</v>
      </c>
      <c r="I362" s="2" t="s">
        <v>731</v>
      </c>
      <c r="J362" s="3" t="s">
        <v>1080</v>
      </c>
      <c r="K362" s="3" t="s">
        <v>909</v>
      </c>
      <c r="L362" s="10" t="s">
        <v>873</v>
      </c>
      <c r="M362" s="10"/>
      <c r="N362" s="5" t="s">
        <v>616</v>
      </c>
      <c r="O362" s="5" t="s">
        <v>619</v>
      </c>
    </row>
    <row r="363" spans="1:15">
      <c r="A363" s="2" t="s">
        <v>646</v>
      </c>
      <c r="B363" s="6" t="s">
        <v>623</v>
      </c>
      <c r="C363" s="2" t="s">
        <v>1041</v>
      </c>
      <c r="D363" s="2" t="s">
        <v>1041</v>
      </c>
      <c r="E363" s="5" t="s">
        <v>621</v>
      </c>
      <c r="G363" s="5" t="s">
        <v>16</v>
      </c>
      <c r="H363" s="2" t="s">
        <v>16</v>
      </c>
      <c r="I363" s="2" t="s">
        <v>731</v>
      </c>
      <c r="J363" s="3" t="s">
        <v>1080</v>
      </c>
      <c r="K363" s="3" t="s">
        <v>909</v>
      </c>
      <c r="L363" s="11" t="s">
        <v>873</v>
      </c>
      <c r="M363" s="11"/>
      <c r="N363" s="5" t="s">
        <v>621</v>
      </c>
      <c r="O363" s="5" t="s">
        <v>622</v>
      </c>
    </row>
    <row r="364" spans="1:15">
      <c r="A364" s="2" t="s">
        <v>646</v>
      </c>
      <c r="B364" s="6" t="s">
        <v>625</v>
      </c>
      <c r="C364" s="2" t="s">
        <v>1042</v>
      </c>
      <c r="D364" s="2" t="s">
        <v>1042</v>
      </c>
      <c r="E364" s="5" t="s">
        <v>621</v>
      </c>
      <c r="G364" s="5" t="s">
        <v>16</v>
      </c>
      <c r="H364" s="2" t="s">
        <v>16</v>
      </c>
      <c r="I364" s="2" t="s">
        <v>731</v>
      </c>
      <c r="J364" s="3" t="s">
        <v>1080</v>
      </c>
      <c r="K364" s="3" t="s">
        <v>909</v>
      </c>
      <c r="L364" s="11" t="s">
        <v>873</v>
      </c>
      <c r="M364" s="11"/>
      <c r="N364" s="5" t="s">
        <v>621</v>
      </c>
      <c r="O364" s="5" t="s">
        <v>624</v>
      </c>
    </row>
    <row r="365" spans="1:15">
      <c r="A365" s="2" t="s">
        <v>646</v>
      </c>
      <c r="B365" s="6" t="s">
        <v>628</v>
      </c>
      <c r="C365" s="2" t="s">
        <v>1043</v>
      </c>
      <c r="D365" s="2" t="s">
        <v>1043</v>
      </c>
      <c r="E365" s="5" t="s">
        <v>626</v>
      </c>
      <c r="G365" s="5" t="s">
        <v>16</v>
      </c>
      <c r="H365" s="2" t="s">
        <v>1025</v>
      </c>
      <c r="I365" s="2" t="s">
        <v>731</v>
      </c>
      <c r="J365" s="3" t="s">
        <v>1080</v>
      </c>
      <c r="K365" s="3" t="s">
        <v>909</v>
      </c>
      <c r="L365" s="12" t="s">
        <v>873</v>
      </c>
      <c r="M365" s="12"/>
      <c r="N365" s="5" t="s">
        <v>626</v>
      </c>
      <c r="O365" s="5" t="s">
        <v>627</v>
      </c>
    </row>
    <row r="366" spans="1:15">
      <c r="A366" s="2" t="s">
        <v>646</v>
      </c>
      <c r="B366" s="6" t="s">
        <v>630</v>
      </c>
      <c r="C366" s="2" t="s">
        <v>1044</v>
      </c>
      <c r="D366" s="2" t="s">
        <v>1044</v>
      </c>
      <c r="E366" s="5" t="s">
        <v>626</v>
      </c>
      <c r="G366" s="5" t="s">
        <v>16</v>
      </c>
      <c r="H366" s="2" t="s">
        <v>1025</v>
      </c>
      <c r="I366" s="2" t="s">
        <v>731</v>
      </c>
      <c r="J366" s="3" t="s">
        <v>1080</v>
      </c>
      <c r="K366" s="3" t="s">
        <v>909</v>
      </c>
      <c r="L366" s="12" t="s">
        <v>873</v>
      </c>
      <c r="M366" s="12"/>
      <c r="N366" s="5" t="s">
        <v>626</v>
      </c>
      <c r="O366" s="5" t="s">
        <v>629</v>
      </c>
    </row>
    <row r="367" spans="1:15">
      <c r="A367" s="2" t="s">
        <v>646</v>
      </c>
      <c r="B367" s="6" t="s">
        <v>633</v>
      </c>
      <c r="C367" s="2" t="s">
        <v>1045</v>
      </c>
      <c r="D367" s="2" t="s">
        <v>1045</v>
      </c>
      <c r="E367" s="5" t="s">
        <v>631</v>
      </c>
      <c r="G367" s="5" t="s">
        <v>62</v>
      </c>
      <c r="H367" s="2" t="s">
        <v>62</v>
      </c>
      <c r="I367" s="2" t="s">
        <v>731</v>
      </c>
      <c r="J367" s="3" t="s">
        <v>1080</v>
      </c>
      <c r="K367" s="3" t="s">
        <v>909</v>
      </c>
      <c r="L367" s="14" t="s">
        <v>873</v>
      </c>
      <c r="M367" s="14"/>
      <c r="N367" s="5" t="s">
        <v>631</v>
      </c>
      <c r="O367" s="5" t="s">
        <v>632</v>
      </c>
    </row>
    <row r="368" spans="1:15">
      <c r="A368" s="2" t="s">
        <v>646</v>
      </c>
      <c r="B368" s="6" t="s">
        <v>635</v>
      </c>
      <c r="C368" s="2" t="s">
        <v>1046</v>
      </c>
      <c r="D368" s="2" t="s">
        <v>1046</v>
      </c>
      <c r="E368" s="5" t="s">
        <v>631</v>
      </c>
      <c r="G368" s="5" t="s">
        <v>62</v>
      </c>
      <c r="H368" s="2" t="s">
        <v>62</v>
      </c>
      <c r="I368" s="2" t="s">
        <v>731</v>
      </c>
      <c r="J368" s="3" t="s">
        <v>1080</v>
      </c>
      <c r="K368" s="3" t="s">
        <v>909</v>
      </c>
      <c r="L368" s="14" t="s">
        <v>873</v>
      </c>
      <c r="M368" s="14"/>
      <c r="N368" s="5" t="s">
        <v>631</v>
      </c>
      <c r="O368" s="5" t="s">
        <v>634</v>
      </c>
    </row>
    <row r="369" spans="1:15">
      <c r="A369" s="2" t="s">
        <v>646</v>
      </c>
      <c r="B369" s="6" t="s">
        <v>638</v>
      </c>
      <c r="C369" s="2" t="s">
        <v>1047</v>
      </c>
      <c r="D369" s="2" t="s">
        <v>1047</v>
      </c>
      <c r="E369" s="5" t="s">
        <v>636</v>
      </c>
      <c r="G369" s="5" t="s">
        <v>68</v>
      </c>
      <c r="H369" s="2" t="s">
        <v>68</v>
      </c>
      <c r="I369" s="2" t="s">
        <v>731</v>
      </c>
      <c r="J369" s="3" t="s">
        <v>1080</v>
      </c>
      <c r="K369" s="3" t="s">
        <v>909</v>
      </c>
      <c r="L369" s="10" t="s">
        <v>873</v>
      </c>
      <c r="M369" s="10"/>
      <c r="N369" s="5" t="s">
        <v>636</v>
      </c>
      <c r="O369" s="5" t="s">
        <v>637</v>
      </c>
    </row>
    <row r="370" spans="1:15">
      <c r="A370" s="2" t="s">
        <v>646</v>
      </c>
      <c r="B370" s="6" t="s">
        <v>640</v>
      </c>
      <c r="C370" s="2" t="s">
        <v>1048</v>
      </c>
      <c r="D370" s="2" t="s">
        <v>1048</v>
      </c>
      <c r="E370" s="5" t="s">
        <v>636</v>
      </c>
      <c r="G370" s="5" t="s">
        <v>68</v>
      </c>
      <c r="H370" s="2" t="s">
        <v>68</v>
      </c>
      <c r="I370" s="2" t="s">
        <v>731</v>
      </c>
      <c r="J370" s="3" t="s">
        <v>1080</v>
      </c>
      <c r="K370" s="3" t="s">
        <v>909</v>
      </c>
      <c r="L370" s="10" t="s">
        <v>873</v>
      </c>
      <c r="M370" s="10"/>
      <c r="N370" s="5" t="s">
        <v>636</v>
      </c>
      <c r="O370" s="5" t="s">
        <v>639</v>
      </c>
    </row>
    <row r="371" spans="1:15">
      <c r="A371" s="2" t="s">
        <v>646</v>
      </c>
      <c r="B371" s="6" t="s">
        <v>643</v>
      </c>
      <c r="C371" s="2" t="s">
        <v>1049</v>
      </c>
      <c r="D371" s="2" t="s">
        <v>1049</v>
      </c>
      <c r="E371" s="5" t="s">
        <v>641</v>
      </c>
      <c r="G371" s="5" t="s">
        <v>16</v>
      </c>
      <c r="H371" s="2" t="s">
        <v>16</v>
      </c>
      <c r="I371" s="2" t="s">
        <v>731</v>
      </c>
      <c r="J371" s="3" t="s">
        <v>1080</v>
      </c>
      <c r="K371" s="3" t="s">
        <v>909</v>
      </c>
      <c r="L371" s="10" t="s">
        <v>873</v>
      </c>
      <c r="M371" s="10"/>
      <c r="N371" s="5" t="s">
        <v>641</v>
      </c>
      <c r="O371" s="5" t="s">
        <v>642</v>
      </c>
    </row>
    <row r="372" spans="1:15">
      <c r="A372" s="2" t="s">
        <v>646</v>
      </c>
      <c r="B372" s="6" t="s">
        <v>645</v>
      </c>
      <c r="C372" s="2" t="s">
        <v>1050</v>
      </c>
      <c r="D372" s="2" t="s">
        <v>1050</v>
      </c>
      <c r="E372" s="5" t="s">
        <v>641</v>
      </c>
      <c r="G372" s="5" t="s">
        <v>16</v>
      </c>
      <c r="H372" s="2" t="s">
        <v>16</v>
      </c>
      <c r="I372" s="2" t="s">
        <v>731</v>
      </c>
      <c r="J372" s="3" t="s">
        <v>1080</v>
      </c>
      <c r="K372" s="3" t="s">
        <v>909</v>
      </c>
      <c r="L372" s="10" t="s">
        <v>873</v>
      </c>
      <c r="M372" s="10"/>
      <c r="N372" s="5" t="s">
        <v>641</v>
      </c>
      <c r="O372" s="5" t="s">
        <v>644</v>
      </c>
    </row>
    <row r="373" spans="1:15" hidden="1">
      <c r="A373" s="8"/>
      <c r="B373" s="8"/>
      <c r="C373" s="8"/>
      <c r="D373" s="8"/>
      <c r="E373" s="8"/>
      <c r="F373" s="8"/>
      <c r="G373" s="8"/>
      <c r="H373" s="8"/>
      <c r="I373" s="8" t="s">
        <v>731</v>
      </c>
      <c r="J373" s="9" t="s">
        <v>52</v>
      </c>
      <c r="K373" s="9" t="s">
        <v>53</v>
      </c>
      <c r="L373" s="9" t="s">
        <v>873</v>
      </c>
      <c r="M373" s="9"/>
      <c r="N373" s="8" t="s">
        <v>727</v>
      </c>
      <c r="O373" s="8"/>
    </row>
    <row r="374" spans="1:15" hidden="1">
      <c r="A374" s="2" t="s">
        <v>727</v>
      </c>
      <c r="B374" s="6" t="s">
        <v>649</v>
      </c>
      <c r="D374" s="5"/>
      <c r="G374" s="5" t="s">
        <v>217</v>
      </c>
      <c r="H374" s="2" t="s">
        <v>217</v>
      </c>
      <c r="I374" s="2" t="s">
        <v>921</v>
      </c>
      <c r="J374" s="3"/>
      <c r="K374" s="3"/>
      <c r="L374" s="3" t="s">
        <v>872</v>
      </c>
      <c r="M374" s="3"/>
      <c r="N374" s="5" t="s">
        <v>647</v>
      </c>
      <c r="O374" s="5" t="s">
        <v>648</v>
      </c>
    </row>
    <row r="375" spans="1:15">
      <c r="A375" s="2" t="s">
        <v>727</v>
      </c>
      <c r="B375" s="6" t="s">
        <v>652</v>
      </c>
      <c r="C375" s="5" t="s">
        <v>650</v>
      </c>
      <c r="D375" s="5" t="s">
        <v>650</v>
      </c>
      <c r="E375" s="2" t="str">
        <f>TRIM(_xlfn.TEXTBEFORE(_xlfn.TEXTAFTER(O375,"."),"(",,,, _xlfn.TEXTAFTER(O375,".")))</f>
        <v>Total</v>
      </c>
      <c r="F375" s="2" t="s">
        <v>1055</v>
      </c>
      <c r="G375" s="5" t="s">
        <v>217</v>
      </c>
      <c r="H375" s="2" t="s">
        <v>217</v>
      </c>
      <c r="I375" s="2" t="s">
        <v>921</v>
      </c>
      <c r="J375" s="3" t="s">
        <v>1080</v>
      </c>
      <c r="K375" s="3" t="s">
        <v>53</v>
      </c>
      <c r="L375" s="3" t="s">
        <v>872</v>
      </c>
      <c r="M375" s="3"/>
      <c r="N375" s="5" t="s">
        <v>650</v>
      </c>
      <c r="O375" s="5" t="s">
        <v>651</v>
      </c>
    </row>
    <row r="376" spans="1:15">
      <c r="A376" s="2" t="s">
        <v>727</v>
      </c>
      <c r="B376" s="6" t="s">
        <v>654</v>
      </c>
      <c r="C376" s="2" t="s">
        <v>1051</v>
      </c>
      <c r="D376" s="5" t="s">
        <v>650</v>
      </c>
      <c r="E376" s="2" t="str">
        <f>TRIM(_xlfn.TEXTBEFORE(_xlfn.TEXTAFTER(O376,"."),"(",,,, _xlfn.TEXTAFTER(O376,".")))</f>
        <v>Interest only</v>
      </c>
      <c r="F376" s="2" t="s">
        <v>1056</v>
      </c>
      <c r="G376" s="5" t="s">
        <v>217</v>
      </c>
      <c r="H376" s="2" t="s">
        <v>217</v>
      </c>
      <c r="I376" s="2" t="s">
        <v>921</v>
      </c>
      <c r="J376" s="3" t="s">
        <v>1080</v>
      </c>
      <c r="K376" s="3" t="s">
        <v>53</v>
      </c>
      <c r="L376" s="3" t="s">
        <v>872</v>
      </c>
      <c r="M376" s="3"/>
      <c r="N376" s="5" t="s">
        <v>650</v>
      </c>
      <c r="O376" s="5" t="s">
        <v>653</v>
      </c>
    </row>
    <row r="377" spans="1:15">
      <c r="A377" s="2" t="s">
        <v>727</v>
      </c>
      <c r="B377" s="6" t="s">
        <v>656</v>
      </c>
      <c r="C377" s="2" t="s">
        <v>1052</v>
      </c>
      <c r="D377" s="5" t="s">
        <v>650</v>
      </c>
      <c r="E377" s="2" t="str">
        <f>TRIM(_xlfn.TEXTBEFORE(_xlfn.TEXTAFTER(O377,"."),"(",,,, _xlfn.TEXTAFTER(O377,".")))</f>
        <v>Revolving credit</v>
      </c>
      <c r="F377" s="2" t="s">
        <v>1056</v>
      </c>
      <c r="G377" s="5" t="s">
        <v>217</v>
      </c>
      <c r="H377" s="2" t="s">
        <v>217</v>
      </c>
      <c r="I377" s="2" t="s">
        <v>921</v>
      </c>
      <c r="J377" s="3" t="s">
        <v>1080</v>
      </c>
      <c r="K377" s="3" t="s">
        <v>53</v>
      </c>
      <c r="L377" s="3" t="s">
        <v>872</v>
      </c>
      <c r="M377" s="3"/>
      <c r="N377" s="5" t="s">
        <v>650</v>
      </c>
      <c r="O377" s="5" t="s">
        <v>655</v>
      </c>
    </row>
    <row r="378" spans="1:15">
      <c r="A378" s="2" t="s">
        <v>727</v>
      </c>
      <c r="B378" s="6" t="s">
        <v>658</v>
      </c>
      <c r="C378" s="2" t="s">
        <v>1053</v>
      </c>
      <c r="D378" s="5" t="s">
        <v>650</v>
      </c>
      <c r="E378" s="2" t="str">
        <f>TRIM(_xlfn.TEXTBEFORE(_xlfn.TEXTAFTER(O378,"."),"(",,,, _xlfn.TEXTAFTER(O378,".")))</f>
        <v>Principal &amp; interest</v>
      </c>
      <c r="F378" s="2" t="s">
        <v>1056</v>
      </c>
      <c r="G378" s="5" t="s">
        <v>217</v>
      </c>
      <c r="H378" s="2" t="s">
        <v>217</v>
      </c>
      <c r="I378" s="2" t="s">
        <v>921</v>
      </c>
      <c r="J378" s="3" t="s">
        <v>1080</v>
      </c>
      <c r="K378" s="3" t="s">
        <v>53</v>
      </c>
      <c r="L378" s="3" t="s">
        <v>872</v>
      </c>
      <c r="M378" s="3"/>
      <c r="N378" s="5" t="s">
        <v>650</v>
      </c>
      <c r="O378" s="5" t="s">
        <v>657</v>
      </c>
    </row>
    <row r="379" spans="1:15">
      <c r="A379" s="2" t="s">
        <v>727</v>
      </c>
      <c r="B379" s="6" t="s">
        <v>660</v>
      </c>
      <c r="C379" s="2" t="s">
        <v>1054</v>
      </c>
      <c r="D379" s="5" t="s">
        <v>650</v>
      </c>
      <c r="E379" s="2" t="str">
        <f>TRIM(_xlfn.TEXTBEFORE(_xlfn.TEXTAFTER(O379,"."),"(",,,, _xlfn.TEXTAFTER(O379,".")))</f>
        <v>Other</v>
      </c>
      <c r="F379" s="2" t="s">
        <v>1056</v>
      </c>
      <c r="G379" s="5" t="s">
        <v>217</v>
      </c>
      <c r="H379" s="2" t="s">
        <v>217</v>
      </c>
      <c r="I379" s="2" t="s">
        <v>921</v>
      </c>
      <c r="J379" s="3" t="s">
        <v>1080</v>
      </c>
      <c r="K379" s="3" t="s">
        <v>53</v>
      </c>
      <c r="L379" s="3" t="s">
        <v>872</v>
      </c>
      <c r="M379" s="3"/>
      <c r="N379" s="5" t="s">
        <v>650</v>
      </c>
      <c r="O379" s="5" t="s">
        <v>659</v>
      </c>
    </row>
    <row r="380" spans="1:15">
      <c r="A380" s="2" t="s">
        <v>727</v>
      </c>
      <c r="B380" s="6" t="s">
        <v>663</v>
      </c>
      <c r="C380" s="5" t="s">
        <v>661</v>
      </c>
      <c r="D380" s="5" t="s">
        <v>661</v>
      </c>
      <c r="E380" s="2" t="str">
        <f>TRIM(_xlfn.TEXTBEFORE(_xlfn.TEXTAFTER(O380,"."),"(",,,, _xlfn.TEXTAFTER(O380,".")))</f>
        <v>Total</v>
      </c>
      <c r="F380" s="2" t="s">
        <v>1055</v>
      </c>
      <c r="G380" s="5" t="s">
        <v>217</v>
      </c>
      <c r="H380" s="2" t="s">
        <v>217</v>
      </c>
      <c r="I380" s="2" t="s">
        <v>921</v>
      </c>
      <c r="J380" s="3" t="s">
        <v>1080</v>
      </c>
      <c r="K380" s="3" t="s">
        <v>53</v>
      </c>
      <c r="L380" s="3" t="s">
        <v>872</v>
      </c>
      <c r="M380" s="3"/>
      <c r="N380" s="5" t="s">
        <v>661</v>
      </c>
      <c r="O380" s="5" t="s">
        <v>662</v>
      </c>
    </row>
    <row r="381" spans="1:15">
      <c r="A381" s="2" t="s">
        <v>727</v>
      </c>
      <c r="B381" s="6" t="s">
        <v>665</v>
      </c>
      <c r="C381" s="2" t="s">
        <v>1051</v>
      </c>
      <c r="D381" s="5" t="s">
        <v>661</v>
      </c>
      <c r="E381" s="2" t="str">
        <f>TRIM(_xlfn.TEXTBEFORE(_xlfn.TEXTAFTER(O381,"."),"(",,,, _xlfn.TEXTAFTER(O381,".")))</f>
        <v>Interest only</v>
      </c>
      <c r="F381" s="2" t="s">
        <v>1056</v>
      </c>
      <c r="G381" s="5" t="s">
        <v>217</v>
      </c>
      <c r="H381" s="2" t="s">
        <v>217</v>
      </c>
      <c r="I381" s="2" t="s">
        <v>921</v>
      </c>
      <c r="J381" s="3" t="s">
        <v>1080</v>
      </c>
      <c r="K381" s="3" t="s">
        <v>53</v>
      </c>
      <c r="L381" s="3" t="s">
        <v>872</v>
      </c>
      <c r="M381" s="3"/>
      <c r="N381" s="5" t="s">
        <v>661</v>
      </c>
      <c r="O381" s="5" t="s">
        <v>664</v>
      </c>
    </row>
    <row r="382" spans="1:15">
      <c r="A382" s="2" t="s">
        <v>727</v>
      </c>
      <c r="B382" s="6" t="s">
        <v>667</v>
      </c>
      <c r="C382" s="2" t="s">
        <v>1052</v>
      </c>
      <c r="D382" s="5" t="s">
        <v>661</v>
      </c>
      <c r="E382" s="2" t="str">
        <f>TRIM(_xlfn.TEXTBEFORE(_xlfn.TEXTAFTER(O382,"."),"(",,,, _xlfn.TEXTAFTER(O382,".")))</f>
        <v>Revolving credit</v>
      </c>
      <c r="F382" s="2" t="s">
        <v>1056</v>
      </c>
      <c r="G382" s="5" t="s">
        <v>217</v>
      </c>
      <c r="H382" s="2" t="s">
        <v>217</v>
      </c>
      <c r="I382" s="2" t="s">
        <v>921</v>
      </c>
      <c r="J382" s="3" t="s">
        <v>1080</v>
      </c>
      <c r="K382" s="3" t="s">
        <v>53</v>
      </c>
      <c r="L382" s="3" t="s">
        <v>872</v>
      </c>
      <c r="M382" s="3"/>
      <c r="N382" s="5" t="s">
        <v>661</v>
      </c>
      <c r="O382" s="5" t="s">
        <v>666</v>
      </c>
    </row>
    <row r="383" spans="1:15">
      <c r="A383" s="2" t="s">
        <v>727</v>
      </c>
      <c r="B383" s="6" t="s">
        <v>669</v>
      </c>
      <c r="C383" s="2" t="s">
        <v>1053</v>
      </c>
      <c r="D383" s="5" t="s">
        <v>661</v>
      </c>
      <c r="E383" s="2" t="str">
        <f>TRIM(_xlfn.TEXTBEFORE(_xlfn.TEXTAFTER(O383,"."),"(",,,, _xlfn.TEXTAFTER(O383,".")))</f>
        <v>Principal &amp; interest</v>
      </c>
      <c r="F383" s="2" t="s">
        <v>1056</v>
      </c>
      <c r="G383" s="5" t="s">
        <v>217</v>
      </c>
      <c r="H383" s="2" t="s">
        <v>217</v>
      </c>
      <c r="I383" s="2" t="s">
        <v>921</v>
      </c>
      <c r="J383" s="3" t="s">
        <v>1080</v>
      </c>
      <c r="K383" s="3" t="s">
        <v>53</v>
      </c>
      <c r="L383" s="3" t="s">
        <v>872</v>
      </c>
      <c r="M383" s="3"/>
      <c r="N383" s="5" t="s">
        <v>661</v>
      </c>
      <c r="O383" s="5" t="s">
        <v>668</v>
      </c>
    </row>
    <row r="384" spans="1:15">
      <c r="A384" s="2" t="s">
        <v>727</v>
      </c>
      <c r="B384" s="6" t="s">
        <v>671</v>
      </c>
      <c r="C384" s="2" t="s">
        <v>1054</v>
      </c>
      <c r="D384" s="5" t="s">
        <v>661</v>
      </c>
      <c r="E384" s="2" t="str">
        <f>TRIM(_xlfn.TEXTBEFORE(_xlfn.TEXTAFTER(O384,"."),"(",,,, _xlfn.TEXTAFTER(O384,".")))</f>
        <v>Other</v>
      </c>
      <c r="F384" s="2" t="s">
        <v>1056</v>
      </c>
      <c r="G384" s="5" t="s">
        <v>217</v>
      </c>
      <c r="H384" s="2" t="s">
        <v>217</v>
      </c>
      <c r="I384" s="2" t="s">
        <v>921</v>
      </c>
      <c r="J384" s="3" t="s">
        <v>1080</v>
      </c>
      <c r="K384" s="3" t="s">
        <v>53</v>
      </c>
      <c r="L384" s="3" t="s">
        <v>872</v>
      </c>
      <c r="M384" s="3"/>
      <c r="N384" s="5" t="s">
        <v>661</v>
      </c>
      <c r="O384" s="5" t="s">
        <v>670</v>
      </c>
    </row>
    <row r="385" spans="1:15">
      <c r="A385" s="2" t="s">
        <v>727</v>
      </c>
      <c r="B385" s="6" t="s">
        <v>674</v>
      </c>
      <c r="C385" s="5" t="s">
        <v>672</v>
      </c>
      <c r="D385" s="5" t="s">
        <v>672</v>
      </c>
      <c r="E385" s="2" t="str">
        <f>TRIM(_xlfn.TEXTBEFORE(_xlfn.TEXTAFTER(O385,"."),"(",,,, _xlfn.TEXTAFTER(O385,".")))</f>
        <v>Total</v>
      </c>
      <c r="F385" s="2" t="s">
        <v>1055</v>
      </c>
      <c r="G385" s="5" t="s">
        <v>217</v>
      </c>
      <c r="H385" s="2" t="s">
        <v>217</v>
      </c>
      <c r="I385" s="2" t="s">
        <v>921</v>
      </c>
      <c r="J385" s="3" t="s">
        <v>1080</v>
      </c>
      <c r="K385" s="3" t="s">
        <v>53</v>
      </c>
      <c r="L385" s="3" t="s">
        <v>872</v>
      </c>
      <c r="M385" s="3"/>
      <c r="N385" s="5" t="s">
        <v>672</v>
      </c>
      <c r="O385" s="5" t="s">
        <v>673</v>
      </c>
    </row>
    <row r="386" spans="1:15">
      <c r="A386" s="2" t="s">
        <v>727</v>
      </c>
      <c r="B386" s="6" t="s">
        <v>676</v>
      </c>
      <c r="C386" s="2" t="s">
        <v>1051</v>
      </c>
      <c r="D386" s="5" t="s">
        <v>672</v>
      </c>
      <c r="E386" s="2" t="str">
        <f>TRIM(_xlfn.TEXTBEFORE(_xlfn.TEXTAFTER(O386,"."),"(",,,, _xlfn.TEXTAFTER(O386,".")))</f>
        <v>Overdrafts</v>
      </c>
      <c r="F386" s="2" t="s">
        <v>1056</v>
      </c>
      <c r="G386" s="5" t="s">
        <v>217</v>
      </c>
      <c r="H386" s="2" t="s">
        <v>217</v>
      </c>
      <c r="I386" s="2" t="s">
        <v>921</v>
      </c>
      <c r="J386" s="3" t="s">
        <v>1080</v>
      </c>
      <c r="K386" s="3" t="s">
        <v>53</v>
      </c>
      <c r="L386" s="3" t="s">
        <v>872</v>
      </c>
      <c r="M386" s="3"/>
      <c r="N386" s="5" t="s">
        <v>672</v>
      </c>
      <c r="O386" s="5" t="s">
        <v>675</v>
      </c>
    </row>
    <row r="387" spans="1:15">
      <c r="A387" s="2" t="s">
        <v>727</v>
      </c>
      <c r="B387" s="6" t="s">
        <v>678</v>
      </c>
      <c r="C387" s="2" t="s">
        <v>1052</v>
      </c>
      <c r="D387" s="5" t="s">
        <v>672</v>
      </c>
      <c r="E387" s="2" t="str">
        <f>TRIM(_xlfn.TEXTBEFORE(_xlfn.TEXTAFTER(O387,"."),"(",,,, _xlfn.TEXTAFTER(O387,".")))</f>
        <v>Credit cards</v>
      </c>
      <c r="F387" s="2" t="s">
        <v>1056</v>
      </c>
      <c r="G387" s="5" t="s">
        <v>217</v>
      </c>
      <c r="H387" s="2" t="s">
        <v>217</v>
      </c>
      <c r="I387" s="2" t="s">
        <v>921</v>
      </c>
      <c r="J387" s="3" t="s">
        <v>1080</v>
      </c>
      <c r="K387" s="3" t="s">
        <v>53</v>
      </c>
      <c r="L387" s="3" t="s">
        <v>872</v>
      </c>
      <c r="M387" s="3"/>
      <c r="N387" s="5" t="s">
        <v>672</v>
      </c>
      <c r="O387" s="5" t="s">
        <v>677</v>
      </c>
    </row>
    <row r="388" spans="1:15">
      <c r="A388" s="2" t="s">
        <v>727</v>
      </c>
      <c r="B388" s="6" t="s">
        <v>680</v>
      </c>
      <c r="C388" s="2" t="s">
        <v>1053</v>
      </c>
      <c r="D388" s="5" t="s">
        <v>672</v>
      </c>
      <c r="E388" s="2" t="str">
        <f>TRIM(_xlfn.TEXTBEFORE(_xlfn.TEXTAFTER(O388,"."),"(",,,, _xlfn.TEXTAFTER(O388,".")))</f>
        <v>Term loans</v>
      </c>
      <c r="F388" s="2" t="s">
        <v>1056</v>
      </c>
      <c r="G388" s="5" t="s">
        <v>217</v>
      </c>
      <c r="H388" s="2" t="s">
        <v>217</v>
      </c>
      <c r="I388" s="2" t="s">
        <v>921</v>
      </c>
      <c r="J388" s="3" t="s">
        <v>1080</v>
      </c>
      <c r="K388" s="3" t="s">
        <v>53</v>
      </c>
      <c r="L388" s="3" t="s">
        <v>872</v>
      </c>
      <c r="M388" s="3"/>
      <c r="N388" s="5" t="s">
        <v>672</v>
      </c>
      <c r="O388" s="5" t="s">
        <v>679</v>
      </c>
    </row>
    <row r="389" spans="1:15">
      <c r="A389" s="2" t="s">
        <v>727</v>
      </c>
      <c r="B389" s="6" t="s">
        <v>682</v>
      </c>
      <c r="C389" s="2" t="s">
        <v>1054</v>
      </c>
      <c r="D389" s="5" t="s">
        <v>672</v>
      </c>
      <c r="E389" s="2" t="str">
        <f>TRIM(_xlfn.TEXTBEFORE(_xlfn.TEXTAFTER(O389,"."),"(",,,, _xlfn.TEXTAFTER(O389,".")))</f>
        <v>Other</v>
      </c>
      <c r="F389" s="2" t="s">
        <v>1056</v>
      </c>
      <c r="G389" s="5" t="s">
        <v>217</v>
      </c>
      <c r="H389" s="2" t="s">
        <v>217</v>
      </c>
      <c r="I389" s="2" t="s">
        <v>921</v>
      </c>
      <c r="J389" s="3" t="s">
        <v>1080</v>
      </c>
      <c r="K389" s="3" t="s">
        <v>53</v>
      </c>
      <c r="L389" s="3" t="s">
        <v>872</v>
      </c>
      <c r="M389" s="3"/>
      <c r="N389" s="5" t="s">
        <v>672</v>
      </c>
      <c r="O389" s="5" t="s">
        <v>681</v>
      </c>
    </row>
    <row r="390" spans="1:15">
      <c r="A390" s="2" t="s">
        <v>727</v>
      </c>
      <c r="B390" s="6" t="s">
        <v>685</v>
      </c>
      <c r="C390" s="5" t="s">
        <v>683</v>
      </c>
      <c r="D390" s="5" t="s">
        <v>683</v>
      </c>
      <c r="E390" s="2" t="str">
        <f>TRIM(_xlfn.TEXTBEFORE(_xlfn.TEXTAFTER(O390,"."),"(",,,, _xlfn.TEXTAFTER(O390,".")))</f>
        <v>Total</v>
      </c>
      <c r="F390" s="2" t="s">
        <v>1055</v>
      </c>
      <c r="G390" s="5" t="s">
        <v>217</v>
      </c>
      <c r="H390" s="2" t="s">
        <v>217</v>
      </c>
      <c r="I390" s="2" t="s">
        <v>921</v>
      </c>
      <c r="J390" s="3" t="s">
        <v>1080</v>
      </c>
      <c r="K390" s="3" t="s">
        <v>53</v>
      </c>
      <c r="L390" s="3" t="s">
        <v>872</v>
      </c>
      <c r="M390" s="3"/>
      <c r="N390" s="5" t="s">
        <v>683</v>
      </c>
      <c r="O390" s="5" t="s">
        <v>684</v>
      </c>
    </row>
    <row r="391" spans="1:15">
      <c r="A391" s="2" t="s">
        <v>727</v>
      </c>
      <c r="B391" s="6" t="s">
        <v>687</v>
      </c>
      <c r="C391" s="2" t="s">
        <v>1051</v>
      </c>
      <c r="D391" s="5" t="s">
        <v>683</v>
      </c>
      <c r="E391" s="2" t="str">
        <f>TRIM(_xlfn.TEXTBEFORE(_xlfn.TEXTAFTER(O391,"."),"(",,,, _xlfn.TEXTAFTER(O391,".")))</f>
        <v>Interest only</v>
      </c>
      <c r="F391" s="2" t="s">
        <v>1056</v>
      </c>
      <c r="G391" s="5" t="s">
        <v>217</v>
      </c>
      <c r="H391" s="2" t="s">
        <v>217</v>
      </c>
      <c r="I391" s="2" t="s">
        <v>921</v>
      </c>
      <c r="J391" s="3" t="s">
        <v>1080</v>
      </c>
      <c r="K391" s="3" t="s">
        <v>53</v>
      </c>
      <c r="L391" s="3" t="s">
        <v>872</v>
      </c>
      <c r="M391" s="3"/>
      <c r="N391" s="5" t="s">
        <v>683</v>
      </c>
      <c r="O391" s="5" t="s">
        <v>686</v>
      </c>
    </row>
    <row r="392" spans="1:15">
      <c r="A392" s="2" t="s">
        <v>727</v>
      </c>
      <c r="B392" s="6" t="s">
        <v>689</v>
      </c>
      <c r="C392" s="2" t="s">
        <v>1052</v>
      </c>
      <c r="D392" s="5" t="s">
        <v>683</v>
      </c>
      <c r="E392" s="2" t="str">
        <f>TRIM(_xlfn.TEXTBEFORE(_xlfn.TEXTAFTER(O392,"."),"(",,,, _xlfn.TEXTAFTER(O392,".")))</f>
        <v>Revolving credit</v>
      </c>
      <c r="F392" s="2" t="s">
        <v>1056</v>
      </c>
      <c r="G392" s="5" t="s">
        <v>217</v>
      </c>
      <c r="H392" s="2" t="s">
        <v>217</v>
      </c>
      <c r="I392" s="2" t="s">
        <v>921</v>
      </c>
      <c r="J392" s="3" t="s">
        <v>1080</v>
      </c>
      <c r="K392" s="3" t="s">
        <v>53</v>
      </c>
      <c r="L392" s="3" t="s">
        <v>872</v>
      </c>
      <c r="M392" s="3"/>
      <c r="N392" s="5" t="s">
        <v>683</v>
      </c>
      <c r="O392" s="5" t="s">
        <v>688</v>
      </c>
    </row>
    <row r="393" spans="1:15">
      <c r="A393" s="2" t="s">
        <v>727</v>
      </c>
      <c r="B393" s="6" t="s">
        <v>691</v>
      </c>
      <c r="C393" s="2" t="s">
        <v>1053</v>
      </c>
      <c r="D393" s="5" t="s">
        <v>683</v>
      </c>
      <c r="E393" s="2" t="str">
        <f>TRIM(_xlfn.TEXTBEFORE(_xlfn.TEXTAFTER(O393,"."),"(",,,, _xlfn.TEXTAFTER(O393,".")))</f>
        <v>Principal &amp; interest</v>
      </c>
      <c r="F393" s="2" t="s">
        <v>1056</v>
      </c>
      <c r="G393" s="5" t="s">
        <v>217</v>
      </c>
      <c r="H393" s="2" t="s">
        <v>217</v>
      </c>
      <c r="I393" s="2" t="s">
        <v>921</v>
      </c>
      <c r="J393" s="3" t="s">
        <v>1080</v>
      </c>
      <c r="K393" s="3" t="s">
        <v>53</v>
      </c>
      <c r="L393" s="3" t="s">
        <v>872</v>
      </c>
      <c r="M393" s="3"/>
      <c r="N393" s="5" t="s">
        <v>683</v>
      </c>
      <c r="O393" s="5" t="s">
        <v>690</v>
      </c>
    </row>
    <row r="394" spans="1:15">
      <c r="A394" s="2" t="s">
        <v>727</v>
      </c>
      <c r="B394" s="6" t="s">
        <v>693</v>
      </c>
      <c r="C394" s="2" t="s">
        <v>1054</v>
      </c>
      <c r="D394" s="5" t="s">
        <v>683</v>
      </c>
      <c r="E394" s="2" t="str">
        <f>TRIM(_xlfn.TEXTBEFORE(_xlfn.TEXTAFTER(O394,"."),"(",,,, _xlfn.TEXTAFTER(O394,".")))</f>
        <v>Other</v>
      </c>
      <c r="F394" s="2" t="s">
        <v>1056</v>
      </c>
      <c r="G394" s="5" t="s">
        <v>217</v>
      </c>
      <c r="H394" s="2" t="s">
        <v>217</v>
      </c>
      <c r="I394" s="2" t="s">
        <v>921</v>
      </c>
      <c r="J394" s="3" t="s">
        <v>1080</v>
      </c>
      <c r="K394" s="3" t="s">
        <v>53</v>
      </c>
      <c r="L394" s="3" t="s">
        <v>872</v>
      </c>
      <c r="M394" s="3"/>
      <c r="N394" s="5" t="s">
        <v>683</v>
      </c>
      <c r="O394" s="5" t="s">
        <v>692</v>
      </c>
    </row>
    <row r="395" spans="1:15">
      <c r="A395" s="2" t="s">
        <v>727</v>
      </c>
      <c r="B395" s="6" t="s">
        <v>696</v>
      </c>
      <c r="C395" s="5" t="s">
        <v>694</v>
      </c>
      <c r="D395" s="5" t="s">
        <v>694</v>
      </c>
      <c r="E395" s="2" t="str">
        <f>TRIM(_xlfn.TEXTBEFORE(_xlfn.TEXTAFTER(O395,"."),"(",,,, _xlfn.TEXTAFTER(O395,".")))</f>
        <v>Total</v>
      </c>
      <c r="F395" s="2" t="s">
        <v>1055</v>
      </c>
      <c r="G395" s="5" t="s">
        <v>217</v>
      </c>
      <c r="H395" s="2" t="s">
        <v>217</v>
      </c>
      <c r="I395" s="2" t="s">
        <v>921</v>
      </c>
      <c r="J395" s="3" t="s">
        <v>1080</v>
      </c>
      <c r="K395" s="3" t="s">
        <v>53</v>
      </c>
      <c r="L395" s="3" t="s">
        <v>872</v>
      </c>
      <c r="M395" s="3"/>
      <c r="N395" s="5" t="s">
        <v>694</v>
      </c>
      <c r="O395" s="5" t="s">
        <v>695</v>
      </c>
    </row>
    <row r="396" spans="1:15">
      <c r="A396" s="2" t="s">
        <v>727</v>
      </c>
      <c r="B396" s="6" t="s">
        <v>698</v>
      </c>
      <c r="C396" s="2" t="s">
        <v>1051</v>
      </c>
      <c r="D396" s="5" t="s">
        <v>694</v>
      </c>
      <c r="E396" s="2" t="str">
        <f>TRIM(_xlfn.TEXTBEFORE(_xlfn.TEXTAFTER(O396,"."),"(",,,, _xlfn.TEXTAFTER(O396,".")))</f>
        <v>Interest only</v>
      </c>
      <c r="F396" s="2" t="s">
        <v>1056</v>
      </c>
      <c r="G396" s="5" t="s">
        <v>217</v>
      </c>
      <c r="H396" s="2" t="s">
        <v>217</v>
      </c>
      <c r="I396" s="2" t="s">
        <v>921</v>
      </c>
      <c r="J396" s="3" t="s">
        <v>1080</v>
      </c>
      <c r="K396" s="3" t="s">
        <v>53</v>
      </c>
      <c r="L396" s="3" t="s">
        <v>872</v>
      </c>
      <c r="M396" s="3"/>
      <c r="N396" s="5" t="s">
        <v>694</v>
      </c>
      <c r="O396" s="5" t="s">
        <v>697</v>
      </c>
    </row>
    <row r="397" spans="1:15">
      <c r="A397" s="2" t="s">
        <v>727</v>
      </c>
      <c r="B397" s="6" t="s">
        <v>700</v>
      </c>
      <c r="C397" s="2" t="s">
        <v>1052</v>
      </c>
      <c r="D397" s="5" t="s">
        <v>694</v>
      </c>
      <c r="E397" s="2" t="str">
        <f>TRIM(_xlfn.TEXTBEFORE(_xlfn.TEXTAFTER(O397,"."),"(",,,, _xlfn.TEXTAFTER(O397,".")))</f>
        <v>Revolving credit</v>
      </c>
      <c r="F397" s="2" t="s">
        <v>1056</v>
      </c>
      <c r="G397" s="5" t="s">
        <v>217</v>
      </c>
      <c r="H397" s="2" t="s">
        <v>217</v>
      </c>
      <c r="I397" s="2" t="s">
        <v>921</v>
      </c>
      <c r="J397" s="3" t="s">
        <v>1080</v>
      </c>
      <c r="K397" s="3" t="s">
        <v>53</v>
      </c>
      <c r="L397" s="3" t="s">
        <v>872</v>
      </c>
      <c r="M397" s="3"/>
      <c r="N397" s="5" t="s">
        <v>694</v>
      </c>
      <c r="O397" s="5" t="s">
        <v>699</v>
      </c>
    </row>
    <row r="398" spans="1:15">
      <c r="A398" s="2" t="s">
        <v>727</v>
      </c>
      <c r="B398" s="6" t="s">
        <v>702</v>
      </c>
      <c r="C398" s="2" t="s">
        <v>1053</v>
      </c>
      <c r="D398" s="5" t="s">
        <v>694</v>
      </c>
      <c r="E398" s="2" t="str">
        <f>TRIM(_xlfn.TEXTBEFORE(_xlfn.TEXTAFTER(O398,"."),"(",,,, _xlfn.TEXTAFTER(O398,".")))</f>
        <v>Principal &amp; interest</v>
      </c>
      <c r="F398" s="2" t="s">
        <v>1056</v>
      </c>
      <c r="G398" s="5" t="s">
        <v>217</v>
      </c>
      <c r="H398" s="2" t="s">
        <v>217</v>
      </c>
      <c r="I398" s="2" t="s">
        <v>921</v>
      </c>
      <c r="J398" s="3" t="s">
        <v>1080</v>
      </c>
      <c r="K398" s="3" t="s">
        <v>53</v>
      </c>
      <c r="L398" s="3" t="s">
        <v>872</v>
      </c>
      <c r="M398" s="3"/>
      <c r="N398" s="5" t="s">
        <v>694</v>
      </c>
      <c r="O398" s="5" t="s">
        <v>701</v>
      </c>
    </row>
    <row r="399" spans="1:15">
      <c r="A399" s="2" t="s">
        <v>727</v>
      </c>
      <c r="B399" s="6" t="s">
        <v>704</v>
      </c>
      <c r="C399" s="2" t="s">
        <v>1054</v>
      </c>
      <c r="D399" s="5" t="s">
        <v>694</v>
      </c>
      <c r="E399" s="2" t="str">
        <f>TRIM(_xlfn.TEXTBEFORE(_xlfn.TEXTAFTER(O399,"."),"(",,,, _xlfn.TEXTAFTER(O399,".")))</f>
        <v>Other</v>
      </c>
      <c r="F399" s="2" t="s">
        <v>1056</v>
      </c>
      <c r="G399" s="5" t="s">
        <v>217</v>
      </c>
      <c r="H399" s="2" t="s">
        <v>217</v>
      </c>
      <c r="I399" s="2" t="s">
        <v>921</v>
      </c>
      <c r="J399" s="3" t="s">
        <v>1080</v>
      </c>
      <c r="K399" s="3" t="s">
        <v>53</v>
      </c>
      <c r="L399" s="3" t="s">
        <v>872</v>
      </c>
      <c r="M399" s="3"/>
      <c r="N399" s="5" t="s">
        <v>694</v>
      </c>
      <c r="O399" s="5" t="s">
        <v>703</v>
      </c>
    </row>
    <row r="400" spans="1:15">
      <c r="A400" s="2" t="s">
        <v>727</v>
      </c>
      <c r="B400" s="6" t="s">
        <v>707</v>
      </c>
      <c r="C400" s="5" t="s">
        <v>705</v>
      </c>
      <c r="D400" s="5" t="s">
        <v>705</v>
      </c>
      <c r="E400" s="2" t="str">
        <f>TRIM(_xlfn.TEXTBEFORE(_xlfn.TEXTAFTER(O400,"."),"(",,,, _xlfn.TEXTAFTER(O400,".")))</f>
        <v>Total</v>
      </c>
      <c r="F400" s="2" t="s">
        <v>1055</v>
      </c>
      <c r="G400" s="5" t="s">
        <v>217</v>
      </c>
      <c r="H400" s="2" t="s">
        <v>217</v>
      </c>
      <c r="I400" s="2" t="s">
        <v>921</v>
      </c>
      <c r="J400" s="3" t="s">
        <v>1080</v>
      </c>
      <c r="K400" s="3" t="s">
        <v>53</v>
      </c>
      <c r="L400" s="3" t="s">
        <v>872</v>
      </c>
      <c r="M400" s="3"/>
      <c r="N400" s="5" t="s">
        <v>705</v>
      </c>
      <c r="O400" s="5" t="s">
        <v>706</v>
      </c>
    </row>
    <row r="401" spans="1:15">
      <c r="A401" s="2" t="s">
        <v>727</v>
      </c>
      <c r="B401" s="6" t="s">
        <v>709</v>
      </c>
      <c r="C401" s="2" t="s">
        <v>1051</v>
      </c>
      <c r="D401" s="5" t="s">
        <v>705</v>
      </c>
      <c r="E401" s="2" t="str">
        <f>TRIM(_xlfn.TEXTBEFORE(_xlfn.TEXTAFTER(O401,"."),"(",,,, _xlfn.TEXTAFTER(O401,".")))</f>
        <v>Interest only</v>
      </c>
      <c r="F401" s="2" t="s">
        <v>1056</v>
      </c>
      <c r="G401" s="5" t="s">
        <v>217</v>
      </c>
      <c r="H401" s="2" t="s">
        <v>217</v>
      </c>
      <c r="I401" s="2" t="s">
        <v>921</v>
      </c>
      <c r="J401" s="3" t="s">
        <v>1080</v>
      </c>
      <c r="K401" s="3" t="s">
        <v>53</v>
      </c>
      <c r="L401" s="3" t="s">
        <v>872</v>
      </c>
      <c r="M401" s="3"/>
      <c r="N401" s="5" t="s">
        <v>705</v>
      </c>
      <c r="O401" s="5" t="s">
        <v>708</v>
      </c>
    </row>
    <row r="402" spans="1:15">
      <c r="A402" s="2" t="s">
        <v>727</v>
      </c>
      <c r="B402" s="6" t="s">
        <v>711</v>
      </c>
      <c r="C402" s="2" t="s">
        <v>1052</v>
      </c>
      <c r="D402" s="5" t="s">
        <v>705</v>
      </c>
      <c r="E402" s="2" t="str">
        <f>TRIM(_xlfn.TEXTBEFORE(_xlfn.TEXTAFTER(O402,"."),"(",,,, _xlfn.TEXTAFTER(O402,".")))</f>
        <v>Revolving credit</v>
      </c>
      <c r="F402" s="2" t="s">
        <v>1056</v>
      </c>
      <c r="G402" s="5" t="s">
        <v>217</v>
      </c>
      <c r="H402" s="2" t="s">
        <v>217</v>
      </c>
      <c r="I402" s="2" t="s">
        <v>921</v>
      </c>
      <c r="J402" s="3" t="s">
        <v>1080</v>
      </c>
      <c r="K402" s="3" t="s">
        <v>53</v>
      </c>
      <c r="L402" s="3" t="s">
        <v>872</v>
      </c>
      <c r="M402" s="3"/>
      <c r="N402" s="5" t="s">
        <v>705</v>
      </c>
      <c r="O402" s="5" t="s">
        <v>710</v>
      </c>
    </row>
    <row r="403" spans="1:15">
      <c r="A403" s="2" t="s">
        <v>727</v>
      </c>
      <c r="B403" s="6" t="s">
        <v>713</v>
      </c>
      <c r="C403" s="2" t="s">
        <v>1053</v>
      </c>
      <c r="D403" s="5" t="s">
        <v>705</v>
      </c>
      <c r="E403" s="2" t="str">
        <f>TRIM(_xlfn.TEXTBEFORE(_xlfn.TEXTAFTER(O403,"."),"(",,,, _xlfn.TEXTAFTER(O403,".")))</f>
        <v>Principal &amp; interest</v>
      </c>
      <c r="F403" s="2" t="s">
        <v>1056</v>
      </c>
      <c r="G403" s="5" t="s">
        <v>217</v>
      </c>
      <c r="H403" s="2" t="s">
        <v>217</v>
      </c>
      <c r="I403" s="2" t="s">
        <v>921</v>
      </c>
      <c r="J403" s="3" t="s">
        <v>1080</v>
      </c>
      <c r="K403" s="3" t="s">
        <v>53</v>
      </c>
      <c r="L403" s="3" t="s">
        <v>872</v>
      </c>
      <c r="M403" s="3"/>
      <c r="N403" s="5" t="s">
        <v>705</v>
      </c>
      <c r="O403" s="5" t="s">
        <v>712</v>
      </c>
    </row>
    <row r="404" spans="1:15">
      <c r="A404" s="2" t="s">
        <v>727</v>
      </c>
      <c r="B404" s="6" t="s">
        <v>715</v>
      </c>
      <c r="C404" s="2" t="s">
        <v>1054</v>
      </c>
      <c r="D404" s="5" t="s">
        <v>705</v>
      </c>
      <c r="E404" s="2" t="str">
        <f>TRIM(_xlfn.TEXTBEFORE(_xlfn.TEXTAFTER(O404,"."),"(",,,, _xlfn.TEXTAFTER(O404,".")))</f>
        <v>Other</v>
      </c>
      <c r="F404" s="2" t="s">
        <v>1056</v>
      </c>
      <c r="G404" s="5" t="s">
        <v>217</v>
      </c>
      <c r="H404" s="2" t="s">
        <v>217</v>
      </c>
      <c r="I404" s="2" t="s">
        <v>921</v>
      </c>
      <c r="J404" s="3" t="s">
        <v>1080</v>
      </c>
      <c r="K404" s="3" t="s">
        <v>53</v>
      </c>
      <c r="L404" s="3" t="s">
        <v>872</v>
      </c>
      <c r="M404" s="3"/>
      <c r="N404" s="5" t="s">
        <v>705</v>
      </c>
      <c r="O404" s="5" t="s">
        <v>714</v>
      </c>
    </row>
    <row r="405" spans="1:15">
      <c r="A405" s="2" t="s">
        <v>727</v>
      </c>
      <c r="B405" s="6" t="s">
        <v>718</v>
      </c>
      <c r="C405" s="5" t="s">
        <v>716</v>
      </c>
      <c r="D405" s="5" t="s">
        <v>716</v>
      </c>
      <c r="E405" s="2" t="str">
        <f>TRIM(_xlfn.TEXTBEFORE(_xlfn.TEXTAFTER(O405,"."),"(",,,, _xlfn.TEXTAFTER(O405,".")))</f>
        <v>Total</v>
      </c>
      <c r="F405" s="2" t="s">
        <v>1055</v>
      </c>
      <c r="G405" s="5" t="s">
        <v>217</v>
      </c>
      <c r="H405" s="2" t="s">
        <v>217</v>
      </c>
      <c r="I405" s="2" t="s">
        <v>921</v>
      </c>
      <c r="J405" s="3" t="s">
        <v>1080</v>
      </c>
      <c r="K405" s="3" t="s">
        <v>53</v>
      </c>
      <c r="L405" s="3" t="s">
        <v>872</v>
      </c>
      <c r="M405" s="3"/>
      <c r="N405" s="5" t="s">
        <v>716</v>
      </c>
      <c r="O405" s="5" t="s">
        <v>717</v>
      </c>
    </row>
    <row r="406" spans="1:15">
      <c r="A406" s="2" t="s">
        <v>727</v>
      </c>
      <c r="B406" s="6" t="s">
        <v>720</v>
      </c>
      <c r="C406" s="2" t="s">
        <v>1051</v>
      </c>
      <c r="D406" s="5" t="s">
        <v>716</v>
      </c>
      <c r="E406" s="2" t="str">
        <f>TRIM(_xlfn.TEXTBEFORE(_xlfn.TEXTAFTER(O406,"."),"(",,,, _xlfn.TEXTAFTER(O406,".")))</f>
        <v>Interest only</v>
      </c>
      <c r="F406" s="2" t="s">
        <v>1056</v>
      </c>
      <c r="G406" s="5" t="s">
        <v>217</v>
      </c>
      <c r="H406" s="2" t="s">
        <v>217</v>
      </c>
      <c r="I406" s="2" t="s">
        <v>921</v>
      </c>
      <c r="J406" s="3" t="s">
        <v>1080</v>
      </c>
      <c r="K406" s="3" t="s">
        <v>53</v>
      </c>
      <c r="L406" s="3" t="s">
        <v>872</v>
      </c>
      <c r="M406" s="3"/>
      <c r="N406" s="5" t="s">
        <v>716</v>
      </c>
      <c r="O406" s="5" t="s">
        <v>719</v>
      </c>
    </row>
    <row r="407" spans="1:15">
      <c r="A407" s="2" t="s">
        <v>727</v>
      </c>
      <c r="B407" s="6" t="s">
        <v>722</v>
      </c>
      <c r="C407" s="2" t="s">
        <v>1052</v>
      </c>
      <c r="D407" s="5" t="s">
        <v>716</v>
      </c>
      <c r="E407" s="2" t="str">
        <f>TRIM(_xlfn.TEXTBEFORE(_xlfn.TEXTAFTER(O407,"."),"(",,,, _xlfn.TEXTAFTER(O407,".")))</f>
        <v>Revolving credit</v>
      </c>
      <c r="F407" s="2" t="s">
        <v>1056</v>
      </c>
      <c r="G407" s="5" t="s">
        <v>217</v>
      </c>
      <c r="H407" s="2" t="s">
        <v>217</v>
      </c>
      <c r="I407" s="2" t="s">
        <v>921</v>
      </c>
      <c r="J407" s="3" t="s">
        <v>1080</v>
      </c>
      <c r="K407" s="3" t="s">
        <v>53</v>
      </c>
      <c r="L407" s="3" t="s">
        <v>872</v>
      </c>
      <c r="M407" s="3"/>
      <c r="N407" s="5" t="s">
        <v>716</v>
      </c>
      <c r="O407" s="5" t="s">
        <v>721</v>
      </c>
    </row>
    <row r="408" spans="1:15">
      <c r="A408" s="2" t="s">
        <v>727</v>
      </c>
      <c r="B408" s="6" t="s">
        <v>724</v>
      </c>
      <c r="C408" s="2" t="s">
        <v>1053</v>
      </c>
      <c r="D408" s="5" t="s">
        <v>716</v>
      </c>
      <c r="E408" s="2" t="str">
        <f>TRIM(_xlfn.TEXTBEFORE(_xlfn.TEXTAFTER(O408,"."),"(",,,, _xlfn.TEXTAFTER(O408,".")))</f>
        <v>Principal &amp; interest</v>
      </c>
      <c r="F408" s="2" t="s">
        <v>1056</v>
      </c>
      <c r="G408" s="5" t="s">
        <v>217</v>
      </c>
      <c r="H408" s="2" t="s">
        <v>217</v>
      </c>
      <c r="I408" s="2" t="s">
        <v>921</v>
      </c>
      <c r="J408" s="3" t="s">
        <v>1080</v>
      </c>
      <c r="K408" s="3" t="s">
        <v>53</v>
      </c>
      <c r="L408" s="3" t="s">
        <v>872</v>
      </c>
      <c r="M408" s="3"/>
      <c r="N408" s="5" t="s">
        <v>716</v>
      </c>
      <c r="O408" s="5" t="s">
        <v>723</v>
      </c>
    </row>
    <row r="409" spans="1:15">
      <c r="A409" s="2" t="s">
        <v>727</v>
      </c>
      <c r="B409" s="6" t="s">
        <v>726</v>
      </c>
      <c r="C409" s="2" t="s">
        <v>1054</v>
      </c>
      <c r="D409" s="5" t="s">
        <v>716</v>
      </c>
      <c r="E409" s="2" t="str">
        <f>TRIM(_xlfn.TEXTBEFORE(_xlfn.TEXTAFTER(O409,"."),"(",,,, _xlfn.TEXTAFTER(O409,".")))</f>
        <v>Other</v>
      </c>
      <c r="F409" s="2" t="s">
        <v>1056</v>
      </c>
      <c r="G409" s="5" t="s">
        <v>217</v>
      </c>
      <c r="H409" s="2" t="s">
        <v>217</v>
      </c>
      <c r="I409" s="2" t="s">
        <v>921</v>
      </c>
      <c r="J409" s="3" t="s">
        <v>1080</v>
      </c>
      <c r="K409" s="3" t="s">
        <v>53</v>
      </c>
      <c r="L409" s="3" t="s">
        <v>872</v>
      </c>
      <c r="M409" s="3"/>
      <c r="N409" s="5" t="s">
        <v>716</v>
      </c>
      <c r="O409" s="5" t="s">
        <v>725</v>
      </c>
    </row>
    <row r="410" spans="1:15" hidden="1">
      <c r="A410" s="8"/>
      <c r="B410" s="8"/>
      <c r="C410" s="8"/>
      <c r="D410" s="8"/>
      <c r="E410" s="8"/>
      <c r="F410" s="8"/>
      <c r="G410" s="8"/>
      <c r="H410" s="8"/>
      <c r="I410" s="8"/>
      <c r="J410" s="9"/>
      <c r="K410" s="9"/>
      <c r="L410" s="9"/>
      <c r="M410" s="9"/>
      <c r="N410" s="8"/>
      <c r="O410" s="8"/>
    </row>
    <row r="411" spans="1:15">
      <c r="A411" s="2" t="s">
        <v>907</v>
      </c>
      <c r="B411" s="2" t="s">
        <v>1057</v>
      </c>
      <c r="C411" s="2" t="s">
        <v>1057</v>
      </c>
      <c r="E411" s="2" t="s">
        <v>1057</v>
      </c>
      <c r="H411" s="2" t="s">
        <v>859</v>
      </c>
      <c r="I411" s="2" t="s">
        <v>921</v>
      </c>
      <c r="J411" s="3" t="s">
        <v>1080</v>
      </c>
      <c r="K411" s="3" t="s">
        <v>53</v>
      </c>
      <c r="L411" s="3" t="s">
        <v>873</v>
      </c>
    </row>
    <row r="412" spans="1:15">
      <c r="A412" s="2" t="s">
        <v>907</v>
      </c>
      <c r="B412" s="2" t="s">
        <v>1058</v>
      </c>
      <c r="C412" s="2" t="s">
        <v>1058</v>
      </c>
      <c r="E412" s="2" t="s">
        <v>1058</v>
      </c>
      <c r="H412" s="2" t="s">
        <v>859</v>
      </c>
      <c r="I412" s="2" t="s">
        <v>921</v>
      </c>
      <c r="J412" s="3" t="s">
        <v>1080</v>
      </c>
      <c r="K412" s="3" t="s">
        <v>53</v>
      </c>
      <c r="L412" s="3" t="s">
        <v>873</v>
      </c>
    </row>
    <row r="413" spans="1:15" hidden="1">
      <c r="A413" s="8"/>
      <c r="B413" s="8"/>
      <c r="C413" s="8"/>
      <c r="D413" s="8"/>
      <c r="E413" s="8"/>
      <c r="F413" s="8"/>
      <c r="G413" s="8"/>
      <c r="H413" s="8"/>
      <c r="I413" s="8"/>
      <c r="J413" s="9"/>
      <c r="K413" s="9"/>
      <c r="L413" s="9"/>
      <c r="M413" s="9"/>
      <c r="N413" s="8"/>
      <c r="O413" s="8"/>
    </row>
    <row r="414" spans="1:15">
      <c r="A414" s="2" t="s">
        <v>1077</v>
      </c>
      <c r="B414" s="2" t="s">
        <v>1059</v>
      </c>
      <c r="C414" s="2" t="s">
        <v>1059</v>
      </c>
      <c r="D414" s="19"/>
      <c r="I414" s="2" t="s">
        <v>921</v>
      </c>
      <c r="J414" s="3" t="s">
        <v>1080</v>
      </c>
      <c r="K414" s="3" t="s">
        <v>903</v>
      </c>
      <c r="L414" s="3" t="s">
        <v>1002</v>
      </c>
    </row>
    <row r="415" spans="1:15">
      <c r="A415" s="2" t="s">
        <v>1077</v>
      </c>
      <c r="B415" s="2" t="s">
        <v>1060</v>
      </c>
      <c r="C415" s="2" t="s">
        <v>1060</v>
      </c>
      <c r="D415" s="19"/>
      <c r="I415" s="2" t="s">
        <v>921</v>
      </c>
      <c r="J415" s="3" t="s">
        <v>1080</v>
      </c>
      <c r="K415" s="3" t="s">
        <v>903</v>
      </c>
      <c r="L415" s="3" t="s">
        <v>1002</v>
      </c>
    </row>
    <row r="416" spans="1:15">
      <c r="A416" s="2" t="s">
        <v>1077</v>
      </c>
      <c r="B416" s="2" t="s">
        <v>1061</v>
      </c>
      <c r="C416" s="2" t="s">
        <v>1061</v>
      </c>
      <c r="D416" s="19"/>
      <c r="I416" s="2" t="s">
        <v>921</v>
      </c>
      <c r="J416" s="3" t="s">
        <v>1080</v>
      </c>
      <c r="K416" s="3" t="s">
        <v>903</v>
      </c>
      <c r="L416" s="3" t="s">
        <v>1002</v>
      </c>
    </row>
    <row r="417" spans="1:12">
      <c r="A417" s="2" t="s">
        <v>1077</v>
      </c>
      <c r="B417" s="2" t="s">
        <v>1062</v>
      </c>
      <c r="C417" s="2" t="s">
        <v>1062</v>
      </c>
      <c r="D417" s="19"/>
      <c r="I417" s="2" t="s">
        <v>921</v>
      </c>
      <c r="J417" s="3" t="s">
        <v>1080</v>
      </c>
      <c r="K417" s="3" t="s">
        <v>903</v>
      </c>
      <c r="L417" s="3" t="s">
        <v>1002</v>
      </c>
    </row>
    <row r="418" spans="1:12">
      <c r="A418" s="2" t="s">
        <v>1077</v>
      </c>
      <c r="B418" s="2" t="s">
        <v>1063</v>
      </c>
      <c r="C418" s="2" t="s">
        <v>1063</v>
      </c>
      <c r="D418" s="19"/>
      <c r="I418" s="2" t="s">
        <v>921</v>
      </c>
      <c r="J418" s="3" t="s">
        <v>1080</v>
      </c>
      <c r="K418" s="3" t="s">
        <v>903</v>
      </c>
      <c r="L418" s="3" t="s">
        <v>1002</v>
      </c>
    </row>
    <row r="419" spans="1:12">
      <c r="A419" s="2" t="s">
        <v>1077</v>
      </c>
      <c r="B419" s="2" t="s">
        <v>1064</v>
      </c>
      <c r="C419" s="2" t="s">
        <v>1064</v>
      </c>
      <c r="D419" s="19"/>
      <c r="I419" s="2" t="s">
        <v>921</v>
      </c>
      <c r="J419" s="3" t="s">
        <v>1080</v>
      </c>
      <c r="K419" s="3" t="s">
        <v>903</v>
      </c>
      <c r="L419" s="3" t="s">
        <v>1002</v>
      </c>
    </row>
    <row r="420" spans="1:12">
      <c r="A420" s="2" t="s">
        <v>1077</v>
      </c>
      <c r="B420" s="2" t="s">
        <v>1065</v>
      </c>
      <c r="C420" s="2" t="s">
        <v>1065</v>
      </c>
      <c r="I420" s="2" t="s">
        <v>921</v>
      </c>
      <c r="J420" s="3" t="s">
        <v>1080</v>
      </c>
      <c r="K420" s="3" t="s">
        <v>903</v>
      </c>
      <c r="L420" s="3" t="s">
        <v>1002</v>
      </c>
    </row>
    <row r="421" spans="1:12">
      <c r="A421" s="2" t="s">
        <v>1077</v>
      </c>
      <c r="B421" s="2" t="s">
        <v>1066</v>
      </c>
      <c r="C421" s="2" t="s">
        <v>1066</v>
      </c>
      <c r="D421" s="19"/>
      <c r="I421" s="2" t="s">
        <v>921</v>
      </c>
      <c r="J421" s="3" t="s">
        <v>1080</v>
      </c>
      <c r="K421" s="3" t="s">
        <v>903</v>
      </c>
      <c r="L421" s="3" t="s">
        <v>1002</v>
      </c>
    </row>
    <row r="422" spans="1:12">
      <c r="A422" s="2" t="s">
        <v>1077</v>
      </c>
      <c r="B422" s="2" t="s">
        <v>1067</v>
      </c>
      <c r="C422" s="2" t="s">
        <v>1067</v>
      </c>
      <c r="D422" s="19"/>
      <c r="I422" s="2" t="s">
        <v>921</v>
      </c>
      <c r="J422" s="3" t="s">
        <v>1080</v>
      </c>
      <c r="K422" s="3" t="s">
        <v>903</v>
      </c>
      <c r="L422" s="3" t="s">
        <v>1002</v>
      </c>
    </row>
    <row r="423" spans="1:12">
      <c r="A423" s="2" t="s">
        <v>1077</v>
      </c>
      <c r="B423" s="2" t="s">
        <v>1068</v>
      </c>
      <c r="C423" s="2" t="s">
        <v>1068</v>
      </c>
      <c r="D423" s="19"/>
      <c r="I423" s="2" t="s">
        <v>921</v>
      </c>
      <c r="J423" s="3" t="s">
        <v>1080</v>
      </c>
      <c r="K423" s="3" t="s">
        <v>903</v>
      </c>
      <c r="L423" s="3" t="s">
        <v>1002</v>
      </c>
    </row>
    <row r="424" spans="1:12">
      <c r="A424" s="2" t="s">
        <v>1077</v>
      </c>
      <c r="B424" s="2" t="s">
        <v>1069</v>
      </c>
      <c r="C424" s="2" t="s">
        <v>1069</v>
      </c>
      <c r="D424" s="19"/>
      <c r="I424" s="2" t="s">
        <v>921</v>
      </c>
      <c r="J424" s="3" t="s">
        <v>1080</v>
      </c>
      <c r="K424" s="3" t="s">
        <v>903</v>
      </c>
      <c r="L424" s="3" t="s">
        <v>1002</v>
      </c>
    </row>
    <row r="425" spans="1:12">
      <c r="A425" s="2" t="s">
        <v>1077</v>
      </c>
      <c r="B425" s="2" t="s">
        <v>1070</v>
      </c>
      <c r="C425" s="2" t="s">
        <v>1070</v>
      </c>
      <c r="D425" s="19"/>
      <c r="I425" s="2" t="s">
        <v>921</v>
      </c>
      <c r="J425" s="3" t="s">
        <v>1080</v>
      </c>
      <c r="K425" s="3" t="s">
        <v>903</v>
      </c>
      <c r="L425" s="3" t="s">
        <v>1002</v>
      </c>
    </row>
    <row r="426" spans="1:12">
      <c r="A426" s="2" t="s">
        <v>1077</v>
      </c>
      <c r="B426" s="2" t="s">
        <v>1071</v>
      </c>
      <c r="C426" s="2" t="s">
        <v>1071</v>
      </c>
      <c r="D426" s="19"/>
      <c r="I426" s="2" t="s">
        <v>921</v>
      </c>
      <c r="J426" s="3" t="s">
        <v>1080</v>
      </c>
      <c r="K426" s="3" t="s">
        <v>903</v>
      </c>
      <c r="L426" s="3" t="s">
        <v>1002</v>
      </c>
    </row>
    <row r="427" spans="1:12">
      <c r="A427" s="2" t="s">
        <v>1077</v>
      </c>
      <c r="B427" s="2" t="s">
        <v>1072</v>
      </c>
      <c r="C427" s="2" t="s">
        <v>1072</v>
      </c>
      <c r="D427" s="19"/>
      <c r="I427" s="2" t="s">
        <v>921</v>
      </c>
      <c r="J427" s="3" t="s">
        <v>1080</v>
      </c>
      <c r="K427" s="3" t="s">
        <v>903</v>
      </c>
      <c r="L427" s="3" t="s">
        <v>1002</v>
      </c>
    </row>
    <row r="428" spans="1:12">
      <c r="A428" s="2" t="s">
        <v>1077</v>
      </c>
      <c r="B428" s="2" t="s">
        <v>1073</v>
      </c>
      <c r="C428" s="2" t="s">
        <v>1073</v>
      </c>
      <c r="D428" s="19"/>
      <c r="I428" s="2" t="s">
        <v>921</v>
      </c>
      <c r="J428" s="3" t="s">
        <v>1080</v>
      </c>
      <c r="K428" s="3" t="s">
        <v>903</v>
      </c>
      <c r="L428" s="3" t="s">
        <v>1002</v>
      </c>
    </row>
    <row r="429" spans="1:12">
      <c r="A429" s="2" t="s">
        <v>1077</v>
      </c>
      <c r="B429" s="2" t="s">
        <v>1074</v>
      </c>
      <c r="C429" s="2" t="s">
        <v>1074</v>
      </c>
      <c r="D429" s="19"/>
      <c r="I429" s="2" t="s">
        <v>921</v>
      </c>
      <c r="J429" s="3" t="s">
        <v>1080</v>
      </c>
      <c r="K429" s="3" t="s">
        <v>903</v>
      </c>
      <c r="L429" s="3" t="s">
        <v>1002</v>
      </c>
    </row>
    <row r="430" spans="1:12">
      <c r="A430" s="2" t="s">
        <v>1077</v>
      </c>
      <c r="B430" s="2" t="s">
        <v>1075</v>
      </c>
      <c r="C430" s="2" t="s">
        <v>1075</v>
      </c>
      <c r="D430" s="19"/>
      <c r="I430" s="2" t="s">
        <v>921</v>
      </c>
      <c r="J430" s="3" t="s">
        <v>1080</v>
      </c>
      <c r="K430" s="3" t="s">
        <v>903</v>
      </c>
      <c r="L430" s="3" t="s">
        <v>1002</v>
      </c>
    </row>
    <row r="431" spans="1:12">
      <c r="A431" s="2" t="s">
        <v>1077</v>
      </c>
      <c r="B431" s="2" t="s">
        <v>1076</v>
      </c>
      <c r="C431" s="2" t="s">
        <v>1076</v>
      </c>
      <c r="D431" s="19"/>
      <c r="I431" s="2" t="s">
        <v>921</v>
      </c>
      <c r="J431" s="3" t="s">
        <v>1080</v>
      </c>
      <c r="K431" s="3" t="s">
        <v>903</v>
      </c>
      <c r="L431" s="3" t="s">
        <v>1002</v>
      </c>
    </row>
    <row r="432" spans="1:12" hidden="1"/>
    <row r="433" spans="1:15" hidden="1">
      <c r="A433" s="8"/>
      <c r="B433" s="8"/>
      <c r="C433" s="8"/>
      <c r="D433" s="8"/>
      <c r="E433" s="8"/>
      <c r="F433" s="8"/>
      <c r="G433" s="8"/>
      <c r="H433" s="8"/>
      <c r="I433" s="8"/>
      <c r="J433" s="9"/>
      <c r="K433" s="9"/>
      <c r="L433" s="9"/>
      <c r="M433" s="9"/>
      <c r="N433" s="8"/>
      <c r="O433" s="8"/>
    </row>
    <row r="434" spans="1:15">
      <c r="A434" s="2" t="s">
        <v>1093</v>
      </c>
      <c r="B434" s="2" t="s">
        <v>1085</v>
      </c>
      <c r="C434" s="2" t="s">
        <v>1085</v>
      </c>
      <c r="H434" s="2" t="s">
        <v>859</v>
      </c>
      <c r="I434" s="2" t="s">
        <v>921</v>
      </c>
      <c r="J434" s="3" t="s">
        <v>1080</v>
      </c>
      <c r="K434" s="3" t="s">
        <v>903</v>
      </c>
      <c r="L434" s="3" t="s">
        <v>1094</v>
      </c>
    </row>
    <row r="435" spans="1:15">
      <c r="A435" s="2" t="s">
        <v>1093</v>
      </c>
      <c r="B435" s="2" t="s">
        <v>1086</v>
      </c>
      <c r="C435" s="2" t="s">
        <v>1086</v>
      </c>
      <c r="D435" s="19"/>
      <c r="H435" s="2" t="s">
        <v>859</v>
      </c>
      <c r="I435" s="2" t="s">
        <v>921</v>
      </c>
      <c r="J435" s="3" t="s">
        <v>1080</v>
      </c>
      <c r="K435" s="3" t="s">
        <v>903</v>
      </c>
      <c r="L435" s="3" t="s">
        <v>1094</v>
      </c>
    </row>
    <row r="436" spans="1:15">
      <c r="A436" s="2" t="s">
        <v>1093</v>
      </c>
      <c r="B436" s="2" t="s">
        <v>1087</v>
      </c>
      <c r="C436" s="2" t="s">
        <v>1087</v>
      </c>
      <c r="D436" s="19"/>
      <c r="H436" s="2" t="s">
        <v>859</v>
      </c>
      <c r="I436" s="2" t="s">
        <v>921</v>
      </c>
      <c r="J436" s="3" t="s">
        <v>1080</v>
      </c>
      <c r="K436" s="3" t="s">
        <v>903</v>
      </c>
      <c r="L436" s="3" t="s">
        <v>1094</v>
      </c>
    </row>
    <row r="437" spans="1:15">
      <c r="A437" s="2" t="s">
        <v>1093</v>
      </c>
      <c r="B437" s="2" t="s">
        <v>1088</v>
      </c>
      <c r="C437" s="2" t="s">
        <v>1088</v>
      </c>
      <c r="H437" s="2" t="s">
        <v>859</v>
      </c>
      <c r="I437" s="2" t="s">
        <v>921</v>
      </c>
      <c r="J437" s="3" t="s">
        <v>1080</v>
      </c>
      <c r="K437" s="3" t="s">
        <v>903</v>
      </c>
      <c r="L437" s="3" t="s">
        <v>1094</v>
      </c>
    </row>
    <row r="438" spans="1:15">
      <c r="A438" s="2" t="s">
        <v>1093</v>
      </c>
      <c r="B438" s="2" t="s">
        <v>1089</v>
      </c>
      <c r="C438" s="2" t="s">
        <v>1089</v>
      </c>
      <c r="H438" s="2" t="s">
        <v>859</v>
      </c>
      <c r="I438" s="2" t="s">
        <v>921</v>
      </c>
      <c r="J438" s="3" t="s">
        <v>1080</v>
      </c>
      <c r="K438" s="3" t="s">
        <v>903</v>
      </c>
      <c r="L438" s="3" t="s">
        <v>1094</v>
      </c>
    </row>
    <row r="439" spans="1:15">
      <c r="A439" s="2" t="s">
        <v>1093</v>
      </c>
      <c r="B439" s="2" t="s">
        <v>1090</v>
      </c>
      <c r="C439" s="2" t="s">
        <v>1090</v>
      </c>
      <c r="H439" s="2" t="s">
        <v>859</v>
      </c>
      <c r="I439" s="2" t="s">
        <v>921</v>
      </c>
      <c r="J439" s="3" t="s">
        <v>1080</v>
      </c>
      <c r="K439" s="3" t="s">
        <v>903</v>
      </c>
      <c r="L439" s="3" t="s">
        <v>1094</v>
      </c>
    </row>
    <row r="440" spans="1:15">
      <c r="A440" s="2" t="s">
        <v>1093</v>
      </c>
      <c r="B440" s="2" t="s">
        <v>1091</v>
      </c>
      <c r="C440" s="2" t="s">
        <v>1091</v>
      </c>
      <c r="H440" s="2" t="s">
        <v>859</v>
      </c>
      <c r="I440" s="2" t="s">
        <v>921</v>
      </c>
      <c r="J440" s="3" t="s">
        <v>1080</v>
      </c>
      <c r="K440" s="3" t="s">
        <v>903</v>
      </c>
      <c r="L440" s="3" t="s">
        <v>1094</v>
      </c>
    </row>
    <row r="441" spans="1:15">
      <c r="A441" s="2" t="s">
        <v>1093</v>
      </c>
      <c r="B441" s="2" t="s">
        <v>1092</v>
      </c>
      <c r="C441" s="2" t="s">
        <v>1092</v>
      </c>
      <c r="H441" s="2" t="s">
        <v>859</v>
      </c>
      <c r="I441" s="2" t="s">
        <v>921</v>
      </c>
      <c r="J441" s="3" t="s">
        <v>1080</v>
      </c>
      <c r="K441" s="3" t="s">
        <v>903</v>
      </c>
      <c r="L441" s="3" t="s">
        <v>1094</v>
      </c>
    </row>
    <row r="442" spans="1:15" hidden="1">
      <c r="A442" s="8"/>
      <c r="B442" s="8"/>
      <c r="C442" s="8"/>
      <c r="D442" s="8"/>
      <c r="E442" s="8"/>
      <c r="F442" s="8"/>
      <c r="G442" s="8"/>
      <c r="H442" s="8"/>
      <c r="I442" s="8"/>
      <c r="J442" s="9"/>
      <c r="K442" s="9"/>
      <c r="L442" s="9"/>
      <c r="M442" s="9"/>
      <c r="N442" s="8"/>
      <c r="O442" s="8"/>
    </row>
    <row r="443" spans="1:15">
      <c r="A443" s="2" t="s">
        <v>1095</v>
      </c>
      <c r="B443" s="2" t="s">
        <v>1095</v>
      </c>
      <c r="C443" s="2" t="s">
        <v>1096</v>
      </c>
      <c r="I443" s="2" t="s">
        <v>921</v>
      </c>
      <c r="J443" s="3" t="s">
        <v>1080</v>
      </c>
      <c r="K443" s="3" t="s">
        <v>903</v>
      </c>
      <c r="L443" s="3" t="s">
        <v>1094</v>
      </c>
    </row>
  </sheetData>
  <autoFilter ref="A1:O443" xr:uid="{7951F0BF-F4F4-4018-91DD-7578A3106959}">
    <filterColumn colId="2">
      <customFilters>
        <customFilter operator="notEqual" val=" "/>
      </customFilters>
    </filterColumn>
  </autoFilter>
  <phoneticPr fontId="9" type="noConversion"/>
  <hyperlinks>
    <hyperlink ref="B3" location="'Data'!R5C2" display="EXRT.DS41.NZB17" xr:uid="{69299981-771A-4315-999E-74B10E059EDE}"/>
    <hyperlink ref="B4" location="'Data'!R5C3" display="EXR.DS11.D06" xr:uid="{DAB2661C-848A-4C8E-92D7-898FB7F1491B}"/>
    <hyperlink ref="B5" location="'Data'!R5C4" display="EXR.DS11.D04" xr:uid="{D6ED09B7-7909-4AF7-B776-524DA0A8D84E}"/>
    <hyperlink ref="B6" location="'Data'!R5C5" display="EXR.DS11.D01" xr:uid="{91DC7F0B-1FFA-4930-B95A-001FAEFFBC39}"/>
    <hyperlink ref="B7" location="'Data'!R5C6" display="EXR.DS11.D05" xr:uid="{BB97DB70-2073-4F01-9FB0-01C6596C432A}"/>
    <hyperlink ref="B8" location="'Data'!R5C7" display="EXR.DS11.D03" xr:uid="{6AE425D4-BE2B-4902-B815-27D93977BE9B}"/>
    <hyperlink ref="B9" location="'Data'!R5C8" display="EXR.DS11.D02" xr:uid="{44F757C8-E44A-48A8-974A-3B83ADB09AC7}"/>
    <hyperlink ref="B10" location="'Data'!R5C9" display="EXR.DS11.D12" xr:uid="{76899219-C599-4D00-90B2-2438112FDB5A}"/>
    <hyperlink ref="B11" location="'Data'!R5C10" display="EXR.DS11.D11" xr:uid="{7A5ADE63-F18D-4289-B3B2-DF1DFA584DB3}"/>
    <hyperlink ref="B12" location="'Data'!R5C11" display="EXR.DS11.D14" xr:uid="{EE85BC86-E93F-400D-BB48-F6FAD53CDD22}"/>
    <hyperlink ref="B13" location="'Data'!R5C12" display="EXR.DS11.D08" xr:uid="{07201888-764B-45AD-9F4F-1A7644B66256}"/>
    <hyperlink ref="B14" location="'Data'!R5C13" display="EXR.DS11.D13" xr:uid="{159BF04F-4196-401F-AD1A-85BE2C839967}"/>
    <hyperlink ref="B15" location="'Data'!R5C14" display="EXR.DS11.D15" xr:uid="{BF442C1F-A2C1-48F5-8C15-C6161152A311}"/>
    <hyperlink ref="B16" location="'Data'!R5C15" display="EXR.DS11.D09" xr:uid="{8387CC89-D6AB-4681-AC29-D9AA1F619D0D}"/>
    <hyperlink ref="B17" location="'Data'!R5C16" display="EXR.DS11.D16" xr:uid="{2A49B2E8-9890-4488-BFB8-94D0238A0AFE}"/>
    <hyperlink ref="B18" location="'Data'!R5C17" display="EXR.DS11.D31" xr:uid="{4A893C5B-8171-4DC7-B24B-2D21B173ADBF}"/>
    <hyperlink ref="B19" location="'Data'!R5C18" display="EXR.DS11.D32" xr:uid="{70C939E8-193B-491E-851C-71129B79F6B6}"/>
    <hyperlink ref="B20" location="'Data'!R5C19" display="EXR.DS11.D33" xr:uid="{53602C43-2403-4EFF-AA84-5682E78E31D9}"/>
    <hyperlink ref="B21" location="'Data'!R5C20" display="EXRT.DS41.N" xr:uid="{6DA3D948-0126-4428-B31F-36396F2A8459}"/>
    <hyperlink ref="B101" location="'Data'!R5C2" display="CPI.Q.C.ia" xr:uid="{FABF7E9C-F7FF-4CC4-831F-C83137FCBA33}"/>
    <hyperlink ref="B102" location="'Data'!R5C3" display="CPI.Q.C.iaq" xr:uid="{2923E4B4-F058-4CB5-9E2E-4E36E5E64CA5}"/>
    <hyperlink ref="B103" location="'Data'!R5C4" display="CPI.Q.C.iay" xr:uid="{384DA911-BA0F-4770-BB42-D7722F6CFBA6}"/>
    <hyperlink ref="B104" location="'Data'!R5C5" display="CPIT.Q.C.ia" xr:uid="{755FAF95-E5A1-453B-B01E-A36EF5932005}"/>
    <hyperlink ref="B105" location="'Data'!R5C6" display="CPIT.Q.C.iaq" xr:uid="{C82D4246-F678-4C13-B0C0-C812A509E9FA}"/>
    <hyperlink ref="B106" location="'Data'!R5C7" display="CPIT.Q.C.iay" xr:uid="{29B0F020-1470-4B37-90D8-DEBC4CC1BAA0}"/>
    <hyperlink ref="B107" location="'Data'!R5C8" display="CPIN.Q.C.ia" xr:uid="{A4CCAD60-6325-4286-8D71-BA45BC1F5AC9}"/>
    <hyperlink ref="B108" location="'Data'!R5C9" display="CPIN.Q.C.iaq" xr:uid="{A55E1C61-154D-4C09-8441-A197BD577E1C}"/>
    <hyperlink ref="B109" location="'Data'!R5C10" display="CPIN.Q.C.iay" xr:uid="{1FE4CF22-3DEB-4488-B3A9-7C5AB9BB5453}"/>
    <hyperlink ref="B110" location="'Data'!R5C11" display="CPI.Q.C01.ia" xr:uid="{D8A82C30-B731-4D04-B9D5-27790DBEB564}"/>
    <hyperlink ref="B111" location="'Data'!R5C12" display="CPI.Q.C01.iaq" xr:uid="{2527B241-8556-437E-8D56-7BE15FFE4E8A}"/>
    <hyperlink ref="B112" location="'Data'!R5C13" display="CPI.Q.C01.iay" xr:uid="{A204A069-C005-4C34-AEED-B0CEDE6AF308}"/>
    <hyperlink ref="B113" location="'Data'!R5C14" display="CPI.Q.C04.ia" xr:uid="{E14332B5-03AA-4A42-96F6-09D84A8BA42E}"/>
    <hyperlink ref="B114" location="'Data'!R5C15" display="CPI.Q.C04.iaq" xr:uid="{74F0DBB7-3D05-4E44-81CD-85E027F36E77}"/>
    <hyperlink ref="B115" location="'Data'!R5C16" display="CPI.Q.C04.iay" xr:uid="{74156C2B-35F0-4E13-8978-6F158432647D}"/>
    <hyperlink ref="B116" location="'Data'!R5C17" display="CPI.Q.C07.ia" xr:uid="{41463D61-617D-4EBF-9158-5C56C61E73D4}"/>
    <hyperlink ref="B117" location="'Data'!R5C18" display="CPI.Q.C07.iaq" xr:uid="{8F667527-C64F-4A40-82CA-14B856C56F2E}"/>
    <hyperlink ref="B118" location="'Data'!R5C19" display="CPI.Q.C07.iay" xr:uid="{079266FD-BF19-4C3C-8041-3B9623758F44}"/>
    <hyperlink ref="B119" location="'Data'!R5C20" display="CPI.Q.C07202.ia" xr:uid="{331C6EAA-4B22-4556-BF16-086505091226}"/>
    <hyperlink ref="B120" location="'Data'!R5C21" display="CPI.Q.C07202.iaq" xr:uid="{DC91EAD7-D4D1-46A5-90B2-BBC2B6DDD045}"/>
    <hyperlink ref="B121" location="'Data'!R5C22" display="CPI.Q.C07202.iay" xr:uid="{A2CB581D-5178-4B03-9625-F3EA3764EF5C}"/>
    <hyperlink ref="B122" location="'Data'!R5C23" display="CPI.Q.ZC21.ia" xr:uid="{A6AB528C-B418-4F12-AF1B-4FDFBE18127C}"/>
    <hyperlink ref="B123" location="'Data'!R5C24" display="CPI.Q.ZC21.iaq" xr:uid="{0A9418BC-46F0-4E22-AA91-96C7E91DD454}"/>
    <hyperlink ref="B124" location="'Data'!R5C25" display="CPI.Q.ZC21.iay" xr:uid="{B11B59BE-7911-4C7F-87EB-41CFD7363510}"/>
    <hyperlink ref="B125" location="'Data'!R5C26" display="CPI.Q.ZC40.iaq" xr:uid="{1B41B272-7514-45E4-92E8-8718327F29ED}"/>
    <hyperlink ref="B126" location="'Data'!R5C27" display="CPIM.Q.C40T10B17.iay" xr:uid="{FB7B18AC-CBC3-4E2A-A4DB-28E58D73A579}"/>
    <hyperlink ref="B127" location="'Data'!R5C28" display="CPI.Q.ZC41.iaq" xr:uid="{85A90A0C-B7AE-4CF4-9482-D717D1D214EF}"/>
    <hyperlink ref="B128" location="'Data'!R5C29" display="CPIW.Q.C41P50B17.iay" xr:uid="{4A87A88B-30F4-4411-A9C5-AA64B1431656}"/>
    <hyperlink ref="B129" location="'Data'!R5C30" display="CPI.Q.ZC42.iay" xr:uid="{72CE4233-4E8B-4B1E-8666-1B4FB35C06CB}"/>
    <hyperlink ref="B130" location="'Data'!R5C31" display="CPI.Q.ZC43.iay" xr:uid="{C348FFE5-A21B-407C-B658-4233C5EA9AD2}"/>
    <hyperlink ref="B131" location="'Data'!R5C32" display="CPI.Q.ZC431.iay" xr:uid="{3DF35315-CB86-4FE0-85AB-B50345922167}"/>
    <hyperlink ref="B132" location="'Data'!R5C33" display="CPI.Q.ZC432.iay" xr:uid="{338D5CE5-F1B5-491F-B3FB-97EE93B186D4}"/>
    <hyperlink ref="B133" location="'Data'!R5C34" display="HPI.Q.H01T0.ia" xr:uid="{D9D27558-5310-4B49-B763-7FA9AB0D27ED}"/>
    <hyperlink ref="B134" location="'Data'!R5C35" display="HPI.Q.H01T0.iaq" xr:uid="{F42BB119-CC0E-4B35-9DBA-E6066F8C310F}"/>
    <hyperlink ref="B135" location="'Data'!R5C36" display="HPI.Q.H01T0.iay" xr:uid="{FCD40964-4AC5-4770-8F28-7597C2290A46}"/>
    <hyperlink ref="B136" location="'Data'!R5C37" display="GDE.Q.DY.RS" xr:uid="{E00865E6-B626-44D2-8460-4693D5ABB585}"/>
    <hyperlink ref="B137" location="'Data'!R5C38" display="GDE.Q.DY.rsq" xr:uid="{89EA622D-38D8-4FB2-856F-C7D5768A08E2}"/>
    <hyperlink ref="B138" location="'Data'!R5C39" display="GDE.Q.DY.rsy" xr:uid="{771CFEEF-96F2-4A9C-BBCB-83FF00646719}"/>
    <hyperlink ref="B139" location="'Data'!R5C40" display="PPI06.Q.T0I1.ia" xr:uid="{44055BD4-ACE7-4E20-8348-D2931928E5B0}"/>
    <hyperlink ref="B140" location="'Data'!R5C41" display="PPI06.Q.T0I1.iaq" xr:uid="{E26CF8B2-92D5-4859-8D41-F94371776AA0}"/>
    <hyperlink ref="B141" location="'Data'!R5C42" display="PPI06.Q.T0I1.iay" xr:uid="{7011FC59-743E-45CF-9300-183741AC6EF5}"/>
    <hyperlink ref="B142" location="'Data'!R5C43" display="PPI06.Q.T0I2.ia" xr:uid="{E27C4213-CC8C-416A-BAB8-8F0E161C15CD}"/>
    <hyperlink ref="B143" location="'Data'!R5C44" display="PPI06.Q.T0I2.iaq" xr:uid="{E0D1ABDC-F7A7-4539-B0FE-6BFC2B69001E}"/>
    <hyperlink ref="B144" location="'Data'!R5C45" display="PPI06.Q.T0I2.iay" xr:uid="{EEA3E8D3-8838-4F90-8D74-9DEFF07B6476}"/>
    <hyperlink ref="B146" location="'Data'!R5C2" display="RTS06.Q.S1G.na" xr:uid="{84C5DA1A-F2EF-44CA-918F-03F09C7612BE}"/>
    <hyperlink ref="B147" location="'Data'!R5C3" display="RTS06.Q.S1G.ns" xr:uid="{E16C06BA-A134-42FF-A852-5AB44740E4E8}"/>
    <hyperlink ref="B148" location="'Data'!R5C4" display="RTS06.Q.S1G.nsq" xr:uid="{B68E18CC-938A-4BFD-A800-9CB90274EB5D}"/>
    <hyperlink ref="B149" location="'Data'!R5C5" display="RTS06.Q.S1G.nay" xr:uid="{29F3BE8F-CFB7-4B63-B2C6-900BCABBBBE9}"/>
    <hyperlink ref="B150" location="'Data'!R5C6" display="RTS06.Q.S1G.ra" xr:uid="{BE523870-6C9D-41D6-9CBD-76E6422D4377}"/>
    <hyperlink ref="B151" location="'Data'!R5C7" display="RTS06.Q.S1G.rs" xr:uid="{1F1BC99F-F558-4F46-B79C-0217E3AFE1F2}"/>
    <hyperlink ref="B152" location="'Data'!R5C8" display="RTS06.Q.S1G.rsq" xr:uid="{F1512982-7CDF-4A4B-80BA-F916527FC63D}"/>
    <hyperlink ref="B153" location="'Data'!R5C9" display="RTS06.Q.S1G.ray" xr:uid="{1C61FC5D-1238-4CDF-9012-109AD12FAC0E}"/>
    <hyperlink ref="B154" location="'Data'!R5C10" display="GDE.Q.EC1.RA" xr:uid="{AA0175AC-2E38-4B69-BBBD-7789CDB9655D}"/>
    <hyperlink ref="B155" location="'Data'!R5C11" display="GDE.Q.EC1.RS" xr:uid="{2ACB539D-03D7-4DD3-8D5E-3B83CF510EA4}"/>
    <hyperlink ref="B156" location="'Data'!R5C12" display="GDE.Q.EC1.rsq" xr:uid="{279D0A6A-4D16-492E-BBF4-EEA199873BC1}"/>
    <hyperlink ref="B157" location="'Data'!R5C13" display="GDE.Q.EC1.ray" xr:uid="{592BAF10-759B-47CB-8A59-A3AB9DC64AA5}"/>
    <hyperlink ref="B158" location="'Data'!R5C14" display="GDE.Q.EG13.RA" xr:uid="{D630585E-E380-4FED-A370-6A278CED5894}"/>
    <hyperlink ref="B159" location="'Data'!R5C15" display="GDE.Q.EG13.RS" xr:uid="{D476711F-B1DB-48F8-8269-D36513C55BF9}"/>
    <hyperlink ref="B160" location="'Data'!R5C16" display="GDE.Q.EG13.rsq" xr:uid="{088B96E6-30C1-4806-AA2C-470ED575647F}"/>
    <hyperlink ref="B161" location="'Data'!R5C17" display="GDE.Q.EG13.ray" xr:uid="{92209B8B-FC2B-43B7-B47C-382608EAF63D}"/>
    <hyperlink ref="B163" location="'Data'!R5C2" display="QBLD.Q.B11N1BZR1.ns" xr:uid="{D9A355D8-624F-4186-8B40-748D33EAA8EF}"/>
    <hyperlink ref="B164" location="'Data'!R5C3" display="QBLD.Q.B11N1BZR1.nsq" xr:uid="{04723FEA-E64B-45BB-ABCB-39324E98ACD2}"/>
    <hyperlink ref="B165" location="'Data'!R5C4" display="GDE.Q.EI24.RA" xr:uid="{68CF62E4-F1F3-4409-B2E1-CCE7B3C200A4}"/>
    <hyperlink ref="B166" location="'Data'!R5C5" display="GDE.Q.EI24.RS" xr:uid="{5554BB7E-316B-42C7-A28D-64D703172E25}"/>
    <hyperlink ref="B167" location="'Data'!R5C6" display="GDE.Q.EI24.rsq" xr:uid="{8C5D7FE6-63B6-466B-85D0-3837133965B7}"/>
    <hyperlink ref="B168" location="'Data'!R5C7" display="GDE.Q.EI24.ray" xr:uid="{A64DACC3-9A07-4F6A-9CB8-58C47FABE1AC}"/>
    <hyperlink ref="B169" location="'Data'!R5C8" display="GDE.Q.EI25.RA" xr:uid="{9302D24A-17B6-4687-9ECA-F7A2008AEFEC}"/>
    <hyperlink ref="B170" location="'Data'!R5C9" display="GDE.Q.EI25.RS" xr:uid="{A4639B31-E55E-4566-BA32-278A69494A5C}"/>
    <hyperlink ref="B171" location="'Data'!R5C10" display="GDE.Q.EI25.rsq" xr:uid="{179E2AB0-144F-44BA-B3E2-7FCF43C6B8C4}"/>
    <hyperlink ref="B172" location="'Data'!R5C11" display="GDE.Q.EI25.ray" xr:uid="{306DF118-9CCF-497A-9731-F5490557CB7E}"/>
    <hyperlink ref="B173" location="'Data'!R5C12" display="GDE.Q.EI23.RA" xr:uid="{7A729D54-1203-4A02-9CEA-10FE8EF6AA21}"/>
    <hyperlink ref="B174" location="'Data'!R5C13" display="GDE.Q.EI23.RS" xr:uid="{1274B64E-7042-45AF-A4F8-E39731719B88}"/>
    <hyperlink ref="B187" location="'Data'!R5C2" display="RTS06.Q.S1G.na" xr:uid="{B34883A3-55F5-41CF-A113-1E29E4C90EF6}"/>
    <hyperlink ref="B186" location="'Data'!R5C3" display="RTS06.Q.S1G.ns" xr:uid="{2C338BE3-8A1F-4AC0-8D7F-7CFE2DE34D1B}"/>
    <hyperlink ref="B188" location="'Data'!R5C4" display="RTS06.Q.S1G.nsq" xr:uid="{CDF6D0E8-889E-485D-A60E-064DEDB743CC}"/>
    <hyperlink ref="B189" location="'Data'!R5C5" display="RTS06.Q.S1G.nay" xr:uid="{A07AFF7B-BB2D-4600-B226-668951DC0005}"/>
    <hyperlink ref="B190" location="'Data'!R5C6" display="RTS06.Q.VG.na" xr:uid="{48DD32CD-C2B3-4748-A1B6-7165C2322A66}"/>
    <hyperlink ref="B191" location="'Data'!R5C7" display="RTS06.Q.VG.nay" xr:uid="{C1DDB16A-DF81-444C-A605-1DA48C1016CD}"/>
    <hyperlink ref="B193" location="'Data'!R5C8" display="WTS06.Q.S1F0.na" xr:uid="{95C11BCB-810A-46EA-9E53-A46FC0EA2444}"/>
    <hyperlink ref="B192" location="'Data'!R5C9" display="WTS06.Q.S1F0.ns" xr:uid="{4EFC5BCF-DE16-4E7B-B80F-6D3317C73FB4}"/>
    <hyperlink ref="B194" location="'Data'!R5C10" display="WTS06.Q.S1F0.nsq" xr:uid="{6696B2F4-839D-481A-846B-49D51A94EB45}"/>
    <hyperlink ref="B195" location="'Data'!R5C11" display="WTS06.Q.S1F0.nay" xr:uid="{449E52F4-A5B0-4FD6-A034-7D062DF7504E}"/>
    <hyperlink ref="B196" location="'Data'!R5C12" display="WTS06.Q.VF0.na" xr:uid="{453EBC5F-89CD-475C-9E87-AB77CE6BC1D2}"/>
    <hyperlink ref="B197" location="'Data'!R5C13" display="WTS06.Q.VF0.nay" xr:uid="{F9CF79C6-9C59-4ED7-8E34-0FF605F3C178}"/>
    <hyperlink ref="B177" location="'Data'!R5C14" display="MAN06.Q.S1C0.na" xr:uid="{F58EC8DD-5208-49B5-86D5-B23F75C3CE3F}"/>
    <hyperlink ref="B176" location="'Data'!R5C15" display="MAN06.Q.S1C0.ns" xr:uid="{12E7EB6A-34D8-4B1E-B174-B4C209C689D5}"/>
    <hyperlink ref="B178" location="'Data'!R5C16" display="MAN06.Q.S1C0.nsq" xr:uid="{B8A35F5F-B49D-4CAC-BD71-502203645A1A}"/>
    <hyperlink ref="B179" location="'Data'!R5C17" display="MAN06.Q.S1C0.nay" xr:uid="{B81E294C-E80A-4671-A852-D07D81019B8B}"/>
    <hyperlink ref="B180" location="'Data'!R5C18" display="MAN06.Q.VC0.na" xr:uid="{C6D2C748-7F40-42CB-A56D-C4BDA2D87EBE}"/>
    <hyperlink ref="B181" location="'Data'!R5C19" display="MAN06.Q.VC0.nay" xr:uid="{3E547D7B-00A4-42B1-87C6-6F0C2D616924}"/>
    <hyperlink ref="B183" location="'Data'!R5C20" display="MAN06.Q.S1C111.na" xr:uid="{27BC5A6F-3548-437D-BE25-5B3556B02EF7}"/>
    <hyperlink ref="B182" location="'Data'!R5C21" display="MAN06.Q.S1C111.ns" xr:uid="{79BDA3A8-47C6-4DDD-84A0-C629E21E7979}"/>
    <hyperlink ref="B184" location="'Data'!R5C22" display="MAN06.Q.S1C111.nsq" xr:uid="{8B8F37A2-4290-4682-9032-FC6C99659D02}"/>
    <hyperlink ref="B185" location="'Data'!R5C23" display="MAN06.Q.S1C111.nay" xr:uid="{3DD39B8A-E990-46E9-97F0-F96F7F70F0EC}"/>
    <hyperlink ref="B199" location="'Data'!R5C2" display="GDP06.Q.QT0.ra" xr:uid="{1C4F86E3-9335-4EA9-B54B-B40E7023E00B}"/>
    <hyperlink ref="B200" location="'Data'!R5C3" display="GDP06.Q.QT0.rs" xr:uid="{D16F9683-D34F-49D0-B56D-BD60CD19BF35}"/>
    <hyperlink ref="B201" location="'Data'!R5C4" display="GDP06.Q.QT0.rsq" xr:uid="{95F99A07-A490-401B-8F51-7D5DE436FEDB}"/>
    <hyperlink ref="B202" location="'Data'!R5C5" display="GDP06.Q.QT0.ray" xr:uid="{A6C3B44B-6863-473C-8F47-7B5AD91EF866}"/>
    <hyperlink ref="B203" location="'Data'!R5C6" display="GDE.Q.EY.NA" xr:uid="{4F771AB5-96EC-49BB-B97F-DFAA3DCBC64F}"/>
    <hyperlink ref="B204" location="'Data'!R5C7" display="GDE.Q.EY.NS" xr:uid="{76E334BE-8042-403D-803A-C941B1243A74}"/>
    <hyperlink ref="B205" location="'Data'!R5C8" display="GDE.Q.EY.nsq" xr:uid="{38843596-1CF4-4ED8-8274-E41C1728D273}"/>
    <hyperlink ref="B206" location="'Data'!R5C9" display="GDE.Q.EY.nay" xr:uid="{840AD547-E85A-457E-A26A-71AD6959597F}"/>
    <hyperlink ref="B207" location="'Data'!R5C10" display="GDE.Q.EY.RA" xr:uid="{E18FAD3C-D25A-47B2-AD46-F076AA39D0CA}"/>
    <hyperlink ref="B208" location="'Data'!R5C11" display="GDE.Q.EY.RS" xr:uid="{0905573E-22A7-4D68-B0EC-CB83B401D08F}"/>
    <hyperlink ref="B209" location="'Data'!R5C12" display="GDE.Q.EY.rsq" xr:uid="{E7832473-B07A-4B76-9159-BEA3B1CF1E55}"/>
    <hyperlink ref="B210" location="'Data'!R5C13" display="GDE.Q.EY.ray" xr:uid="{F7719074-94D0-4F7B-9A4A-A13B31DB8A05}"/>
    <hyperlink ref="B211" location="'Data'!R5C14" display="GDE.Q.EC1.NA" xr:uid="{9DA3B20E-234E-4E21-A730-6F2FD3D712B1}"/>
    <hyperlink ref="B212" location="'Data'!R5C15" display="GDE.Q.EC1.NS" xr:uid="{EF98AC93-6E26-42F0-B3C4-49F0FFA19E8C}"/>
    <hyperlink ref="B213" location="'Data'!R5C16" display="GDE.Q.EC1.nsq" xr:uid="{38FCBE1F-091F-473C-8177-D8A6D2052314}"/>
    <hyperlink ref="B214" location="'Data'!R5C17" display="GDE.Q.EC1.nay" xr:uid="{DA0FA1E3-1D7B-44F2-8A55-12E1724F0C40}"/>
    <hyperlink ref="B215" location="'Data'!R5C18" display="GDE.Q.EC1.RA" xr:uid="{8E4B6653-BC40-4943-98E6-AF67C2C8B3AA}"/>
    <hyperlink ref="B216" location="'Data'!R5C19" display="GDE.Q.EC1.RS" xr:uid="{11A682BA-5454-4A89-B0E9-A716BAA06342}"/>
    <hyperlink ref="B217" location="'Data'!R5C20" display="GDE.Q.EC1.rsq" xr:uid="{455568A5-CEA4-45BA-921A-BCD3CA6698D7}"/>
    <hyperlink ref="B218" location="'Data'!R5C21" display="GDE.Q.EC1.ray" xr:uid="{E5A8CD61-3B74-47B2-82A4-FDF69161EF7B}"/>
    <hyperlink ref="B219" location="'Data'!R5C22" display="GDE.Q.EG13.NA" xr:uid="{47C673AD-DBDB-4C3B-9BD3-6E22A2CFEB7A}"/>
    <hyperlink ref="B220" location="'Data'!R5C23" display="GDE.Q.EG13.NS" xr:uid="{A0EA3AAB-B803-48AE-BC78-6008256D8721}"/>
    <hyperlink ref="B221" location="'Data'!R5C24" display="GDE.Q.EG13.nsq" xr:uid="{03E8FF21-5823-4916-AD1C-70C5DA0DD8A4}"/>
    <hyperlink ref="B222" location="'Data'!R5C25" display="GDE.Q.EG13.nay" xr:uid="{9A5A4A9F-8ADC-4C02-B9AE-5E59A4D8AA19}"/>
    <hyperlink ref="B223" location="'Data'!R5C26" display="GDE.Q.EG13.RA" xr:uid="{7A26B95C-90B1-4205-99AD-CA97DD9CE7DE}"/>
    <hyperlink ref="B224" location="'Data'!R5C27" display="GDE.Q.EG13.RS" xr:uid="{CD62EF7E-9F06-456E-A073-91933D7BBF44}"/>
    <hyperlink ref="B225" location="'Data'!R5C28" display="GDE.Q.EG13.rsq" xr:uid="{101A9571-5466-42FE-86AF-26149E126D70}"/>
    <hyperlink ref="B226" location="'Data'!R5C29" display="GDE.Q.EG13.ray" xr:uid="{53131A04-0C93-4189-AE41-E67CD9F4B9DC}"/>
    <hyperlink ref="B227" location="'Data'!R5C30" display="GDE.Q.EI23.NA" xr:uid="{4ACDD568-7DBD-42EB-AC2D-1FDC47EE862D}"/>
    <hyperlink ref="B228" location="'Data'!R5C31" display="GDE.Q.EI23.NS" xr:uid="{5F0A51E2-7C6E-4D83-84A8-8A08E44F17AC}"/>
    <hyperlink ref="B229" location="'Data'!R5C32" display="GDE.Q.EI23.RA" xr:uid="{3ACCDB4B-3E76-419C-B1EE-6F97824DEBCC}"/>
    <hyperlink ref="B230" location="'Data'!R5C33" display="GDE.Q.EI23.RS" xr:uid="{D87D9B06-2624-4218-9B08-A4C11D311F44}"/>
    <hyperlink ref="B231" location="'Data'!R5C34" display="GDE.Q.EI24.NA" xr:uid="{1D44F57D-E0BE-43D0-A0F7-0CAA7F0EB8A3}"/>
    <hyperlink ref="B232" location="'Data'!R5C35" display="GDE.Q.EI24.NS" xr:uid="{B5104370-256B-47DC-8A84-D82535C411FB}"/>
    <hyperlink ref="B233" location="'Data'!R5C36" display="GDE.Q.EI24.nsq" xr:uid="{B52EE13D-0DE2-4AE0-BB59-B8C19AD511A6}"/>
    <hyperlink ref="B234" location="'Data'!R5C37" display="GDE.Q.EI24.nay" xr:uid="{75CA32D6-E6CA-4A28-B958-8BF3C6B396E0}"/>
    <hyperlink ref="B235" location="'Data'!R5C38" display="GDE.Q.EI24.RA" xr:uid="{E851D86A-471D-40B2-BFC8-B9C306DB0FD9}"/>
    <hyperlink ref="B236" location="'Data'!R5C39" display="GDE.Q.EI24.RS" xr:uid="{74D15A63-97DA-446F-9BC7-0A2FA9D2F035}"/>
    <hyperlink ref="B237" location="'Data'!R5C40" display="GDE.Q.EI24.rsq" xr:uid="{8A4A7ED3-6F03-42A5-B9B5-83FF4E54888B}"/>
    <hyperlink ref="B238" location="'Data'!R5C41" display="GDE.Q.EI24.ray" xr:uid="{F60ADC34-2ED5-4A36-81D7-BEC25AFD38AE}"/>
    <hyperlink ref="B239" location="'Data'!R5C42" display="GDE.Q.EI25.NA" xr:uid="{33726ACE-0BDC-4210-9AD9-81C4E5D70566}"/>
    <hyperlink ref="B240" location="'Data'!R5C43" display="GDE.Q.EI25.NS" xr:uid="{2CD826B3-236A-4B25-92A7-9974DC39632C}"/>
    <hyperlink ref="B241" location="'Data'!R5C44" display="GDE.Q.EI25.nsq" xr:uid="{CD01C7F6-B78C-4A5C-AC4D-90717E0CC0E5}"/>
    <hyperlink ref="B242" location="'Data'!R5C45" display="GDE.Q.EI25.nay" xr:uid="{823CABFC-5BD4-4EF1-BFF5-0EE5A0030C41}"/>
    <hyperlink ref="B243" location="'Data'!R5C46" display="GDE.Q.EI25.RA" xr:uid="{F6A818A5-4DA0-4FDE-9529-71951D261D1A}"/>
    <hyperlink ref="B244" location="'Data'!R5C47" display="GDE.Q.EI25.RS" xr:uid="{B32D0C3D-D581-4839-BBE3-30A53383D9C3}"/>
    <hyperlink ref="B245" location="'Data'!R5C48" display="GDE.Q.EI25.rsq" xr:uid="{3283709B-A9E0-4F42-A77B-D4FE2D30B196}"/>
    <hyperlink ref="B246" location="'Data'!R5C49" display="GDE.Q.EI25.ray" xr:uid="{352703A2-DF97-47DE-BDEB-A5F2205CD109}"/>
    <hyperlink ref="B247" location="'Data'!R5C50" display="GDE.Q.EY1.NA" xr:uid="{007A0A59-FC6A-4A25-ACAF-340C83203BC9}"/>
    <hyperlink ref="B248" location="'Data'!R5C51" display="GDE.Q.EY1.NS" xr:uid="{A3D22623-4284-4215-B95F-EC2A35970188}"/>
    <hyperlink ref="B249" location="'Data'!R5C52" display="GDE.Q.EY1.nsq" xr:uid="{7773AEDB-B6B0-48C9-8548-BF48F40C2428}"/>
    <hyperlink ref="B250" location="'Data'!R5C53" display="GDE.Q.EY1.nay" xr:uid="{F5CFDFB0-0A6B-4AEF-9D7F-901B6DEB5FC2}"/>
    <hyperlink ref="B251" location="'Data'!R5C54" display="GDE.Q.EY1.RA" xr:uid="{50AFED3C-CCD1-4B4A-95C9-DF622E5D1F63}"/>
    <hyperlink ref="B252" location="'Data'!R5C55" display="GDE.Q.EY1.RS" xr:uid="{467882AE-88C5-4105-ABB9-AF7A563DF266}"/>
    <hyperlink ref="B253" location="'Data'!R5C56" display="GDE.Q.EY1.rsq" xr:uid="{DF2A1312-14D6-49F0-91AA-DFF7A403F2FB}"/>
    <hyperlink ref="B254" location="'Data'!R5C57" display="GDE.Q.EY1.ray" xr:uid="{21226017-70D5-4090-A72D-5D94BA48761A}"/>
    <hyperlink ref="B255" location="'Data'!R5C58" display="GDE.Q.EX.NA" xr:uid="{190D0D9F-DB46-4D20-9DA2-D0C15AB927B0}"/>
    <hyperlink ref="B256" location="'Data'!R5C59" display="GDE.Q.EX.NS" xr:uid="{D631495B-FA56-468B-8C1F-C309A5D786A9}"/>
    <hyperlink ref="B257" location="'Data'!R5C60" display="GDE.Q.EX.nsq" xr:uid="{3067A58D-021C-4678-9BBA-35C06FB270FA}"/>
    <hyperlink ref="B258" location="'Data'!R5C61" display="GDE.Q.EX.nay" xr:uid="{2097DCDA-EFC7-4553-9ADF-1A11A78ED685}"/>
    <hyperlink ref="B259" location="'Data'!R5C62" display="GDE.Q.EX.RA" xr:uid="{D88C565D-AEC4-417A-A0A9-3CC914A4C7B4}"/>
    <hyperlink ref="B260" location="'Data'!R5C63" display="GDE.Q.EX.RS" xr:uid="{DAA6A944-7A90-49B4-AAC9-CD7FFB6E875C}"/>
    <hyperlink ref="B261" location="'Data'!R5C64" display="GDE.Q.EX.rsq" xr:uid="{197D7269-2B35-44C6-9FE4-30A0044AE54D}"/>
    <hyperlink ref="B262" location="'Data'!R5C65" display="GDE.Q.EX.ray" xr:uid="{045966E5-F9F3-407D-8CDF-2D30E62E0DD6}"/>
    <hyperlink ref="B263" location="'Data'!R5C66" display="GDE.Q.EM.NA" xr:uid="{5F4787CF-854E-46C1-B2D8-5930AADA1428}"/>
    <hyperlink ref="B264" location="'Data'!R5C67" display="GDE.Q.EM.NS" xr:uid="{D55B9128-2A49-4859-85A7-812E1BE0F2D9}"/>
    <hyperlink ref="B265" location="'Data'!R5C68" display="GDE.Q.EM.nsq" xr:uid="{12A7127C-5064-498D-9990-EB85503450DB}"/>
    <hyperlink ref="B266" location="'Data'!R5C69" display="GDE.Q.EM.nay" xr:uid="{274316DB-F477-4E86-B8F2-F764CB08AB6B}"/>
    <hyperlink ref="B267" location="'Data'!R5C70" display="GDE.Q.EM.RA" xr:uid="{52056184-58D0-4B59-AA19-5E0CBDFD3D10}"/>
    <hyperlink ref="B268" location="'Data'!R5C71" display="GDE.Q.EM.RS" xr:uid="{38F5E2F8-28BE-4157-BB5B-346319996350}"/>
    <hyperlink ref="B269" location="'Data'!R5C72" display="GDE.Q.EM.rsq" xr:uid="{971C3212-C490-40D2-8F58-5F8A7DD28632}"/>
    <hyperlink ref="B270" location="'Data'!R5C73" display="GDE.Q.EM.ray" xr:uid="{BA277EE5-70EA-42B4-9B6B-50BC28106464}"/>
    <hyperlink ref="B272" location="'Data'!R5C2" display="NATA.Y.G0.na" xr:uid="{AC718810-450E-4F2E-AD3C-9DBC69864155}"/>
    <hyperlink ref="B273" location="'Data'!R5C3" display="NATE.Y.E0Y.na" xr:uid="{62E9744C-AB01-486E-9BF5-6A22083FA797}"/>
    <hyperlink ref="B274" location="'Data'!R5C4" display="NATF.Y.D04.na" xr:uid="{4715D97C-6A4D-41BA-A005-CCD7B0F97342}"/>
    <hyperlink ref="B275" location="'Data'!R5C5" display="ISAA.Y.I12.na" xr:uid="{158776A4-9DA0-4FA2-8BC0-3E6FFCBDF501}"/>
    <hyperlink ref="B276" location="'Data'!R5C6" display="ISAF.Y.I13.na" xr:uid="{B5D11464-D9CD-44E9-BA5E-CA8B7F1F5981}"/>
    <hyperlink ref="B277" location="'Data'!R5C7" display="ISAG.Y.I13.na" xr:uid="{0D6B0CEA-B076-4508-BD99-C0C5D0072F59}"/>
    <hyperlink ref="B278" location="'Data'!R5C8" display="ISAJ.Y.I12.na" xr:uid="{607D998B-9A8C-4F3A-985B-CA31654B5876}"/>
    <hyperlink ref="B279" location="'Data'!R5C9" display="ISAK.Y.I10.na" xr:uid="{C2414C29-81B0-468C-B4D7-A059397ABEC1}"/>
    <hyperlink ref="B280" location="'Data'!R5C10" display="ISAK.Y.I18.na" xr:uid="{9DC4EC3C-8D9A-471E-AEC6-C6C23A18F779}"/>
    <hyperlink ref="B348" location="'Data'!R5C2" display="SOE.Q.E100.na" xr:uid="{C4FA8CF3-C4DC-4FF1-B638-2C0AADE67C92}"/>
    <hyperlink ref="B349" location="'Data'!R5C3" display="SOE.Q.E101.na" xr:uid="{D8463264-B2A4-410E-BEFE-81A275793E29}"/>
    <hyperlink ref="B350" location="'Data'!R5C4" display="SOE.Q.E102.na" xr:uid="{A733CD39-C772-4F50-AE55-345B89775521}"/>
    <hyperlink ref="B351" location="'Data'!R5C5" display="SOE.Q.E210.na" xr:uid="{04F4CED8-5783-4F77-9184-1B3FAB29B03D}"/>
    <hyperlink ref="B352" location="'Data'!R5C6" display="SOE.Q.E215.na" xr:uid="{14388C93-2EF2-4C52-9CA6-A5B6964F14B4}"/>
    <hyperlink ref="B353" location="'Data'!R5C7" display="SOE.Q.E220.na" xr:uid="{903E4ABD-1671-40B1-BB4F-52F929520FFA}"/>
    <hyperlink ref="B354" location="'Data'!R5C8" display="SOE.Q.E230.na" xr:uid="{7FB5F055-A0E7-4816-B607-9474277E9BA6}"/>
    <hyperlink ref="B355" location="'Data'!R5C9" display="SOE.Q.E350.na" xr:uid="{B5FADE99-A844-4FE6-8EAF-F97E9844AEE7}"/>
    <hyperlink ref="B356" location="'Data'!R5C10" display="SOE.Q.E351.na" xr:uid="{62DF2954-5DA2-4693-BD79-7089A3D301E8}"/>
    <hyperlink ref="B357" location="'Data'!R5C11" display="SOE.Q.E353.na" xr:uid="{4FA0DB90-FDC0-4BD3-AE7F-48A995FBF286}"/>
    <hyperlink ref="B358" location="'Data'!R5C12" display="SOE.Q.E356.na" xr:uid="{CFCC2F2A-4979-4BA3-B635-5212F7376DF8}"/>
    <hyperlink ref="B359" location="'Data'!R5C13" display="SOE.Q.E310.na" xr:uid="{B5FFB1B0-861E-45A3-8087-2D14BBB53571}"/>
    <hyperlink ref="B360" location="'Data'!R5C14" display="SOE.Q.E311.na" xr:uid="{81638888-80B6-49A6-9BD3-B4811C3D672B}"/>
    <hyperlink ref="B361" location="'Data'!R5C15" display="SOE.Q.E402.ra" xr:uid="{08F9A17B-9D84-495D-9931-096F79231D1E}"/>
    <hyperlink ref="B362" location="'Data'!R5C16" display="SOE.Q.E403.ra" xr:uid="{4FCD8CFD-D9EC-4D34-A4B6-CA741F7872E9}"/>
    <hyperlink ref="B363" location="'Data'!R5C17" display="SOE.Q.E460.na" xr:uid="{4DB56F64-2B42-4DA7-922D-E90CC781FF0B}"/>
    <hyperlink ref="B364" location="'Data'!R5C18" display="SOE.Q.E461.na" xr:uid="{C2E3CEDC-8E1D-4CA4-A863-8EACA1B28641}"/>
    <hyperlink ref="B365" location="'Data'!R5C19" display="SOE.Q.E470.na" xr:uid="{F1A07C70-3D35-43FF-987E-8082B7C8935C}"/>
    <hyperlink ref="B366" location="'Data'!R5C20" display="SOE.Q.E471.na" xr:uid="{DF6D1412-EEEC-44B3-9701-C7127597B015}"/>
    <hyperlink ref="B367" location="'Data'!R5C21" display="SOE.Q.E320.na" xr:uid="{D404D5AA-C652-4A9F-9A06-4562E47659D5}"/>
    <hyperlink ref="B368" location="'Data'!R5C22" display="SOE.Q.E321.na" xr:uid="{98DC394B-36AE-4027-BDF3-4BA1D049423C}"/>
    <hyperlink ref="B369" location="'Data'!R5C23" display="SOE.Q.E330.na" xr:uid="{35A6105B-B43C-4EE7-98D0-83C9F1C595C4}"/>
    <hyperlink ref="B370" location="'Data'!R5C24" display="SOE.Q.E331.na" xr:uid="{DE071832-EFFD-478E-8969-34AD0C5E07D1}"/>
    <hyperlink ref="B371" location="'Data'!R5C25" display="SOE.Q.E480.na" xr:uid="{5963E0C3-5BD2-419A-A022-2840FFBF0B39}"/>
    <hyperlink ref="B372" location="'Data'!R5C26" display="SOE.Q.E481.na" xr:uid="{942068B3-2057-411D-B0C2-28FBE127C1A8}"/>
    <hyperlink ref="B374" location="'Data'!R5C2" display="BSPA.MALA4.P" xr:uid="{AB0C16B1-C692-4E46-962E-010936AE82B9}"/>
    <hyperlink ref="B375" location="'Data'!R5C3" display="BSPA.MAM2A4.P1" xr:uid="{09B6D60A-BD7C-4952-A9EE-2C8F7C41BCBC}"/>
    <hyperlink ref="B376" location="'Data'!R5C4" display="BSPA.MAM2A4.P1H1" xr:uid="{3F781DA4-22FA-49CC-B959-881350F03F68}"/>
    <hyperlink ref="B377" location="'Data'!R5C5" display="BSPA.MAM2A4.P1H2" xr:uid="{EF9D52E7-6E0A-45B5-849B-90259AE4D215}"/>
    <hyperlink ref="B378" location="'Data'!R5C6" display="BSPA.MAM2A4.P1H3" xr:uid="{8B9D06C3-FDF8-46F5-B2C5-D8CAAC8D9C0F}"/>
    <hyperlink ref="B379" location="'Data'!R5C7" display="BSPA.MAM2A4.P1H6" xr:uid="{9854BE62-0C1C-418E-AA2D-AC980C745E28}"/>
    <hyperlink ref="B380" location="'Data'!R5C8" display="BSPA.MAM3A4.P1" xr:uid="{F4AED6B6-1217-4DEC-B7E6-06D4804E2854}"/>
    <hyperlink ref="B381" location="'Data'!R5C9" display="BSPA.MAM3A4.P1N1" xr:uid="{E62CACFA-6A30-4225-BF44-A0F7515A1C19}"/>
    <hyperlink ref="B382" location="'Data'!R5C10" display="BSPA.MAM3A4.P1N2" xr:uid="{2BD39051-88D2-4BBB-8424-EE5361B30370}"/>
    <hyperlink ref="B383" location="'Data'!R5C11" display="BSPA.MAM3A4.P1N3" xr:uid="{5BE20401-B6E5-43BF-8BF4-3AD772ECA6B1}"/>
    <hyperlink ref="B384" location="'Data'!R5C12" display="BSPA.MAM3A4.P1N9" xr:uid="{B3D95226-1A4E-4A44-B928-EB90B2384279}"/>
    <hyperlink ref="B385" location="'Data'!R5C13" display="BSPAS.MAN1A4.P2" xr:uid="{7AD46CA9-4139-4BD3-BAF0-4035CB59BADA}"/>
    <hyperlink ref="B386" location="'Data'!R5C14" display="BSPA.MAN1A4.P2C1" xr:uid="{6711BEEC-4952-4136-8AC3-A13D30DD0DD1}"/>
    <hyperlink ref="B387" location="'Data'!R5C15" display="BSPA.MAN1A4.P2C2" xr:uid="{C65864C5-41CF-4C59-AB77-98470AF3E62E}"/>
    <hyperlink ref="B388" location="'Data'!R5C16" display="BSPA.MAN1A4.P2C3" xr:uid="{73ED5C90-C80B-4B28-B6A0-0166897ACD68}"/>
    <hyperlink ref="B389" location="'Data'!R5C17" display="BSPA.MAN1A4.P2C9" xr:uid="{71F6AD5E-19DF-4979-B391-FB7A53D86A2F}"/>
    <hyperlink ref="B390" location="'Data'!R5C18" display="BSPAS.MALA4.P3" xr:uid="{EAAED09E-DC0B-4DF0-8B8F-271A5E09C214}"/>
    <hyperlink ref="B391" location="'Data'!R5C19" display="BSPA.MALA4.P3N1" xr:uid="{2AE16D62-A1DF-4CCB-8ED4-D32E23928539}"/>
    <hyperlink ref="B392" location="'Data'!R5C20" display="BSPA.MALA4.P3N2" xr:uid="{919A3669-0621-4498-86B6-BC621FED2A82}"/>
    <hyperlink ref="B393" location="'Data'!R5C21" display="BSPA.MALA4.P3N3" xr:uid="{9BA1D447-6D0F-44B5-965E-7931C967679E}"/>
    <hyperlink ref="B394" location="'Data'!R5C22" display="BSPA.MALA4.P3N6" xr:uid="{413747FD-6B12-4728-A096-6BABF4CB0CB8}"/>
    <hyperlink ref="B395" location="'Data'!R5C23" display="BSPAS.MALA4.P4ZA" xr:uid="{EFE11773-2E5E-4451-9C58-19A879864A19}"/>
    <hyperlink ref="B396" location="'Data'!R5C24" display="BSPA.MALA4.P4N1A" xr:uid="{B34DAC14-BF9C-4FC9-B95C-7CF8CA44DFEF}"/>
    <hyperlink ref="B397" location="'Data'!R5C25" display="BSPA.MALA4.P4N2A" xr:uid="{1B7CAEC9-8786-46D2-88C1-D306536AA3DF}"/>
    <hyperlink ref="B398" location="'Data'!R5C26" display="BSPA.MALA4.P4N3A" xr:uid="{078FB36F-8394-443D-993C-499FA4D20317}"/>
    <hyperlink ref="B399" location="'Data'!R5C27" display="BSPA.MALA4.P4N6A" xr:uid="{7627EB54-D8B0-4D98-9E2D-928FE2610347}"/>
    <hyperlink ref="B400" location="'Data'!R5C28" display="BSPA.MALA4.P5" xr:uid="{0C0F5898-66BF-41D6-8078-7A4BA345527A}"/>
    <hyperlink ref="B401" location="'Data'!R5C29" display="BSPA.MALA4.P5N1" xr:uid="{C209FA7D-EB08-4F43-923C-F97EA1C54A75}"/>
    <hyperlink ref="B402" location="'Data'!R5C30" display="BSPA.MALA4.P5N2" xr:uid="{88D564CB-B040-41BF-8938-AF23654D0EF1}"/>
    <hyperlink ref="B403" location="'Data'!R5C31" display="BSPA.MALA4.P5N3" xr:uid="{6CAE2CB4-4CA4-487D-99D2-F2E2053C986B}"/>
    <hyperlink ref="B404" location="'Data'!R5C32" display="BSPA.MALA4.P5N6" xr:uid="{86AB021A-EA69-49A5-AF87-676BEB55BCC6}"/>
    <hyperlink ref="B405" location="'Data'!R5C33" display="BSPA.MALA4.P9" xr:uid="{E04A8B4C-62E1-44C5-9DE4-2FC9976944D5}"/>
    <hyperlink ref="B406" location="'Data'!R5C34" display="BSPA.MALA4.P9N1" xr:uid="{B7A5FA0E-4749-4BB4-BC4A-576FBE538FFE}"/>
    <hyperlink ref="B407" location="'Data'!R5C35" display="BSPA.MALA4.P9N2" xr:uid="{23F110DF-4296-46F6-9621-521A22542056}"/>
    <hyperlink ref="B408" location="'Data'!R5C36" display="BSPA.MALA4.P9N3" xr:uid="{5C94DE8A-F834-4C3F-AE4B-9FC21E2188FF}"/>
    <hyperlink ref="B409" location="'Data'!R5C37" display="BSPA.MALA4.P9N6" xr:uid="{83CB1FBE-7826-4B96-A6CA-72C4C8284A61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D939B-6ECF-403E-928D-04A9117496C0}">
  <dimension ref="A1:O381"/>
  <sheetViews>
    <sheetView tabSelected="1" topLeftCell="A142" zoomScale="85" zoomScaleNormal="85" workbookViewId="0">
      <selection activeCell="O2" sqref="O2:O381"/>
    </sheetView>
  </sheetViews>
  <sheetFormatPr defaultRowHeight="10.15"/>
  <cols>
    <col min="2" max="2" width="25.6640625" customWidth="1"/>
    <col min="3" max="3" width="30.6640625" customWidth="1"/>
    <col min="4" max="4" width="28.08203125" customWidth="1"/>
    <col min="5" max="5" width="41" customWidth="1"/>
    <col min="6" max="6" width="33.6640625" customWidth="1"/>
    <col min="7" max="7" width="24.4140625" customWidth="1"/>
    <col min="8" max="8" width="24.1640625" customWidth="1"/>
    <col min="9" max="9" width="14.83203125" customWidth="1"/>
    <col min="10" max="10" width="18.1640625" customWidth="1"/>
    <col min="11" max="13" width="17.33203125" customWidth="1"/>
  </cols>
  <sheetData>
    <row r="1" spans="1:15" ht="13.15">
      <c r="A1" s="7" t="s">
        <v>42</v>
      </c>
      <c r="B1" s="7" t="s">
        <v>1097</v>
      </c>
      <c r="C1" s="7" t="s">
        <v>1101</v>
      </c>
      <c r="D1" s="7" t="s">
        <v>1098</v>
      </c>
      <c r="E1" s="7" t="s">
        <v>1099</v>
      </c>
      <c r="F1" s="7" t="s">
        <v>1100</v>
      </c>
      <c r="G1" s="7" t="s">
        <v>3</v>
      </c>
      <c r="H1" s="7" t="s">
        <v>47</v>
      </c>
      <c r="I1" s="7" t="s">
        <v>730</v>
      </c>
      <c r="J1" s="7" t="s">
        <v>1078</v>
      </c>
      <c r="K1" s="7" t="s">
        <v>1079</v>
      </c>
      <c r="L1" s="7" t="s">
        <v>870</v>
      </c>
      <c r="M1" s="7" t="s">
        <v>880</v>
      </c>
    </row>
    <row r="2" spans="1:15" ht="14.25">
      <c r="A2" s="2" t="s">
        <v>114</v>
      </c>
      <c r="B2" s="6" t="s">
        <v>57</v>
      </c>
      <c r="C2" s="5" t="s">
        <v>56</v>
      </c>
      <c r="D2" s="5" t="s">
        <v>58</v>
      </c>
      <c r="E2" s="5" t="s">
        <v>55</v>
      </c>
      <c r="F2" s="5" t="s">
        <v>56</v>
      </c>
      <c r="G2" s="5" t="s">
        <v>58</v>
      </c>
      <c r="H2" s="2" t="s">
        <v>55</v>
      </c>
      <c r="I2" s="2" t="s">
        <v>891</v>
      </c>
      <c r="J2" s="3" t="s">
        <v>1080</v>
      </c>
      <c r="K2" s="3" t="s">
        <v>903</v>
      </c>
      <c r="L2" s="3" t="s">
        <v>873</v>
      </c>
      <c r="M2" s="2"/>
      <c r="O2" t="str">
        <f>""""&amp;_xlfn.TEXTJOIN(""", """,FALSE,A2:M2)&amp;""""&amp;","</f>
        <v>"hb1", "EXRT.DS41.NZB17", "17 currency basket", "Index", "TWI", "17 currency basket", "Index", "TWI", ".0f", "qual", "black", "Line", "",</v>
      </c>
    </row>
    <row r="3" spans="1:15" ht="14.25">
      <c r="A3" s="2" t="s">
        <v>114</v>
      </c>
      <c r="B3" s="18" t="s">
        <v>61</v>
      </c>
      <c r="C3" s="5" t="s">
        <v>60</v>
      </c>
      <c r="D3" s="16" t="s">
        <v>62</v>
      </c>
      <c r="E3" s="5" t="s">
        <v>59</v>
      </c>
      <c r="F3" s="5" t="s">
        <v>60</v>
      </c>
      <c r="G3" s="5" t="s">
        <v>62</v>
      </c>
      <c r="H3" s="2" t="s">
        <v>732</v>
      </c>
      <c r="I3" s="2" t="s">
        <v>731</v>
      </c>
      <c r="J3" s="3" t="s">
        <v>1080</v>
      </c>
      <c r="K3" s="3" t="s">
        <v>903</v>
      </c>
      <c r="L3" s="3" t="s">
        <v>873</v>
      </c>
      <c r="M3" s="2" t="s">
        <v>859</v>
      </c>
      <c r="O3" t="str">
        <f t="shared" ref="O3:O66" si="0">""""&amp;_xlfn.TEXTJOIN(""", """,FALSE,A3:M3)&amp;""""&amp;","</f>
        <v>"hb1", "EXR.DS11.D06", "United States dollar", "NZD/USD", "Exchange rates (quoted per NZ$)", "United States dollar", "NZD/USD", "NZD to $USD", ".2f", "qual", "black", "Line", "$",</v>
      </c>
    </row>
    <row r="4" spans="1:15" ht="14.25">
      <c r="A4" s="2" t="s">
        <v>114</v>
      </c>
      <c r="B4" s="6" t="s">
        <v>64</v>
      </c>
      <c r="C4" s="5" t="s">
        <v>63</v>
      </c>
      <c r="D4" s="5" t="s">
        <v>65</v>
      </c>
      <c r="E4" s="5" t="s">
        <v>59</v>
      </c>
      <c r="F4" s="5" t="s">
        <v>63</v>
      </c>
      <c r="G4" s="5" t="s">
        <v>65</v>
      </c>
      <c r="H4" s="2" t="s">
        <v>733</v>
      </c>
      <c r="I4" s="2" t="s">
        <v>731</v>
      </c>
      <c r="J4" s="3" t="s">
        <v>1080</v>
      </c>
      <c r="K4" s="3" t="s">
        <v>903</v>
      </c>
      <c r="L4" s="3" t="s">
        <v>873</v>
      </c>
      <c r="M4" s="2" t="s">
        <v>884</v>
      </c>
      <c r="O4" t="str">
        <f t="shared" si="0"/>
        <v>"hb1", "EXR.DS11.D04", "UK pound sterling", "NZD/GBP", "Exchange rates (quoted per NZ$)", "UK pound sterling", "NZD/GBP", "NZD to £GBP", ".2f", "qual", "black", "Line", "£",</v>
      </c>
    </row>
    <row r="5" spans="1:15" ht="14.25">
      <c r="A5" s="2" t="s">
        <v>114</v>
      </c>
      <c r="B5" s="6" t="s">
        <v>67</v>
      </c>
      <c r="C5" s="5" t="s">
        <v>66</v>
      </c>
      <c r="D5" s="5" t="s">
        <v>68</v>
      </c>
      <c r="E5" s="5" t="s">
        <v>59</v>
      </c>
      <c r="F5" s="5" t="s">
        <v>66</v>
      </c>
      <c r="G5" s="5" t="s">
        <v>68</v>
      </c>
      <c r="H5" s="2" t="s">
        <v>734</v>
      </c>
      <c r="I5" s="2" t="s">
        <v>731</v>
      </c>
      <c r="J5" s="3" t="s">
        <v>1080</v>
      </c>
      <c r="K5" s="3" t="s">
        <v>903</v>
      </c>
      <c r="L5" s="3" t="s">
        <v>873</v>
      </c>
      <c r="M5" s="2" t="s">
        <v>859</v>
      </c>
      <c r="O5" t="str">
        <f t="shared" si="0"/>
        <v>"hb1", "EXR.DS11.D01", "Australian dollar", "NZD/AUD", "Exchange rates (quoted per NZ$)", "Australian dollar", "NZD/AUD", "NZD to $AUD", ".2f", "qual", "black", "Line", "$",</v>
      </c>
    </row>
    <row r="6" spans="1:15" ht="14.25">
      <c r="A6" s="2" t="s">
        <v>114</v>
      </c>
      <c r="B6" s="6" t="s">
        <v>70</v>
      </c>
      <c r="C6" s="5" t="s">
        <v>69</v>
      </c>
      <c r="D6" s="5" t="s">
        <v>71</v>
      </c>
      <c r="E6" s="5" t="s">
        <v>59</v>
      </c>
      <c r="F6" s="5" t="s">
        <v>69</v>
      </c>
      <c r="G6" s="5" t="s">
        <v>71</v>
      </c>
      <c r="H6" s="2" t="s">
        <v>735</v>
      </c>
      <c r="I6" s="2" t="s">
        <v>891</v>
      </c>
      <c r="J6" s="3" t="s">
        <v>1080</v>
      </c>
      <c r="K6" s="3" t="s">
        <v>903</v>
      </c>
      <c r="L6" s="3" t="s">
        <v>873</v>
      </c>
      <c r="M6" s="2" t="s">
        <v>885</v>
      </c>
      <c r="O6" t="str">
        <f t="shared" si="0"/>
        <v>"hb1", "EXR.DS11.D05", "Japanese yen", "NZD/JPY", "Exchange rates (quoted per NZ$)", "Japanese yen", "NZD/JPY", "NZD to ¥JPY", ".0f", "qual", "black", "Line", "¥",</v>
      </c>
    </row>
    <row r="7" spans="1:15" ht="14.25">
      <c r="A7" s="2" t="s">
        <v>114</v>
      </c>
      <c r="B7" s="6" t="s">
        <v>116</v>
      </c>
      <c r="C7" s="5" t="s">
        <v>115</v>
      </c>
      <c r="D7" s="5" t="s">
        <v>117</v>
      </c>
      <c r="E7" s="5" t="s">
        <v>59</v>
      </c>
      <c r="F7" s="5" t="s">
        <v>115</v>
      </c>
      <c r="G7" s="5" t="s">
        <v>117</v>
      </c>
      <c r="H7" s="2" t="s">
        <v>736</v>
      </c>
      <c r="I7" s="2" t="s">
        <v>731</v>
      </c>
      <c r="J7" s="3" t="s">
        <v>1080</v>
      </c>
      <c r="K7" s="3" t="s">
        <v>903</v>
      </c>
      <c r="L7" s="3" t="s">
        <v>873</v>
      </c>
      <c r="M7" s="2" t="s">
        <v>886</v>
      </c>
      <c r="O7" t="str">
        <f t="shared" si="0"/>
        <v>"hb1", "EXR.DS11.D03", "European euro", "NZD/EUR", "Exchange rates (quoted per NZ$)", "European euro", "NZD/EUR", "NZD to €EUR", ".2f", "qual", "black", "Line", "€",</v>
      </c>
    </row>
    <row r="8" spans="1:15" ht="14.25">
      <c r="A8" s="2" t="s">
        <v>114</v>
      </c>
      <c r="B8" s="6" t="s">
        <v>76</v>
      </c>
      <c r="C8" s="5" t="s">
        <v>75</v>
      </c>
      <c r="D8" s="5" t="s">
        <v>77</v>
      </c>
      <c r="E8" s="5" t="s">
        <v>59</v>
      </c>
      <c r="F8" s="5" t="s">
        <v>75</v>
      </c>
      <c r="G8" s="5" t="s">
        <v>77</v>
      </c>
      <c r="H8" s="2" t="s">
        <v>737</v>
      </c>
      <c r="I8" s="2" t="s">
        <v>731</v>
      </c>
      <c r="J8" s="3" t="s">
        <v>1080</v>
      </c>
      <c r="K8" s="3" t="s">
        <v>903</v>
      </c>
      <c r="L8" s="3" t="s">
        <v>873</v>
      </c>
      <c r="M8" s="2" t="s">
        <v>859</v>
      </c>
      <c r="O8" t="str">
        <f t="shared" si="0"/>
        <v>"hb1", "EXR.DS11.D02", "Canadian dollar", "NZD/CAD", "Exchange rates (quoted per NZ$)", "Canadian dollar", "NZD/CAD", "NZD to $CAD", ".2f", "qual", "black", "Line", "$",</v>
      </c>
    </row>
    <row r="9" spans="1:15" ht="14.25">
      <c r="A9" s="2" t="s">
        <v>114</v>
      </c>
      <c r="B9" s="6" t="s">
        <v>79</v>
      </c>
      <c r="C9" s="5" t="s">
        <v>78</v>
      </c>
      <c r="D9" s="5" t="s">
        <v>80</v>
      </c>
      <c r="E9" s="5" t="s">
        <v>59</v>
      </c>
      <c r="F9" s="5" t="s">
        <v>78</v>
      </c>
      <c r="G9" s="16" t="s">
        <v>80</v>
      </c>
      <c r="H9" s="2" t="s">
        <v>738</v>
      </c>
      <c r="I9" s="2" t="s">
        <v>891</v>
      </c>
      <c r="J9" s="3" t="s">
        <v>1080</v>
      </c>
      <c r="K9" s="3" t="s">
        <v>903</v>
      </c>
      <c r="L9" s="3" t="s">
        <v>873</v>
      </c>
      <c r="M9" s="2" t="s">
        <v>887</v>
      </c>
      <c r="O9" t="str">
        <f t="shared" si="0"/>
        <v>"hb1", "EXR.DS11.D12", "South Korean won", "NZD/KRW", "Exchange rates (quoted per NZ$)", "South Korean won", "NZD/KRW", "NZD to ₩KRW", ".0f", "qual", "black", "Line", "₩",</v>
      </c>
    </row>
    <row r="10" spans="1:15" ht="14.25">
      <c r="A10" s="2" t="s">
        <v>114</v>
      </c>
      <c r="B10" s="6" t="s">
        <v>82</v>
      </c>
      <c r="C10" s="5" t="s">
        <v>81</v>
      </c>
      <c r="D10" s="5" t="s">
        <v>83</v>
      </c>
      <c r="E10" s="5" t="s">
        <v>59</v>
      </c>
      <c r="F10" s="5" t="s">
        <v>81</v>
      </c>
      <c r="G10" s="5" t="s">
        <v>83</v>
      </c>
      <c r="H10" s="2" t="s">
        <v>739</v>
      </c>
      <c r="I10" s="2" t="s">
        <v>731</v>
      </c>
      <c r="J10" s="3" t="s">
        <v>1080</v>
      </c>
      <c r="K10" s="3" t="s">
        <v>903</v>
      </c>
      <c r="L10" s="3" t="s">
        <v>873</v>
      </c>
      <c r="M10" s="2" t="s">
        <v>885</v>
      </c>
      <c r="O10" t="str">
        <f t="shared" si="0"/>
        <v>"hb1", "EXR.DS11.D11", "Chinese renminbi", "NZD/CNY", "Exchange rates (quoted per NZ$)", "Chinese renminbi", "NZD/CNY", "NZD to ¥CNY", ".2f", "qual", "black", "Line", "¥",</v>
      </c>
    </row>
    <row r="11" spans="1:15" ht="14.25">
      <c r="A11" s="2" t="s">
        <v>114</v>
      </c>
      <c r="B11" s="6" t="s">
        <v>85</v>
      </c>
      <c r="C11" s="5" t="s">
        <v>84</v>
      </c>
      <c r="D11" s="5" t="s">
        <v>86</v>
      </c>
      <c r="E11" s="5" t="s">
        <v>59</v>
      </c>
      <c r="F11" s="5" t="s">
        <v>84</v>
      </c>
      <c r="G11" s="5" t="s">
        <v>86</v>
      </c>
      <c r="H11" s="2" t="s">
        <v>740</v>
      </c>
      <c r="I11" s="2" t="s">
        <v>731</v>
      </c>
      <c r="J11" s="3" t="s">
        <v>1080</v>
      </c>
      <c r="K11" s="3" t="s">
        <v>903</v>
      </c>
      <c r="L11" s="3" t="s">
        <v>873</v>
      </c>
      <c r="M11" s="2" t="s">
        <v>881</v>
      </c>
      <c r="O11" t="str">
        <f t="shared" si="0"/>
        <v>"hb1", "EXR.DS11.D14", "Malaysian ringgit", "NZD/MYR", "Exchange rates (quoted per NZ$)", "Malaysian ringgit", "NZD/MYR", "NZD to RM", ".2f", "qual", "black", "Line", "RM",</v>
      </c>
    </row>
    <row r="12" spans="1:15" ht="14.25">
      <c r="A12" s="2" t="s">
        <v>114</v>
      </c>
      <c r="B12" s="6" t="s">
        <v>88</v>
      </c>
      <c r="C12" s="5" t="s">
        <v>87</v>
      </c>
      <c r="D12" s="5" t="s">
        <v>89</v>
      </c>
      <c r="E12" s="5" t="s">
        <v>59</v>
      </c>
      <c r="F12" s="5" t="s">
        <v>87</v>
      </c>
      <c r="G12" s="5" t="s">
        <v>89</v>
      </c>
      <c r="H12" s="2" t="s">
        <v>741</v>
      </c>
      <c r="I12" s="2" t="s">
        <v>731</v>
      </c>
      <c r="J12" s="3" t="s">
        <v>1080</v>
      </c>
      <c r="K12" s="3" t="s">
        <v>903</v>
      </c>
      <c r="L12" s="3" t="s">
        <v>873</v>
      </c>
      <c r="M12" s="2" t="s">
        <v>859</v>
      </c>
      <c r="O12" t="str">
        <f t="shared" si="0"/>
        <v>"hb1", "EXR.DS11.D08", "Hong Kong dollar", "NZD/HKD", "Exchange rates (quoted per NZ$)", "Hong Kong dollar", "NZD/HKD", "NZD to $HK", ".2f", "qual", "black", "Line", "$",</v>
      </c>
    </row>
    <row r="13" spans="1:15" ht="14.25">
      <c r="A13" s="2" t="s">
        <v>114</v>
      </c>
      <c r="B13" s="6" t="s">
        <v>91</v>
      </c>
      <c r="C13" s="5" t="s">
        <v>90</v>
      </c>
      <c r="D13" s="5" t="s">
        <v>92</v>
      </c>
      <c r="E13" s="5" t="s">
        <v>59</v>
      </c>
      <c r="F13" s="5" t="s">
        <v>90</v>
      </c>
      <c r="G13" s="5" t="s">
        <v>92</v>
      </c>
      <c r="H13" s="2" t="s">
        <v>742</v>
      </c>
      <c r="I13" s="2" t="s">
        <v>891</v>
      </c>
      <c r="J13" s="3" t="s">
        <v>1080</v>
      </c>
      <c r="K13" s="3" t="s">
        <v>903</v>
      </c>
      <c r="L13" s="3" t="s">
        <v>873</v>
      </c>
      <c r="M13" s="2" t="s">
        <v>882</v>
      </c>
      <c r="O13" t="str">
        <f t="shared" si="0"/>
        <v>"hb1", "EXR.DS11.D13", "Indonesian rupiah", "NZD/IDR", "Exchange rates (quoted per NZ$)", "Indonesian rupiah", "NZD/IDR", "NZD to p (IDR)", ".0f", "qual", "black", "Line", "p",</v>
      </c>
    </row>
    <row r="14" spans="1:15" ht="14.25">
      <c r="A14" s="2" t="s">
        <v>114</v>
      </c>
      <c r="B14" s="6" t="s">
        <v>94</v>
      </c>
      <c r="C14" s="5" t="s">
        <v>93</v>
      </c>
      <c r="D14" s="5" t="s">
        <v>95</v>
      </c>
      <c r="E14" s="5" t="s">
        <v>59</v>
      </c>
      <c r="F14" s="5" t="s">
        <v>93</v>
      </c>
      <c r="G14" s="5" t="s">
        <v>95</v>
      </c>
      <c r="H14" s="2" t="s">
        <v>743</v>
      </c>
      <c r="I14" s="2" t="s">
        <v>891</v>
      </c>
      <c r="J14" s="3" t="s">
        <v>1080</v>
      </c>
      <c r="K14" s="3" t="s">
        <v>903</v>
      </c>
      <c r="L14" s="3" t="s">
        <v>873</v>
      </c>
      <c r="M14" s="2" t="s">
        <v>883</v>
      </c>
      <c r="O14" t="str">
        <f t="shared" si="0"/>
        <v>"hb1", "EXR.DS11.D15", "Thai baht", "NZD/THB", "Exchange rates (quoted per NZ$)", "Thai baht", "NZD/THB", "NZD to B (THB)", ".0f", "qual", "black", "Line", "B",</v>
      </c>
    </row>
    <row r="15" spans="1:15" ht="14.25">
      <c r="A15" s="2" t="s">
        <v>114</v>
      </c>
      <c r="B15" s="6" t="s">
        <v>97</v>
      </c>
      <c r="C15" s="5" t="s">
        <v>96</v>
      </c>
      <c r="D15" s="5" t="s">
        <v>98</v>
      </c>
      <c r="E15" s="5" t="s">
        <v>59</v>
      </c>
      <c r="F15" s="5" t="s">
        <v>96</v>
      </c>
      <c r="G15" s="5" t="s">
        <v>98</v>
      </c>
      <c r="H15" s="2" t="s">
        <v>744</v>
      </c>
      <c r="I15" s="2" t="s">
        <v>731</v>
      </c>
      <c r="J15" s="3" t="s">
        <v>1080</v>
      </c>
      <c r="K15" s="3" t="s">
        <v>903</v>
      </c>
      <c r="L15" s="3" t="s">
        <v>873</v>
      </c>
      <c r="M15" s="2" t="s">
        <v>859</v>
      </c>
      <c r="O15" t="str">
        <f t="shared" si="0"/>
        <v>"hb1", "EXR.DS11.D09", "Singapore dollar", "NZD/SGD", "Exchange rates (quoted per NZ$)", "Singapore dollar", "NZD/SGD", "NZD to $SGD", ".2f", "qual", "black", "Line", "$",</v>
      </c>
    </row>
    <row r="16" spans="1:15" ht="14.25">
      <c r="A16" s="2" t="s">
        <v>114</v>
      </c>
      <c r="B16" s="6" t="s">
        <v>100</v>
      </c>
      <c r="C16" s="5" t="s">
        <v>99</v>
      </c>
      <c r="D16" s="5" t="s">
        <v>101</v>
      </c>
      <c r="E16" s="5" t="s">
        <v>59</v>
      </c>
      <c r="F16" s="5" t="s">
        <v>99</v>
      </c>
      <c r="G16" s="5" t="s">
        <v>101</v>
      </c>
      <c r="H16" s="2" t="s">
        <v>745</v>
      </c>
      <c r="I16" s="2" t="s">
        <v>891</v>
      </c>
      <c r="J16" s="3" t="s">
        <v>1080</v>
      </c>
      <c r="K16" s="3" t="s">
        <v>903</v>
      </c>
      <c r="L16" s="3" t="s">
        <v>873</v>
      </c>
      <c r="M16" s="2" t="s">
        <v>859</v>
      </c>
      <c r="O16" t="str">
        <f t="shared" si="0"/>
        <v>"hb1", "EXR.DS11.D16", "New Taiwan dollar", "NZD/TWD", "Exchange rates (quoted per NZ$)", "New Taiwan dollar", "NZD/TWD", "NZD to $NT", ".0f", "qual", "black", "Line", "$",</v>
      </c>
    </row>
    <row r="17" spans="1:15" ht="14.25">
      <c r="A17" s="2" t="s">
        <v>114</v>
      </c>
      <c r="B17" s="6" t="s">
        <v>103</v>
      </c>
      <c r="C17" s="5" t="s">
        <v>102</v>
      </c>
      <c r="D17" s="5" t="s">
        <v>104</v>
      </c>
      <c r="E17" s="5" t="s">
        <v>59</v>
      </c>
      <c r="F17" s="5" t="s">
        <v>102</v>
      </c>
      <c r="G17" s="5" t="s">
        <v>104</v>
      </c>
      <c r="H17" s="2" t="s">
        <v>746</v>
      </c>
      <c r="I17" s="2" t="s">
        <v>891</v>
      </c>
      <c r="J17" s="3" t="s">
        <v>1080</v>
      </c>
      <c r="K17" s="3" t="s">
        <v>903</v>
      </c>
      <c r="L17" s="3" t="s">
        <v>873</v>
      </c>
      <c r="M17" s="2" t="s">
        <v>888</v>
      </c>
      <c r="O17" t="str">
        <f t="shared" si="0"/>
        <v>"hb1", "EXR.DS11.D31", "Indian rupee", "NZD/INR", "Exchange rates (quoted per NZ$)", "Indian rupee", "NZD/INR", "NZD to ₹INR", ".0f", "qual", "black", "Line", "₹",</v>
      </c>
    </row>
    <row r="18" spans="1:15" ht="14.25">
      <c r="A18" s="2" t="s">
        <v>114</v>
      </c>
      <c r="B18" s="6" t="s">
        <v>106</v>
      </c>
      <c r="C18" s="5" t="s">
        <v>105</v>
      </c>
      <c r="D18" s="5" t="s">
        <v>107</v>
      </c>
      <c r="E18" s="5" t="s">
        <v>59</v>
      </c>
      <c r="F18" s="5" t="s">
        <v>105</v>
      </c>
      <c r="G18" s="5" t="s">
        <v>107</v>
      </c>
      <c r="H18" s="2" t="s">
        <v>747</v>
      </c>
      <c r="I18" s="2" t="s">
        <v>891</v>
      </c>
      <c r="J18" s="3" t="s">
        <v>1080</v>
      </c>
      <c r="K18" s="3" t="s">
        <v>903</v>
      </c>
      <c r="L18" s="3" t="s">
        <v>873</v>
      </c>
      <c r="M18" s="2" t="s">
        <v>889</v>
      </c>
      <c r="O18" t="str">
        <f t="shared" si="0"/>
        <v>"hb1", "EXR.DS11.D32", "Philippine peso", "NZD/PHP", "Exchange rates (quoted per NZ$)", "Philippine peso", "NZD/PHP", "NZD to ₱PHP", ".0f", "qual", "black", "Line", "₱",</v>
      </c>
    </row>
    <row r="19" spans="1:15" ht="14.25">
      <c r="A19" s="2" t="s">
        <v>114</v>
      </c>
      <c r="B19" s="6" t="s">
        <v>109</v>
      </c>
      <c r="C19" s="5" t="s">
        <v>108</v>
      </c>
      <c r="D19" s="5" t="s">
        <v>110</v>
      </c>
      <c r="E19" s="5" t="s">
        <v>59</v>
      </c>
      <c r="F19" s="5" t="s">
        <v>108</v>
      </c>
      <c r="G19" s="5" t="s">
        <v>110</v>
      </c>
      <c r="H19" s="2" t="s">
        <v>748</v>
      </c>
      <c r="I19" s="2" t="s">
        <v>891</v>
      </c>
      <c r="J19" s="3" t="s">
        <v>1080</v>
      </c>
      <c r="K19" s="3" t="s">
        <v>903</v>
      </c>
      <c r="L19" s="3" t="s">
        <v>873</v>
      </c>
      <c r="M19" s="2" t="s">
        <v>890</v>
      </c>
      <c r="O19" t="str">
        <f t="shared" si="0"/>
        <v>"hb1", "EXR.DS11.D33", "Vietnamese dong", "NZD/VND", "Exchange rates (quoted per NZ$)", "Vietnamese dong", "NZD/VND", "NZD to ₫VND", ".0f", "qual", "black", "Line", "₫",</v>
      </c>
    </row>
    <row r="20" spans="1:15" ht="14.25">
      <c r="A20" s="2" t="s">
        <v>114</v>
      </c>
      <c r="B20" s="6" t="s">
        <v>113</v>
      </c>
      <c r="C20" s="5" t="s">
        <v>112</v>
      </c>
      <c r="D20" s="5" t="s">
        <v>729</v>
      </c>
      <c r="E20" s="5" t="s">
        <v>111</v>
      </c>
      <c r="F20" s="5" t="s">
        <v>112</v>
      </c>
      <c r="G20" s="5" t="s">
        <v>58</v>
      </c>
      <c r="H20" s="2" t="s">
        <v>728</v>
      </c>
      <c r="I20" s="2" t="s">
        <v>891</v>
      </c>
      <c r="J20" s="3" t="s">
        <v>1080</v>
      </c>
      <c r="K20" s="3" t="s">
        <v>903</v>
      </c>
      <c r="L20" s="3" t="s">
        <v>873</v>
      </c>
      <c r="M20" s="2"/>
      <c r="O20" t="str">
        <f t="shared" si="0"/>
        <v>"hb1", "EXRT.DS41.N", "Base June 1979=100", "Index Historic", "Historical TWI", "Base June 1979=100", "Index", "TWI (H)", ".0f", "qual", "black", "Line", "",</v>
      </c>
    </row>
    <row r="21" spans="1:15" ht="14.25">
      <c r="A21" s="2" t="s">
        <v>213</v>
      </c>
      <c r="B21" s="2" t="s">
        <v>120</v>
      </c>
      <c r="C21" s="2" t="s">
        <v>119</v>
      </c>
      <c r="D21" s="2" t="s">
        <v>869</v>
      </c>
      <c r="E21" s="2" t="s">
        <v>119</v>
      </c>
      <c r="F21" s="2"/>
      <c r="G21" s="2" t="s">
        <v>121</v>
      </c>
      <c r="H21" s="2" t="s">
        <v>16</v>
      </c>
      <c r="I21" s="2" t="s">
        <v>908</v>
      </c>
      <c r="J21" s="3" t="s">
        <v>1083</v>
      </c>
      <c r="K21" s="3" t="s">
        <v>1084</v>
      </c>
      <c r="L21" s="3" t="s">
        <v>872</v>
      </c>
      <c r="M21" s="3"/>
      <c r="O21" t="str">
        <f t="shared" si="0"/>
        <v>"hb2", "INM.DP1.N", "Official Cash Rate (OCR)", "OCR", "Official Cash Rate (OCR)", "", "%pa", "%", ".1f", "manual", "grey_snow", "Fill", "",</v>
      </c>
    </row>
    <row r="22" spans="1:15" ht="14.25">
      <c r="A22" s="2" t="s">
        <v>213</v>
      </c>
      <c r="B22" s="2" t="s">
        <v>137</v>
      </c>
      <c r="C22" s="2" t="s">
        <v>874</v>
      </c>
      <c r="D22" s="2" t="s">
        <v>135</v>
      </c>
      <c r="E22" s="2" t="s">
        <v>136</v>
      </c>
      <c r="F22" s="2"/>
      <c r="G22" s="2" t="s">
        <v>121</v>
      </c>
      <c r="H22" s="2" t="s">
        <v>16</v>
      </c>
      <c r="I22" s="2" t="s">
        <v>908</v>
      </c>
      <c r="J22" s="3" t="s">
        <v>1081</v>
      </c>
      <c r="K22" s="3"/>
      <c r="L22" s="3" t="s">
        <v>873</v>
      </c>
      <c r="M22" s="3"/>
      <c r="O22" t="str">
        <f t="shared" si="0"/>
        <v>"hb2", "INM.DG101.NZZCF", "1 year (bond)", "Secondary market government bond closing yields", "1 year", "", "%pa", "%", ".1f", "teal", "", "Line", "",</v>
      </c>
    </row>
    <row r="23" spans="1:15" ht="14.25">
      <c r="A23" s="2" t="s">
        <v>213</v>
      </c>
      <c r="B23" s="2" t="s">
        <v>139</v>
      </c>
      <c r="C23" s="2" t="s">
        <v>875</v>
      </c>
      <c r="D23" s="2" t="s">
        <v>135</v>
      </c>
      <c r="E23" s="2" t="s">
        <v>138</v>
      </c>
      <c r="F23" s="2"/>
      <c r="G23" s="2" t="s">
        <v>121</v>
      </c>
      <c r="H23" s="2" t="s">
        <v>16</v>
      </c>
      <c r="I23" s="2" t="s">
        <v>908</v>
      </c>
      <c r="J23" s="3" t="s">
        <v>1081</v>
      </c>
      <c r="K23" s="3"/>
      <c r="L23" s="3" t="s">
        <v>873</v>
      </c>
      <c r="M23" s="3"/>
      <c r="O23" t="str">
        <f t="shared" si="0"/>
        <v>"hb2", "INM.DG102.NZZCF", "2 year (bond)", "Secondary market government bond closing yields", "2 year", "", "%pa", "%", ".1f", "teal", "", "Line", "",</v>
      </c>
    </row>
    <row r="24" spans="1:15" ht="14.25">
      <c r="A24" s="2" t="s">
        <v>213</v>
      </c>
      <c r="B24" s="2" t="s">
        <v>141</v>
      </c>
      <c r="C24" s="2" t="s">
        <v>876</v>
      </c>
      <c r="D24" s="2" t="s">
        <v>135</v>
      </c>
      <c r="E24" s="2" t="s">
        <v>140</v>
      </c>
      <c r="F24" s="2"/>
      <c r="G24" s="2" t="s">
        <v>121</v>
      </c>
      <c r="H24" s="2" t="s">
        <v>16</v>
      </c>
      <c r="I24" s="2" t="s">
        <v>908</v>
      </c>
      <c r="J24" s="3" t="s">
        <v>1081</v>
      </c>
      <c r="K24" s="3"/>
      <c r="L24" s="3" t="s">
        <v>873</v>
      </c>
      <c r="M24" s="3"/>
      <c r="O24" t="str">
        <f t="shared" si="0"/>
        <v>"hb2", "INM.DG105.NZZCF", "5 year (bond)", "Secondary market government bond closing yields", "5 year", "", "%pa", "%", ".1f", "teal", "", "Line", "",</v>
      </c>
    </row>
    <row r="25" spans="1:15" ht="14.25">
      <c r="A25" s="2" t="s">
        <v>213</v>
      </c>
      <c r="B25" s="2" t="s">
        <v>143</v>
      </c>
      <c r="C25" s="2" t="s">
        <v>877</v>
      </c>
      <c r="D25" s="2" t="s">
        <v>135</v>
      </c>
      <c r="E25" s="2" t="s">
        <v>142</v>
      </c>
      <c r="F25" s="2"/>
      <c r="G25" s="2" t="s">
        <v>121</v>
      </c>
      <c r="H25" s="2" t="s">
        <v>16</v>
      </c>
      <c r="I25" s="2" t="s">
        <v>908</v>
      </c>
      <c r="J25" s="3" t="s">
        <v>1081</v>
      </c>
      <c r="K25" s="3"/>
      <c r="L25" s="3" t="s">
        <v>873</v>
      </c>
      <c r="M25" s="3"/>
      <c r="O25" t="str">
        <f t="shared" si="0"/>
        <v>"hb2", "INM.DG110.NZZCF", "10 year (bond)", "Secondary market government bond closing yields", "10 year", "", "%pa", "%", ".1f", "teal", "", "Line", "",</v>
      </c>
    </row>
    <row r="26" spans="1:15" ht="14.25">
      <c r="A26" s="2" t="s">
        <v>213</v>
      </c>
      <c r="B26" s="2" t="s">
        <v>198</v>
      </c>
      <c r="C26" s="2" t="s">
        <v>778</v>
      </c>
      <c r="D26" s="2" t="s">
        <v>197</v>
      </c>
      <c r="E26" s="2" t="s">
        <v>136</v>
      </c>
      <c r="F26" s="2"/>
      <c r="G26" s="2" t="s">
        <v>121</v>
      </c>
      <c r="H26" s="2" t="s">
        <v>16</v>
      </c>
      <c r="I26" s="2" t="s">
        <v>908</v>
      </c>
      <c r="J26" s="3" t="s">
        <v>1082</v>
      </c>
      <c r="K26" s="3"/>
      <c r="L26" s="3" t="s">
        <v>873</v>
      </c>
      <c r="M26" s="3"/>
      <c r="O26" t="str">
        <f t="shared" si="0"/>
        <v>"hb2", "INM.DS01.NZZC", "1 year (swap)", "Swap rates close", "1 year", "", "%pa", "%", ".1f", "navy", "", "Line", "",</v>
      </c>
    </row>
    <row r="27" spans="1:15" ht="14.25">
      <c r="A27" s="2" t="s">
        <v>213</v>
      </c>
      <c r="B27" s="2" t="s">
        <v>199</v>
      </c>
      <c r="C27" s="2" t="s">
        <v>777</v>
      </c>
      <c r="D27" s="2" t="s">
        <v>197</v>
      </c>
      <c r="E27" s="2" t="s">
        <v>138</v>
      </c>
      <c r="F27" s="2"/>
      <c r="G27" s="2" t="s">
        <v>121</v>
      </c>
      <c r="H27" s="2" t="s">
        <v>16</v>
      </c>
      <c r="I27" s="2" t="s">
        <v>908</v>
      </c>
      <c r="J27" s="3" t="s">
        <v>1082</v>
      </c>
      <c r="K27" s="3"/>
      <c r="L27" s="3" t="s">
        <v>873</v>
      </c>
      <c r="M27" s="3"/>
      <c r="O27" t="str">
        <f t="shared" si="0"/>
        <v>"hb2", "INM.DS02.NZZC", "2 year (swap)", "Swap rates close", "2 year", "", "%pa", "%", ".1f", "navy", "", "Line", "",</v>
      </c>
    </row>
    <row r="28" spans="1:15" ht="14.25">
      <c r="A28" s="2" t="s">
        <v>213</v>
      </c>
      <c r="B28" s="2" t="s">
        <v>204</v>
      </c>
      <c r="C28" s="2" t="s">
        <v>779</v>
      </c>
      <c r="D28" s="2" t="s">
        <v>197</v>
      </c>
      <c r="E28" s="2" t="s">
        <v>140</v>
      </c>
      <c r="F28" s="2"/>
      <c r="G28" s="2" t="s">
        <v>121</v>
      </c>
      <c r="H28" s="2" t="s">
        <v>16</v>
      </c>
      <c r="I28" s="2" t="s">
        <v>908</v>
      </c>
      <c r="J28" s="3" t="s">
        <v>1082</v>
      </c>
      <c r="K28" s="3"/>
      <c r="L28" s="3" t="s">
        <v>873</v>
      </c>
      <c r="M28" s="3"/>
      <c r="O28" t="str">
        <f t="shared" si="0"/>
        <v>"hb2", "INM.DS05.NZZC", "5 year (swap)", "Swap rates close", "5 year", "", "%pa", "%", ".1f", "navy", "", "Line", "",</v>
      </c>
    </row>
    <row r="29" spans="1:15" ht="14.25">
      <c r="A29" s="2" t="s">
        <v>213</v>
      </c>
      <c r="B29" s="2" t="s">
        <v>207</v>
      </c>
      <c r="C29" s="2" t="s">
        <v>780</v>
      </c>
      <c r="D29" s="2" t="s">
        <v>197</v>
      </c>
      <c r="E29" s="2" t="s">
        <v>142</v>
      </c>
      <c r="F29" s="2"/>
      <c r="G29" s="2" t="s">
        <v>121</v>
      </c>
      <c r="H29" s="2" t="s">
        <v>16</v>
      </c>
      <c r="I29" s="2" t="s">
        <v>908</v>
      </c>
      <c r="J29" s="3" t="s">
        <v>1082</v>
      </c>
      <c r="K29" s="3"/>
      <c r="L29" s="3" t="s">
        <v>873</v>
      </c>
      <c r="M29" s="3"/>
      <c r="O29" t="str">
        <f t="shared" si="0"/>
        <v>"hb2", "INM.DS10.NZZC", "10 year (swap)", "Swap rates close", "10 year", "", "%pa", "%", ".1f", "navy", "", "Line", "",</v>
      </c>
    </row>
    <row r="30" spans="1:15" ht="14.25">
      <c r="A30" s="2" t="s">
        <v>213</v>
      </c>
      <c r="B30" s="2" t="s">
        <v>211</v>
      </c>
      <c r="C30" s="2" t="s">
        <v>210</v>
      </c>
      <c r="D30" s="2" t="s">
        <v>197</v>
      </c>
      <c r="E30" s="2" t="s">
        <v>210</v>
      </c>
      <c r="F30" s="2"/>
      <c r="G30" s="2" t="s">
        <v>212</v>
      </c>
      <c r="H30" s="2" t="s">
        <v>212</v>
      </c>
      <c r="I30" s="2" t="s">
        <v>908</v>
      </c>
      <c r="J30" s="3" t="s">
        <v>1083</v>
      </c>
      <c r="K30" s="3" t="s">
        <v>758</v>
      </c>
      <c r="L30" s="3" t="s">
        <v>873</v>
      </c>
      <c r="M30" s="3"/>
      <c r="O30" t="str">
        <f t="shared" si="0"/>
        <v>"hb2", "INM.DS61.NZZC", "Spread 2-10 year", "Swap rates close", "Spread 2-10 year", "", "bps", "bps", ".1f", "manual", "ruby_base", "Line", "",</v>
      </c>
    </row>
    <row r="31" spans="1:15" ht="14.25">
      <c r="A31" s="2" t="s">
        <v>278</v>
      </c>
      <c r="B31" s="2" t="s">
        <v>216</v>
      </c>
      <c r="C31" s="2" t="s">
        <v>767</v>
      </c>
      <c r="D31" s="2" t="s">
        <v>861</v>
      </c>
      <c r="E31" s="2" t="s">
        <v>767</v>
      </c>
      <c r="F31" s="2" t="s">
        <v>861</v>
      </c>
      <c r="G31" s="2" t="s">
        <v>217</v>
      </c>
      <c r="H31" s="2" t="s">
        <v>910</v>
      </c>
      <c r="I31" s="2" t="s">
        <v>921</v>
      </c>
      <c r="J31" s="3" t="s">
        <v>1083</v>
      </c>
      <c r="K31" s="3" t="s">
        <v>751</v>
      </c>
      <c r="L31" s="3" t="s">
        <v>872</v>
      </c>
      <c r="M31" s="3"/>
      <c r="O31" t="str">
        <f t="shared" si="0"/>
        <v>"hc35", "LVRP.QME1.A", "Opening position", "Total", "Opening position", "Total", "NZDm", "NZDm ", ",d", "manual", "teal_snow", "Fill", "",</v>
      </c>
    </row>
    <row r="32" spans="1:15" ht="14.25">
      <c r="A32" s="2" t="s">
        <v>278</v>
      </c>
      <c r="B32" s="2" t="s">
        <v>219</v>
      </c>
      <c r="C32" s="2" t="s">
        <v>768</v>
      </c>
      <c r="D32" s="2" t="s">
        <v>861</v>
      </c>
      <c r="E32" s="2" t="s">
        <v>768</v>
      </c>
      <c r="F32" s="2" t="s">
        <v>861</v>
      </c>
      <c r="G32" s="2" t="s">
        <v>217</v>
      </c>
      <c r="H32" s="2" t="s">
        <v>217</v>
      </c>
      <c r="I32" s="2" t="s">
        <v>921</v>
      </c>
      <c r="J32" s="3" t="s">
        <v>1081</v>
      </c>
      <c r="K32" s="3" t="s">
        <v>903</v>
      </c>
      <c r="L32" s="3" t="s">
        <v>873</v>
      </c>
      <c r="M32" s="3"/>
      <c r="O32" t="str">
        <f t="shared" si="0"/>
        <v>"hc35", "LVRP.QME31.A", "Drawdowns", "Total", "Drawdowns", "Total", "NZDm", "NZDm", ",d", "teal", "black", "Line", "",</v>
      </c>
    </row>
    <row r="33" spans="1:15" ht="14.25">
      <c r="A33" s="2" t="s">
        <v>278</v>
      </c>
      <c r="B33" s="2" t="s">
        <v>221</v>
      </c>
      <c r="C33" s="2" t="s">
        <v>769</v>
      </c>
      <c r="D33" s="2" t="s">
        <v>861</v>
      </c>
      <c r="E33" s="2" t="s">
        <v>769</v>
      </c>
      <c r="F33" s="2" t="s">
        <v>861</v>
      </c>
      <c r="G33" s="2" t="s">
        <v>217</v>
      </c>
      <c r="H33" s="2" t="s">
        <v>217</v>
      </c>
      <c r="I33" s="2" t="s">
        <v>921</v>
      </c>
      <c r="J33" s="3" t="s">
        <v>1081</v>
      </c>
      <c r="K33" s="3" t="s">
        <v>903</v>
      </c>
      <c r="L33" s="3" t="s">
        <v>873</v>
      </c>
      <c r="M33" s="3"/>
      <c r="O33" t="str">
        <f t="shared" si="0"/>
        <v>"hc35", "LVRP.QME32.A", "Interest charged", "Total", "Interest charged", "Total", "NZDm", "NZDm", ",d", "teal", "black", "Line", "",</v>
      </c>
    </row>
    <row r="34" spans="1:15" ht="14.25">
      <c r="A34" s="2" t="s">
        <v>278</v>
      </c>
      <c r="B34" s="2" t="s">
        <v>223</v>
      </c>
      <c r="C34" s="2" t="s">
        <v>770</v>
      </c>
      <c r="D34" s="2" t="s">
        <v>861</v>
      </c>
      <c r="E34" s="2" t="s">
        <v>770</v>
      </c>
      <c r="F34" s="2" t="s">
        <v>861</v>
      </c>
      <c r="G34" s="2" t="s">
        <v>217</v>
      </c>
      <c r="H34" s="2" t="s">
        <v>217</v>
      </c>
      <c r="I34" s="2" t="s">
        <v>921</v>
      </c>
      <c r="J34" s="3" t="s">
        <v>1081</v>
      </c>
      <c r="K34" s="3" t="s">
        <v>903</v>
      </c>
      <c r="L34" s="3" t="s">
        <v>873</v>
      </c>
      <c r="M34" s="3"/>
      <c r="O34" t="str">
        <f t="shared" si="0"/>
        <v>"hc35", "LVRP.QME33.A", "Scheduled repayments", "Total", "Scheduled repayments", "Total", "NZDm", "NZDm", ",d", "teal", "black", "Line", "",</v>
      </c>
    </row>
    <row r="35" spans="1:15" ht="14.25">
      <c r="A35" s="2" t="s">
        <v>278</v>
      </c>
      <c r="B35" s="2" t="s">
        <v>225</v>
      </c>
      <c r="C35" s="2" t="s">
        <v>771</v>
      </c>
      <c r="D35" s="2" t="s">
        <v>861</v>
      </c>
      <c r="E35" s="2" t="s">
        <v>771</v>
      </c>
      <c r="F35" s="2" t="s">
        <v>861</v>
      </c>
      <c r="G35" s="2" t="s">
        <v>217</v>
      </c>
      <c r="H35" s="2" t="s">
        <v>217</v>
      </c>
      <c r="I35" s="2" t="s">
        <v>921</v>
      </c>
      <c r="J35" s="3" t="s">
        <v>1081</v>
      </c>
      <c r="K35" s="3" t="s">
        <v>903</v>
      </c>
      <c r="L35" s="3" t="s">
        <v>873</v>
      </c>
      <c r="M35" s="3"/>
      <c r="O35" t="str">
        <f t="shared" si="0"/>
        <v>"hc35", "LVRP.QME34.A", "Repayment of loan in full", "Total", "Repayment of loan in full", "Total", "NZDm", "NZDm", ",d", "teal", "black", "Line", "",</v>
      </c>
    </row>
    <row r="36" spans="1:15" ht="14.25">
      <c r="A36" s="2" t="s">
        <v>278</v>
      </c>
      <c r="B36" s="2" t="s">
        <v>227</v>
      </c>
      <c r="C36" s="2" t="s">
        <v>772</v>
      </c>
      <c r="D36" s="2" t="s">
        <v>861</v>
      </c>
      <c r="E36" s="2" t="s">
        <v>772</v>
      </c>
      <c r="F36" s="2" t="s">
        <v>861</v>
      </c>
      <c r="G36" s="2" t="s">
        <v>217</v>
      </c>
      <c r="H36" s="2" t="s">
        <v>217</v>
      </c>
      <c r="I36" s="2" t="s">
        <v>921</v>
      </c>
      <c r="J36" s="3" t="s">
        <v>1081</v>
      </c>
      <c r="K36" s="3" t="s">
        <v>903</v>
      </c>
      <c r="L36" s="3" t="s">
        <v>873</v>
      </c>
      <c r="M36" s="3"/>
      <c r="O36" t="str">
        <f t="shared" si="0"/>
        <v>"hc35", "LVRP.QME35.A", "Other excess repayments", "Total", "Other excess repayments", "Total", "NZDm", "NZDm", ",d", "teal", "black", "Line", "",</v>
      </c>
    </row>
    <row r="37" spans="1:15" ht="14.25">
      <c r="A37" s="2" t="s">
        <v>278</v>
      </c>
      <c r="B37" s="2" t="s">
        <v>229</v>
      </c>
      <c r="C37" s="2" t="s">
        <v>773</v>
      </c>
      <c r="D37" s="2" t="s">
        <v>861</v>
      </c>
      <c r="E37" s="2" t="s">
        <v>773</v>
      </c>
      <c r="F37" s="2" t="s">
        <v>861</v>
      </c>
      <c r="G37" s="2" t="s">
        <v>217</v>
      </c>
      <c r="H37" s="2" t="s">
        <v>217</v>
      </c>
      <c r="I37" s="2" t="s">
        <v>921</v>
      </c>
      <c r="J37" s="3" t="s">
        <v>1081</v>
      </c>
      <c r="K37" s="3" t="s">
        <v>903</v>
      </c>
      <c r="L37" s="3" t="s">
        <v>873</v>
      </c>
      <c r="M37" s="3"/>
      <c r="O37" t="str">
        <f t="shared" si="0"/>
        <v>"hc35", "LVRP.QME36.A", "Repayment deficiencies", "Total", "Repayment deficiencies", "Total", "NZDm", "NZDm", ",d", "teal", "black", "Line", "",</v>
      </c>
    </row>
    <row r="38" spans="1:15" ht="14.25">
      <c r="A38" s="2" t="s">
        <v>278</v>
      </c>
      <c r="B38" s="2" t="s">
        <v>231</v>
      </c>
      <c r="C38" s="2" t="s">
        <v>774</v>
      </c>
      <c r="D38" s="2" t="s">
        <v>861</v>
      </c>
      <c r="E38" s="2" t="s">
        <v>774</v>
      </c>
      <c r="F38" s="2" t="s">
        <v>861</v>
      </c>
      <c r="G38" s="2" t="s">
        <v>217</v>
      </c>
      <c r="H38" s="2" t="s">
        <v>217</v>
      </c>
      <c r="I38" s="2" t="s">
        <v>921</v>
      </c>
      <c r="J38" s="3" t="s">
        <v>1081</v>
      </c>
      <c r="K38" s="3" t="s">
        <v>903</v>
      </c>
      <c r="L38" s="3" t="s">
        <v>873</v>
      </c>
      <c r="M38" s="3"/>
      <c r="O38" t="str">
        <f t="shared" si="0"/>
        <v>"hc35", "LVRP.QME37.A", "Net write-offs", "Total", "Net write-offs", "Total", "NZDm", "NZDm", ",d", "teal", "black", "Line", "",</v>
      </c>
    </row>
    <row r="39" spans="1:15" ht="14.25">
      <c r="A39" s="2" t="s">
        <v>278</v>
      </c>
      <c r="B39" s="2" t="s">
        <v>233</v>
      </c>
      <c r="C39" s="2" t="s">
        <v>775</v>
      </c>
      <c r="D39" s="2" t="s">
        <v>861</v>
      </c>
      <c r="E39" s="2" t="s">
        <v>775</v>
      </c>
      <c r="F39" s="2" t="s">
        <v>861</v>
      </c>
      <c r="G39" s="2" t="s">
        <v>217</v>
      </c>
      <c r="H39" s="2" t="s">
        <v>217</v>
      </c>
      <c r="I39" s="2" t="s">
        <v>921</v>
      </c>
      <c r="J39" s="3" t="s">
        <v>1081</v>
      </c>
      <c r="K39" s="3" t="s">
        <v>903</v>
      </c>
      <c r="L39" s="3" t="s">
        <v>873</v>
      </c>
      <c r="M39" s="3"/>
      <c r="O39" t="str">
        <f t="shared" si="0"/>
        <v>"hc35", "LVRP.QME38.A", "Other adjustments", "Total", "Other adjustments", "Total", "NZDm", "NZDm", ",d", "teal", "black", "Line", "",</v>
      </c>
    </row>
    <row r="40" spans="1:15" ht="14.25">
      <c r="A40" s="2" t="s">
        <v>278</v>
      </c>
      <c r="B40" s="2" t="s">
        <v>238</v>
      </c>
      <c r="C40" s="2" t="s">
        <v>767</v>
      </c>
      <c r="D40" s="2" t="s">
        <v>878</v>
      </c>
      <c r="E40" s="2" t="s">
        <v>767</v>
      </c>
      <c r="F40" s="2" t="s">
        <v>862</v>
      </c>
      <c r="G40" s="2" t="s">
        <v>217</v>
      </c>
      <c r="H40" s="2" t="s">
        <v>910</v>
      </c>
      <c r="I40" s="2" t="s">
        <v>921</v>
      </c>
      <c r="J40" s="3" t="s">
        <v>1083</v>
      </c>
      <c r="K40" s="3" t="s">
        <v>751</v>
      </c>
      <c r="L40" s="3" t="s">
        <v>872</v>
      </c>
      <c r="M40" s="3"/>
      <c r="O40" t="str">
        <f t="shared" si="0"/>
        <v>"hc35", "LVRP.QME1.B", "Opening position", "&gt;80% LVR", "Opening position", "Breakdown", "NZDm", "NZDm ", ",d", "manual", "teal_snow", "Fill", "",</v>
      </c>
    </row>
    <row r="41" spans="1:15" ht="14.25">
      <c r="A41" s="2" t="s">
        <v>278</v>
      </c>
      <c r="B41" s="2" t="s">
        <v>240</v>
      </c>
      <c r="C41" s="2" t="s">
        <v>768</v>
      </c>
      <c r="D41" s="2" t="s">
        <v>878</v>
      </c>
      <c r="E41" s="2" t="s">
        <v>768</v>
      </c>
      <c r="F41" s="2" t="s">
        <v>862</v>
      </c>
      <c r="G41" s="2" t="s">
        <v>217</v>
      </c>
      <c r="H41" s="2" t="s">
        <v>217</v>
      </c>
      <c r="I41" s="2" t="s">
        <v>921</v>
      </c>
      <c r="J41" s="3" t="s">
        <v>1081</v>
      </c>
      <c r="K41" s="3" t="s">
        <v>903</v>
      </c>
      <c r="L41" s="3" t="s">
        <v>873</v>
      </c>
      <c r="M41" s="3"/>
      <c r="O41" t="str">
        <f t="shared" si="0"/>
        <v>"hc35", "LVRP.QME31.B", "Drawdowns", "&gt;80% LVR", "Drawdowns", "Breakdown", "NZDm", "NZDm", ",d", "teal", "black", "Line", "",</v>
      </c>
    </row>
    <row r="42" spans="1:15" ht="14.25">
      <c r="A42" s="2" t="s">
        <v>278</v>
      </c>
      <c r="B42" s="2" t="s">
        <v>242</v>
      </c>
      <c r="C42" s="2" t="s">
        <v>769</v>
      </c>
      <c r="D42" s="2" t="s">
        <v>878</v>
      </c>
      <c r="E42" s="2" t="s">
        <v>769</v>
      </c>
      <c r="F42" s="2" t="s">
        <v>862</v>
      </c>
      <c r="G42" s="2" t="s">
        <v>217</v>
      </c>
      <c r="H42" s="2" t="s">
        <v>217</v>
      </c>
      <c r="I42" s="2" t="s">
        <v>921</v>
      </c>
      <c r="J42" s="3" t="s">
        <v>1081</v>
      </c>
      <c r="K42" s="3" t="s">
        <v>903</v>
      </c>
      <c r="L42" s="3" t="s">
        <v>873</v>
      </c>
      <c r="M42" s="3"/>
      <c r="O42" t="str">
        <f t="shared" si="0"/>
        <v>"hc35", "LVRP.QME32.B", "Interest charged", "&gt;80% LVR", "Interest charged", "Breakdown", "NZDm", "NZDm", ",d", "teal", "black", "Line", "",</v>
      </c>
    </row>
    <row r="43" spans="1:15" ht="14.25">
      <c r="A43" s="2" t="s">
        <v>278</v>
      </c>
      <c r="B43" s="2" t="s">
        <v>244</v>
      </c>
      <c r="C43" s="2" t="s">
        <v>770</v>
      </c>
      <c r="D43" s="2" t="s">
        <v>878</v>
      </c>
      <c r="E43" s="2" t="s">
        <v>770</v>
      </c>
      <c r="F43" s="2" t="s">
        <v>862</v>
      </c>
      <c r="G43" s="2" t="s">
        <v>217</v>
      </c>
      <c r="H43" s="2" t="s">
        <v>217</v>
      </c>
      <c r="I43" s="2" t="s">
        <v>921</v>
      </c>
      <c r="J43" s="3" t="s">
        <v>1081</v>
      </c>
      <c r="K43" s="3" t="s">
        <v>903</v>
      </c>
      <c r="L43" s="3" t="s">
        <v>873</v>
      </c>
      <c r="M43" s="3"/>
      <c r="O43" t="str">
        <f t="shared" si="0"/>
        <v>"hc35", "LVRP.QME33.B", "Scheduled repayments", "&gt;80% LVR", "Scheduled repayments", "Breakdown", "NZDm", "NZDm", ",d", "teal", "black", "Line", "",</v>
      </c>
    </row>
    <row r="44" spans="1:15" ht="14.25">
      <c r="A44" s="2" t="s">
        <v>278</v>
      </c>
      <c r="B44" s="2" t="s">
        <v>246</v>
      </c>
      <c r="C44" s="2" t="s">
        <v>771</v>
      </c>
      <c r="D44" s="2" t="s">
        <v>878</v>
      </c>
      <c r="E44" s="2" t="s">
        <v>771</v>
      </c>
      <c r="F44" s="2" t="s">
        <v>862</v>
      </c>
      <c r="G44" s="2" t="s">
        <v>217</v>
      </c>
      <c r="H44" s="2" t="s">
        <v>217</v>
      </c>
      <c r="I44" s="2" t="s">
        <v>921</v>
      </c>
      <c r="J44" s="3" t="s">
        <v>1081</v>
      </c>
      <c r="K44" s="3" t="s">
        <v>903</v>
      </c>
      <c r="L44" s="3" t="s">
        <v>873</v>
      </c>
      <c r="M44" s="3"/>
      <c r="O44" t="str">
        <f t="shared" si="0"/>
        <v>"hc35", "LVRP.QME34.B", "Repayment of loan in full", "&gt;80% LVR", "Repayment of loan in full", "Breakdown", "NZDm", "NZDm", ",d", "teal", "black", "Line", "",</v>
      </c>
    </row>
    <row r="45" spans="1:15" ht="14.25">
      <c r="A45" s="2" t="s">
        <v>278</v>
      </c>
      <c r="B45" s="2" t="s">
        <v>248</v>
      </c>
      <c r="C45" s="2" t="s">
        <v>776</v>
      </c>
      <c r="D45" s="2" t="s">
        <v>878</v>
      </c>
      <c r="E45" s="2" t="s">
        <v>776</v>
      </c>
      <c r="F45" s="2" t="s">
        <v>862</v>
      </c>
      <c r="G45" s="2" t="s">
        <v>217</v>
      </c>
      <c r="H45" s="2" t="s">
        <v>217</v>
      </c>
      <c r="I45" s="2" t="s">
        <v>921</v>
      </c>
      <c r="J45" s="3" t="s">
        <v>1081</v>
      </c>
      <c r="K45" s="3" t="s">
        <v>903</v>
      </c>
      <c r="L45" s="3" t="s">
        <v>873</v>
      </c>
      <c r="M45" s="3"/>
      <c r="O45" t="str">
        <f t="shared" si="0"/>
        <v>"hc35", "LVRP.QME35.B", "Other excess repayment", "&gt;80% LVR", "Other excess repayment", "Breakdown", "NZDm", "NZDm", ",d", "teal", "black", "Line", "",</v>
      </c>
    </row>
    <row r="46" spans="1:15" ht="14.25">
      <c r="A46" s="2" t="s">
        <v>278</v>
      </c>
      <c r="B46" s="2" t="s">
        <v>250</v>
      </c>
      <c r="C46" s="2" t="s">
        <v>773</v>
      </c>
      <c r="D46" s="2" t="s">
        <v>878</v>
      </c>
      <c r="E46" s="2" t="s">
        <v>773</v>
      </c>
      <c r="F46" s="2" t="s">
        <v>862</v>
      </c>
      <c r="G46" s="2" t="s">
        <v>217</v>
      </c>
      <c r="H46" s="2" t="s">
        <v>217</v>
      </c>
      <c r="I46" s="2" t="s">
        <v>921</v>
      </c>
      <c r="J46" s="3" t="s">
        <v>1081</v>
      </c>
      <c r="K46" s="3" t="s">
        <v>903</v>
      </c>
      <c r="L46" s="3" t="s">
        <v>873</v>
      </c>
      <c r="M46" s="3"/>
      <c r="O46" t="str">
        <f t="shared" si="0"/>
        <v>"hc35", "LVRP.QME36.B", "Repayment deficiencies", "&gt;80% LVR", "Repayment deficiencies", "Breakdown", "NZDm", "NZDm", ",d", "teal", "black", "Line", "",</v>
      </c>
    </row>
    <row r="47" spans="1:15" ht="14.25">
      <c r="A47" s="2" t="s">
        <v>278</v>
      </c>
      <c r="B47" s="2" t="s">
        <v>252</v>
      </c>
      <c r="C47" s="2" t="s">
        <v>774</v>
      </c>
      <c r="D47" s="2" t="s">
        <v>878</v>
      </c>
      <c r="E47" s="2" t="s">
        <v>774</v>
      </c>
      <c r="F47" s="2" t="s">
        <v>862</v>
      </c>
      <c r="G47" s="2" t="s">
        <v>217</v>
      </c>
      <c r="H47" s="2" t="s">
        <v>217</v>
      </c>
      <c r="I47" s="2" t="s">
        <v>921</v>
      </c>
      <c r="J47" s="3" t="s">
        <v>1081</v>
      </c>
      <c r="K47" s="3" t="s">
        <v>903</v>
      </c>
      <c r="L47" s="3" t="s">
        <v>873</v>
      </c>
      <c r="M47" s="3"/>
      <c r="O47" t="str">
        <f t="shared" si="0"/>
        <v>"hc35", "LVRP.QME37.B", "Net write-offs", "&gt;80% LVR", "Net write-offs", "Breakdown", "NZDm", "NZDm", ",d", "teal", "black", "Line", "",</v>
      </c>
    </row>
    <row r="48" spans="1:15" ht="14.25">
      <c r="A48" s="2" t="s">
        <v>278</v>
      </c>
      <c r="B48" s="2" t="s">
        <v>254</v>
      </c>
      <c r="C48" s="2" t="s">
        <v>775</v>
      </c>
      <c r="D48" s="2" t="s">
        <v>878</v>
      </c>
      <c r="E48" s="2" t="s">
        <v>775</v>
      </c>
      <c r="F48" s="2" t="s">
        <v>862</v>
      </c>
      <c r="G48" s="2" t="s">
        <v>217</v>
      </c>
      <c r="H48" s="2" t="s">
        <v>217</v>
      </c>
      <c r="I48" s="2" t="s">
        <v>921</v>
      </c>
      <c r="J48" s="3" t="s">
        <v>1081</v>
      </c>
      <c r="K48" s="3" t="s">
        <v>903</v>
      </c>
      <c r="L48" s="3" t="s">
        <v>873</v>
      </c>
      <c r="M48" s="3"/>
      <c r="O48" t="str">
        <f t="shared" si="0"/>
        <v>"hc35", "LVRP.QME38.B", "Other adjustments", "&gt;80% LVR", "Other adjustments", "Breakdown", "NZDm", "NZDm", ",d", "teal", "black", "Line", "",</v>
      </c>
    </row>
    <row r="49" spans="1:15" ht="14.25">
      <c r="A49" s="2" t="s">
        <v>278</v>
      </c>
      <c r="B49" s="2" t="s">
        <v>259</v>
      </c>
      <c r="C49" s="2" t="s">
        <v>767</v>
      </c>
      <c r="D49" s="2" t="s">
        <v>879</v>
      </c>
      <c r="E49" s="2" t="s">
        <v>767</v>
      </c>
      <c r="F49" s="2" t="s">
        <v>862</v>
      </c>
      <c r="G49" s="2" t="s">
        <v>217</v>
      </c>
      <c r="H49" s="2" t="s">
        <v>910</v>
      </c>
      <c r="I49" s="2" t="s">
        <v>921</v>
      </c>
      <c r="J49" s="3" t="s">
        <v>1083</v>
      </c>
      <c r="K49" s="3" t="s">
        <v>751</v>
      </c>
      <c r="L49" s="3" t="s">
        <v>872</v>
      </c>
      <c r="M49" s="3"/>
      <c r="O49" t="str">
        <f t="shared" si="0"/>
        <v>"hc35", "LVRP.QME1.C", "Opening position", "&lt;=80% LVR", "Opening position", "Breakdown", "NZDm", "NZDm ", ",d", "manual", "teal_snow", "Fill", "",</v>
      </c>
    </row>
    <row r="50" spans="1:15" ht="14.25">
      <c r="A50" s="2" t="s">
        <v>278</v>
      </c>
      <c r="B50" s="2" t="s">
        <v>261</v>
      </c>
      <c r="C50" s="2" t="s">
        <v>768</v>
      </c>
      <c r="D50" s="2" t="s">
        <v>879</v>
      </c>
      <c r="E50" s="2" t="s">
        <v>768</v>
      </c>
      <c r="F50" s="2" t="s">
        <v>862</v>
      </c>
      <c r="G50" s="2" t="s">
        <v>217</v>
      </c>
      <c r="H50" s="2" t="s">
        <v>217</v>
      </c>
      <c r="I50" s="2" t="s">
        <v>921</v>
      </c>
      <c r="J50" s="3" t="s">
        <v>1081</v>
      </c>
      <c r="K50" s="3" t="s">
        <v>903</v>
      </c>
      <c r="L50" s="3" t="s">
        <v>873</v>
      </c>
      <c r="M50" s="3"/>
      <c r="O50" t="str">
        <f t="shared" si="0"/>
        <v>"hc35", "LVRP.QME31.C", "Drawdowns", "&lt;=80% LVR", "Drawdowns", "Breakdown", "NZDm", "NZDm", ",d", "teal", "black", "Line", "",</v>
      </c>
    </row>
    <row r="51" spans="1:15" ht="14.25">
      <c r="A51" s="2" t="s">
        <v>278</v>
      </c>
      <c r="B51" s="2" t="s">
        <v>263</v>
      </c>
      <c r="C51" s="2" t="s">
        <v>769</v>
      </c>
      <c r="D51" s="2" t="s">
        <v>879</v>
      </c>
      <c r="E51" s="2" t="s">
        <v>769</v>
      </c>
      <c r="F51" s="2" t="s">
        <v>862</v>
      </c>
      <c r="G51" s="2" t="s">
        <v>217</v>
      </c>
      <c r="H51" s="2" t="s">
        <v>217</v>
      </c>
      <c r="I51" s="2" t="s">
        <v>921</v>
      </c>
      <c r="J51" s="3" t="s">
        <v>1081</v>
      </c>
      <c r="K51" s="3" t="s">
        <v>903</v>
      </c>
      <c r="L51" s="3" t="s">
        <v>873</v>
      </c>
      <c r="M51" s="3"/>
      <c r="O51" t="str">
        <f t="shared" si="0"/>
        <v>"hc35", "LVRP.QME32.C", "Interest charged", "&lt;=80% LVR", "Interest charged", "Breakdown", "NZDm", "NZDm", ",d", "teal", "black", "Line", "",</v>
      </c>
    </row>
    <row r="52" spans="1:15" ht="14.25">
      <c r="A52" s="2" t="s">
        <v>278</v>
      </c>
      <c r="B52" s="2" t="s">
        <v>265</v>
      </c>
      <c r="C52" s="2" t="s">
        <v>770</v>
      </c>
      <c r="D52" s="2" t="s">
        <v>879</v>
      </c>
      <c r="E52" s="2" t="s">
        <v>770</v>
      </c>
      <c r="F52" s="2" t="s">
        <v>862</v>
      </c>
      <c r="G52" s="2" t="s">
        <v>217</v>
      </c>
      <c r="H52" s="2" t="s">
        <v>217</v>
      </c>
      <c r="I52" s="2" t="s">
        <v>921</v>
      </c>
      <c r="J52" s="3" t="s">
        <v>1081</v>
      </c>
      <c r="K52" s="3" t="s">
        <v>903</v>
      </c>
      <c r="L52" s="3" t="s">
        <v>873</v>
      </c>
      <c r="M52" s="3"/>
      <c r="O52" t="str">
        <f t="shared" si="0"/>
        <v>"hc35", "LVRP.QME33.C", "Scheduled repayments", "&lt;=80% LVR", "Scheduled repayments", "Breakdown", "NZDm", "NZDm", ",d", "teal", "black", "Line", "",</v>
      </c>
    </row>
    <row r="53" spans="1:15" ht="14.25">
      <c r="A53" s="2" t="s">
        <v>278</v>
      </c>
      <c r="B53" s="2" t="s">
        <v>267</v>
      </c>
      <c r="C53" s="2" t="s">
        <v>771</v>
      </c>
      <c r="D53" s="2" t="s">
        <v>879</v>
      </c>
      <c r="E53" s="2" t="s">
        <v>771</v>
      </c>
      <c r="F53" s="2" t="s">
        <v>862</v>
      </c>
      <c r="G53" s="2" t="s">
        <v>217</v>
      </c>
      <c r="H53" s="2" t="s">
        <v>217</v>
      </c>
      <c r="I53" s="2" t="s">
        <v>921</v>
      </c>
      <c r="J53" s="3" t="s">
        <v>1081</v>
      </c>
      <c r="K53" s="3" t="s">
        <v>903</v>
      </c>
      <c r="L53" s="3" t="s">
        <v>873</v>
      </c>
      <c r="M53" s="3"/>
      <c r="O53" t="str">
        <f t="shared" si="0"/>
        <v>"hc35", "LVRP.QME34.C", "Repayment of loan in full", "&lt;=80% LVR", "Repayment of loan in full", "Breakdown", "NZDm", "NZDm", ",d", "teal", "black", "Line", "",</v>
      </c>
    </row>
    <row r="54" spans="1:15" ht="14.25">
      <c r="A54" s="2" t="s">
        <v>278</v>
      </c>
      <c r="B54" s="2" t="s">
        <v>269</v>
      </c>
      <c r="C54" s="2" t="s">
        <v>772</v>
      </c>
      <c r="D54" s="2" t="s">
        <v>879</v>
      </c>
      <c r="E54" s="2" t="s">
        <v>772</v>
      </c>
      <c r="F54" s="2" t="s">
        <v>862</v>
      </c>
      <c r="G54" s="2" t="s">
        <v>217</v>
      </c>
      <c r="H54" s="2" t="s">
        <v>217</v>
      </c>
      <c r="I54" s="2" t="s">
        <v>921</v>
      </c>
      <c r="J54" s="3" t="s">
        <v>1081</v>
      </c>
      <c r="K54" s="3" t="s">
        <v>903</v>
      </c>
      <c r="L54" s="3" t="s">
        <v>873</v>
      </c>
      <c r="M54" s="3"/>
      <c r="O54" t="str">
        <f t="shared" si="0"/>
        <v>"hc35", "LVRP.QME35.C", "Other excess repayments", "&lt;=80% LVR", "Other excess repayments", "Breakdown", "NZDm", "NZDm", ",d", "teal", "black", "Line", "",</v>
      </c>
    </row>
    <row r="55" spans="1:15" ht="14.25">
      <c r="A55" s="2" t="s">
        <v>278</v>
      </c>
      <c r="B55" s="2" t="s">
        <v>271</v>
      </c>
      <c r="C55" s="2" t="s">
        <v>773</v>
      </c>
      <c r="D55" s="2" t="s">
        <v>879</v>
      </c>
      <c r="E55" s="2" t="s">
        <v>773</v>
      </c>
      <c r="F55" s="2" t="s">
        <v>862</v>
      </c>
      <c r="G55" s="2" t="s">
        <v>217</v>
      </c>
      <c r="H55" s="2" t="s">
        <v>217</v>
      </c>
      <c r="I55" s="2" t="s">
        <v>921</v>
      </c>
      <c r="J55" s="3" t="s">
        <v>1081</v>
      </c>
      <c r="K55" s="3" t="s">
        <v>903</v>
      </c>
      <c r="L55" s="3" t="s">
        <v>873</v>
      </c>
      <c r="M55" s="3"/>
      <c r="O55" t="str">
        <f t="shared" si="0"/>
        <v>"hc35", "LVRP.QME36.C", "Repayment deficiencies", "&lt;=80% LVR", "Repayment deficiencies", "Breakdown", "NZDm", "NZDm", ",d", "teal", "black", "Line", "",</v>
      </c>
    </row>
    <row r="56" spans="1:15" ht="14.25">
      <c r="A56" s="2" t="s">
        <v>278</v>
      </c>
      <c r="B56" s="2" t="s">
        <v>273</v>
      </c>
      <c r="C56" s="2" t="s">
        <v>774</v>
      </c>
      <c r="D56" s="2" t="s">
        <v>879</v>
      </c>
      <c r="E56" s="2" t="s">
        <v>774</v>
      </c>
      <c r="F56" s="2" t="s">
        <v>862</v>
      </c>
      <c r="G56" s="2" t="s">
        <v>217</v>
      </c>
      <c r="H56" s="2" t="s">
        <v>217</v>
      </c>
      <c r="I56" s="2" t="s">
        <v>921</v>
      </c>
      <c r="J56" s="3" t="s">
        <v>1081</v>
      </c>
      <c r="K56" s="3" t="s">
        <v>903</v>
      </c>
      <c r="L56" s="3" t="s">
        <v>873</v>
      </c>
      <c r="M56" s="3"/>
      <c r="O56" t="str">
        <f t="shared" si="0"/>
        <v>"hc35", "LVRP.QME37.C", "Net write-offs", "&lt;=80% LVR", "Net write-offs", "Breakdown", "NZDm", "NZDm", ",d", "teal", "black", "Line", "",</v>
      </c>
    </row>
    <row r="57" spans="1:15" ht="14.25">
      <c r="A57" s="2" t="s">
        <v>278</v>
      </c>
      <c r="B57" s="2" t="s">
        <v>275</v>
      </c>
      <c r="C57" s="2" t="s">
        <v>775</v>
      </c>
      <c r="D57" s="2" t="s">
        <v>879</v>
      </c>
      <c r="E57" s="2" t="s">
        <v>775</v>
      </c>
      <c r="F57" s="2" t="s">
        <v>862</v>
      </c>
      <c r="G57" s="2" t="s">
        <v>217</v>
      </c>
      <c r="H57" s="2" t="s">
        <v>217</v>
      </c>
      <c r="I57" s="2" t="s">
        <v>921</v>
      </c>
      <c r="J57" s="3" t="s">
        <v>1081</v>
      </c>
      <c r="K57" s="3" t="s">
        <v>903</v>
      </c>
      <c r="L57" s="3" t="s">
        <v>873</v>
      </c>
      <c r="M57" s="3"/>
      <c r="O57" t="str">
        <f t="shared" si="0"/>
        <v>"hc35", "LVRP.QME38.C", "Other adjustments", "&lt;=80% LVR", "Other adjustments", "Breakdown", "NZDm", "NZDm", ",d", "teal", "black", "Line", "",</v>
      </c>
    </row>
    <row r="58" spans="1:15" ht="25.5">
      <c r="A58" s="2" t="s">
        <v>342</v>
      </c>
      <c r="B58" s="6" t="s">
        <v>280</v>
      </c>
      <c r="C58" s="5" t="s">
        <v>279</v>
      </c>
      <c r="D58" s="2"/>
      <c r="E58" s="5" t="s">
        <v>279</v>
      </c>
      <c r="F58" s="5"/>
      <c r="G58" s="5" t="s">
        <v>58</v>
      </c>
      <c r="H58" s="5" t="s">
        <v>58</v>
      </c>
      <c r="I58" s="15" t="s">
        <v>891</v>
      </c>
      <c r="J58" s="3" t="s">
        <v>1083</v>
      </c>
      <c r="K58" s="3" t="s">
        <v>1084</v>
      </c>
      <c r="L58" s="3" t="s">
        <v>872</v>
      </c>
      <c r="M58" s="3"/>
      <c r="O58" t="str">
        <f t="shared" si="0"/>
        <v>"hm1", "CPI.Q.C.ia", "Consumers price index (CPI)", "", "Consumers price index (CPI)", "", "Index", "Index", ".0f", "manual", "grey_snow", "Fill", "",</v>
      </c>
    </row>
    <row r="59" spans="1:15" ht="25.5">
      <c r="A59" s="2" t="s">
        <v>342</v>
      </c>
      <c r="B59" s="6" t="s">
        <v>281</v>
      </c>
      <c r="C59" s="5" t="s">
        <v>279</v>
      </c>
      <c r="D59" s="2"/>
      <c r="E59" s="5" t="s">
        <v>279</v>
      </c>
      <c r="F59" s="5"/>
      <c r="G59" s="5" t="s">
        <v>16</v>
      </c>
      <c r="H59" s="5" t="s">
        <v>781</v>
      </c>
      <c r="I59" s="2" t="s">
        <v>731</v>
      </c>
      <c r="J59" s="3" t="s">
        <v>1083</v>
      </c>
      <c r="K59" s="3" t="s">
        <v>1084</v>
      </c>
      <c r="L59" s="3" t="s">
        <v>872</v>
      </c>
      <c r="M59" s="3"/>
      <c r="O59" t="str">
        <f t="shared" si="0"/>
        <v>"hm1", "CPI.Q.C.iaq", "Consumers price index (CPI)", "", "Consumers price index (CPI)", "", "%", "q/q%", ".2f", "manual", "grey_snow", "Fill", "",</v>
      </c>
    </row>
    <row r="60" spans="1:15" ht="25.5">
      <c r="A60" s="2" t="s">
        <v>342</v>
      </c>
      <c r="B60" s="6" t="s">
        <v>282</v>
      </c>
      <c r="C60" s="5" t="s">
        <v>279</v>
      </c>
      <c r="D60" s="2"/>
      <c r="E60" s="5" t="s">
        <v>279</v>
      </c>
      <c r="F60" s="5"/>
      <c r="G60" s="5" t="s">
        <v>16</v>
      </c>
      <c r="H60" s="5" t="s">
        <v>782</v>
      </c>
      <c r="I60" s="2" t="s">
        <v>731</v>
      </c>
      <c r="J60" s="3" t="s">
        <v>1083</v>
      </c>
      <c r="K60" s="3" t="s">
        <v>1084</v>
      </c>
      <c r="L60" s="3" t="s">
        <v>872</v>
      </c>
      <c r="M60" s="3"/>
      <c r="O60" t="str">
        <f t="shared" si="0"/>
        <v>"hm1", "CPI.Q.C.iay", "Consumers price index (CPI)", "", "Consumers price index (CPI)", "", "%", "y/y%", ".2f", "manual", "grey_snow", "Fill", "",</v>
      </c>
    </row>
    <row r="61" spans="1:15" ht="14.25">
      <c r="A61" s="2" t="s">
        <v>342</v>
      </c>
      <c r="B61" s="6" t="s">
        <v>284</v>
      </c>
      <c r="C61" s="5" t="s">
        <v>283</v>
      </c>
      <c r="D61" s="2"/>
      <c r="E61" s="5" t="s">
        <v>283</v>
      </c>
      <c r="F61" s="5"/>
      <c r="G61" s="5" t="s">
        <v>58</v>
      </c>
      <c r="H61" s="5" t="s">
        <v>58</v>
      </c>
      <c r="I61" s="15" t="s">
        <v>891</v>
      </c>
      <c r="J61" s="3" t="s">
        <v>1080</v>
      </c>
      <c r="K61" s="3" t="s">
        <v>903</v>
      </c>
      <c r="L61" s="3" t="s">
        <v>873</v>
      </c>
      <c r="M61" s="3"/>
      <c r="O61" t="str">
        <f t="shared" si="0"/>
        <v>"hm1", "CPIT.Q.C.ia", "Tradable inflation", "", "Tradable inflation", "", "Index", "Index", ".0f", "qual", "black", "Line", "",</v>
      </c>
    </row>
    <row r="62" spans="1:15" ht="14.25">
      <c r="A62" s="2" t="s">
        <v>342</v>
      </c>
      <c r="B62" s="6" t="s">
        <v>285</v>
      </c>
      <c r="C62" s="5" t="s">
        <v>283</v>
      </c>
      <c r="D62" s="2"/>
      <c r="E62" s="5" t="s">
        <v>283</v>
      </c>
      <c r="F62" s="5"/>
      <c r="G62" s="5" t="s">
        <v>16</v>
      </c>
      <c r="H62" s="5" t="s">
        <v>781</v>
      </c>
      <c r="I62" s="2" t="s">
        <v>731</v>
      </c>
      <c r="J62" s="3" t="s">
        <v>1080</v>
      </c>
      <c r="K62" s="3" t="s">
        <v>903</v>
      </c>
      <c r="L62" s="3" t="s">
        <v>873</v>
      </c>
      <c r="M62" s="3"/>
      <c r="O62" t="str">
        <f t="shared" si="0"/>
        <v>"hm1", "CPIT.Q.C.iaq", "Tradable inflation", "", "Tradable inflation", "", "%", "q/q%", ".2f", "qual", "black", "Line", "",</v>
      </c>
    </row>
    <row r="63" spans="1:15" ht="14.25">
      <c r="A63" s="2" t="s">
        <v>342</v>
      </c>
      <c r="B63" s="6" t="s">
        <v>286</v>
      </c>
      <c r="C63" s="5" t="s">
        <v>283</v>
      </c>
      <c r="D63" s="2"/>
      <c r="E63" s="5" t="s">
        <v>283</v>
      </c>
      <c r="F63" s="5"/>
      <c r="G63" s="5" t="s">
        <v>16</v>
      </c>
      <c r="H63" s="5" t="s">
        <v>782</v>
      </c>
      <c r="I63" s="2" t="s">
        <v>731</v>
      </c>
      <c r="J63" s="3" t="s">
        <v>1080</v>
      </c>
      <c r="K63" s="3" t="s">
        <v>903</v>
      </c>
      <c r="L63" s="3" t="s">
        <v>873</v>
      </c>
      <c r="M63" s="3"/>
      <c r="O63" t="str">
        <f t="shared" si="0"/>
        <v>"hm1", "CPIT.Q.C.iay", "Tradable inflation", "", "Tradable inflation", "", "%", "y/y%", ".2f", "qual", "black", "Line", "",</v>
      </c>
    </row>
    <row r="64" spans="1:15" ht="14.25">
      <c r="A64" s="2" t="s">
        <v>342</v>
      </c>
      <c r="B64" s="6" t="s">
        <v>288</v>
      </c>
      <c r="C64" s="5" t="s">
        <v>287</v>
      </c>
      <c r="D64" s="2"/>
      <c r="E64" s="5" t="s">
        <v>287</v>
      </c>
      <c r="F64" s="5"/>
      <c r="G64" s="5" t="s">
        <v>58</v>
      </c>
      <c r="H64" s="5" t="s">
        <v>58</v>
      </c>
      <c r="I64" s="15" t="s">
        <v>891</v>
      </c>
      <c r="J64" s="3" t="s">
        <v>1080</v>
      </c>
      <c r="K64" s="3" t="s">
        <v>903</v>
      </c>
      <c r="L64" s="3" t="s">
        <v>873</v>
      </c>
      <c r="M64" s="3"/>
      <c r="O64" t="str">
        <f t="shared" si="0"/>
        <v>"hm1", "CPIN.Q.C.ia", "Non-tradable inflation", "", "Non-tradable inflation", "", "Index", "Index", ".0f", "qual", "black", "Line", "",</v>
      </c>
    </row>
    <row r="65" spans="1:15" ht="14.25">
      <c r="A65" s="2" t="s">
        <v>342</v>
      </c>
      <c r="B65" s="6" t="s">
        <v>289</v>
      </c>
      <c r="C65" s="5" t="s">
        <v>287</v>
      </c>
      <c r="D65" s="2"/>
      <c r="E65" s="5" t="s">
        <v>287</v>
      </c>
      <c r="F65" s="5"/>
      <c r="G65" s="5" t="s">
        <v>16</v>
      </c>
      <c r="H65" s="5" t="s">
        <v>781</v>
      </c>
      <c r="I65" s="2" t="s">
        <v>731</v>
      </c>
      <c r="J65" s="3" t="s">
        <v>1080</v>
      </c>
      <c r="K65" s="3" t="s">
        <v>903</v>
      </c>
      <c r="L65" s="3" t="s">
        <v>873</v>
      </c>
      <c r="M65" s="3"/>
      <c r="O65" t="str">
        <f t="shared" si="0"/>
        <v>"hm1", "CPIN.Q.C.iaq", "Non-tradable inflation", "", "Non-tradable inflation", "", "%", "q/q%", ".2f", "qual", "black", "Line", "",</v>
      </c>
    </row>
    <row r="66" spans="1:15" ht="14.25">
      <c r="A66" s="2" t="s">
        <v>342</v>
      </c>
      <c r="B66" s="6" t="s">
        <v>290</v>
      </c>
      <c r="C66" s="5" t="s">
        <v>287</v>
      </c>
      <c r="D66" s="2"/>
      <c r="E66" s="5" t="s">
        <v>287</v>
      </c>
      <c r="F66" s="5"/>
      <c r="G66" s="5" t="s">
        <v>16</v>
      </c>
      <c r="H66" s="5" t="s">
        <v>782</v>
      </c>
      <c r="I66" s="2" t="s">
        <v>731</v>
      </c>
      <c r="J66" s="3" t="s">
        <v>1080</v>
      </c>
      <c r="K66" s="3" t="s">
        <v>903</v>
      </c>
      <c r="L66" s="3" t="s">
        <v>873</v>
      </c>
      <c r="M66" s="3"/>
      <c r="O66" t="str">
        <f t="shared" si="0"/>
        <v>"hm1", "CPIN.Q.C.iay", "Non-tradable inflation", "", "Non-tradable inflation", "", "%", "y/y%", ".2f", "qual", "black", "Line", "",</v>
      </c>
    </row>
    <row r="67" spans="1:15" ht="14.25">
      <c r="A67" s="2" t="s">
        <v>342</v>
      </c>
      <c r="B67" s="6" t="s">
        <v>292</v>
      </c>
      <c r="C67" s="5" t="s">
        <v>291</v>
      </c>
      <c r="D67" s="2"/>
      <c r="E67" s="5" t="s">
        <v>291</v>
      </c>
      <c r="F67" s="5"/>
      <c r="G67" s="5" t="s">
        <v>58</v>
      </c>
      <c r="H67" s="5" t="s">
        <v>58</v>
      </c>
      <c r="I67" s="15" t="s">
        <v>891</v>
      </c>
      <c r="J67" s="3" t="s">
        <v>1080</v>
      </c>
      <c r="K67" s="3" t="s">
        <v>903</v>
      </c>
      <c r="L67" s="3" t="s">
        <v>873</v>
      </c>
      <c r="M67" s="3"/>
      <c r="O67" t="str">
        <f t="shared" ref="O67:O130" si="1">""""&amp;_xlfn.TEXTJOIN(""", """,FALSE,A67:M67)&amp;""""&amp;","</f>
        <v>"hm1", "CPI.Q.C01.ia", "Food", "", "Food", "", "Index", "Index", ".0f", "qual", "black", "Line", "",</v>
      </c>
    </row>
    <row r="68" spans="1:15" ht="14.25">
      <c r="A68" s="2" t="s">
        <v>342</v>
      </c>
      <c r="B68" s="6" t="s">
        <v>293</v>
      </c>
      <c r="C68" s="5" t="s">
        <v>291</v>
      </c>
      <c r="D68" s="2"/>
      <c r="E68" s="5" t="s">
        <v>291</v>
      </c>
      <c r="F68" s="5"/>
      <c r="G68" s="5" t="s">
        <v>16</v>
      </c>
      <c r="H68" s="5" t="s">
        <v>781</v>
      </c>
      <c r="I68" s="2" t="s">
        <v>731</v>
      </c>
      <c r="J68" s="3" t="s">
        <v>1080</v>
      </c>
      <c r="K68" s="3" t="s">
        <v>903</v>
      </c>
      <c r="L68" s="3" t="s">
        <v>873</v>
      </c>
      <c r="M68" s="3"/>
      <c r="O68" t="str">
        <f t="shared" si="1"/>
        <v>"hm1", "CPI.Q.C01.iaq", "Food", "", "Food", "", "%", "q/q%", ".2f", "qual", "black", "Line", "",</v>
      </c>
    </row>
    <row r="69" spans="1:15" ht="14.25">
      <c r="A69" s="2" t="s">
        <v>342</v>
      </c>
      <c r="B69" s="6" t="s">
        <v>294</v>
      </c>
      <c r="C69" s="5" t="s">
        <v>291</v>
      </c>
      <c r="D69" s="2"/>
      <c r="E69" s="5" t="s">
        <v>291</v>
      </c>
      <c r="F69" s="5"/>
      <c r="G69" s="5" t="s">
        <v>16</v>
      </c>
      <c r="H69" s="5" t="s">
        <v>782</v>
      </c>
      <c r="I69" s="2" t="s">
        <v>731</v>
      </c>
      <c r="J69" s="3" t="s">
        <v>1080</v>
      </c>
      <c r="K69" s="3" t="s">
        <v>903</v>
      </c>
      <c r="L69" s="3" t="s">
        <v>873</v>
      </c>
      <c r="M69" s="3"/>
      <c r="O69" t="str">
        <f t="shared" si="1"/>
        <v>"hm1", "CPI.Q.C01.iay", "Food", "", "Food", "", "%", "y/y%", ".2f", "qual", "black", "Line", "",</v>
      </c>
    </row>
    <row r="70" spans="1:15" ht="25.5">
      <c r="A70" s="2" t="s">
        <v>342</v>
      </c>
      <c r="B70" s="6" t="s">
        <v>296</v>
      </c>
      <c r="C70" s="5" t="s">
        <v>295</v>
      </c>
      <c r="D70" s="2"/>
      <c r="E70" s="5" t="s">
        <v>295</v>
      </c>
      <c r="F70" s="5"/>
      <c r="G70" s="5" t="s">
        <v>58</v>
      </c>
      <c r="H70" s="5" t="s">
        <v>58</v>
      </c>
      <c r="I70" s="15" t="s">
        <v>891</v>
      </c>
      <c r="J70" s="3" t="s">
        <v>1080</v>
      </c>
      <c r="K70" s="3" t="s">
        <v>903</v>
      </c>
      <c r="L70" s="3" t="s">
        <v>873</v>
      </c>
      <c r="M70" s="3"/>
      <c r="O70" t="str">
        <f t="shared" si="1"/>
        <v>"hm1", "CPI.Q.C04.ia", "Housing and household utilities", "", "Housing and household utilities", "", "Index", "Index", ".0f", "qual", "black", "Line", "",</v>
      </c>
    </row>
    <row r="71" spans="1:15" ht="25.5">
      <c r="A71" s="2" t="s">
        <v>342</v>
      </c>
      <c r="B71" s="6" t="s">
        <v>297</v>
      </c>
      <c r="C71" s="5" t="s">
        <v>295</v>
      </c>
      <c r="D71" s="2"/>
      <c r="E71" s="5" t="s">
        <v>295</v>
      </c>
      <c r="F71" s="5"/>
      <c r="G71" s="5" t="s">
        <v>16</v>
      </c>
      <c r="H71" s="5" t="s">
        <v>781</v>
      </c>
      <c r="I71" s="2" t="s">
        <v>731</v>
      </c>
      <c r="J71" s="3" t="s">
        <v>1080</v>
      </c>
      <c r="K71" s="3" t="s">
        <v>903</v>
      </c>
      <c r="L71" s="3" t="s">
        <v>873</v>
      </c>
      <c r="M71" s="3"/>
      <c r="O71" t="str">
        <f t="shared" si="1"/>
        <v>"hm1", "CPI.Q.C04.iaq", "Housing and household utilities", "", "Housing and household utilities", "", "%", "q/q%", ".2f", "qual", "black", "Line", "",</v>
      </c>
    </row>
    <row r="72" spans="1:15" ht="25.5">
      <c r="A72" s="2" t="s">
        <v>342</v>
      </c>
      <c r="B72" s="6" t="s">
        <v>298</v>
      </c>
      <c r="C72" s="5" t="s">
        <v>295</v>
      </c>
      <c r="D72" s="2"/>
      <c r="E72" s="5" t="s">
        <v>295</v>
      </c>
      <c r="F72" s="5"/>
      <c r="G72" s="5" t="s">
        <v>16</v>
      </c>
      <c r="H72" s="5" t="s">
        <v>782</v>
      </c>
      <c r="I72" s="2" t="s">
        <v>731</v>
      </c>
      <c r="J72" s="3" t="s">
        <v>1080</v>
      </c>
      <c r="K72" s="3" t="s">
        <v>903</v>
      </c>
      <c r="L72" s="3" t="s">
        <v>873</v>
      </c>
      <c r="M72" s="3"/>
      <c r="O72" t="str">
        <f t="shared" si="1"/>
        <v>"hm1", "CPI.Q.C04.iay", "Housing and household utilities", "", "Housing and household utilities", "", "%", "y/y%", ".2f", "qual", "black", "Line", "",</v>
      </c>
    </row>
    <row r="73" spans="1:15" ht="14.25">
      <c r="A73" s="2" t="s">
        <v>342</v>
      </c>
      <c r="B73" s="6" t="s">
        <v>300</v>
      </c>
      <c r="C73" s="5" t="s">
        <v>299</v>
      </c>
      <c r="D73" s="2"/>
      <c r="E73" s="5" t="s">
        <v>299</v>
      </c>
      <c r="F73" s="5"/>
      <c r="G73" s="5" t="s">
        <v>58</v>
      </c>
      <c r="H73" s="5" t="s">
        <v>58</v>
      </c>
      <c r="I73" s="15" t="s">
        <v>891</v>
      </c>
      <c r="J73" s="3" t="s">
        <v>1080</v>
      </c>
      <c r="K73" s="3" t="s">
        <v>903</v>
      </c>
      <c r="L73" s="3" t="s">
        <v>873</v>
      </c>
      <c r="M73" s="3"/>
      <c r="O73" t="str">
        <f t="shared" si="1"/>
        <v>"hm1", "CPI.Q.C07.ia", "Transportation", "", "Transportation", "", "Index", "Index", ".0f", "qual", "black", "Line", "",</v>
      </c>
    </row>
    <row r="74" spans="1:15" ht="14.25">
      <c r="A74" s="2" t="s">
        <v>342</v>
      </c>
      <c r="B74" s="6" t="s">
        <v>301</v>
      </c>
      <c r="C74" s="5" t="s">
        <v>299</v>
      </c>
      <c r="D74" s="2"/>
      <c r="E74" s="5" t="s">
        <v>299</v>
      </c>
      <c r="F74" s="5"/>
      <c r="G74" s="5" t="s">
        <v>16</v>
      </c>
      <c r="H74" s="5" t="s">
        <v>781</v>
      </c>
      <c r="I74" s="2" t="s">
        <v>731</v>
      </c>
      <c r="J74" s="3" t="s">
        <v>1080</v>
      </c>
      <c r="K74" s="3" t="s">
        <v>903</v>
      </c>
      <c r="L74" s="3" t="s">
        <v>873</v>
      </c>
      <c r="M74" s="3"/>
      <c r="O74" t="str">
        <f t="shared" si="1"/>
        <v>"hm1", "CPI.Q.C07.iaq", "Transportation", "", "Transportation", "", "%", "q/q%", ".2f", "qual", "black", "Line", "",</v>
      </c>
    </row>
    <row r="75" spans="1:15" ht="14.25">
      <c r="A75" s="2" t="s">
        <v>342</v>
      </c>
      <c r="B75" s="6" t="s">
        <v>302</v>
      </c>
      <c r="C75" s="5" t="s">
        <v>299</v>
      </c>
      <c r="D75" s="2"/>
      <c r="E75" s="5" t="s">
        <v>299</v>
      </c>
      <c r="F75" s="5"/>
      <c r="G75" s="5" t="s">
        <v>16</v>
      </c>
      <c r="H75" s="5" t="s">
        <v>782</v>
      </c>
      <c r="I75" s="2" t="s">
        <v>731</v>
      </c>
      <c r="J75" s="3" t="s">
        <v>1080</v>
      </c>
      <c r="K75" s="3" t="s">
        <v>903</v>
      </c>
      <c r="L75" s="3" t="s">
        <v>873</v>
      </c>
      <c r="M75" s="3"/>
      <c r="O75" t="str">
        <f t="shared" si="1"/>
        <v>"hm1", "CPI.Q.C07.iay", "Transportation", "", "Transportation", "", "%", "y/y%", ".2f", "qual", "black", "Line", "",</v>
      </c>
    </row>
    <row r="76" spans="1:15" ht="14.25">
      <c r="A76" s="2" t="s">
        <v>342</v>
      </c>
      <c r="B76" s="6" t="s">
        <v>304</v>
      </c>
      <c r="C76" s="5" t="s">
        <v>303</v>
      </c>
      <c r="D76" s="2"/>
      <c r="E76" s="5" t="s">
        <v>303</v>
      </c>
      <c r="F76" s="5"/>
      <c r="G76" s="5" t="s">
        <v>58</v>
      </c>
      <c r="H76" s="5" t="s">
        <v>58</v>
      </c>
      <c r="I76" s="15" t="s">
        <v>891</v>
      </c>
      <c r="J76" s="3" t="s">
        <v>1080</v>
      </c>
      <c r="K76" s="3" t="s">
        <v>903</v>
      </c>
      <c r="L76" s="3" t="s">
        <v>873</v>
      </c>
      <c r="M76" s="3"/>
      <c r="O76" t="str">
        <f t="shared" si="1"/>
        <v>"hm1", "CPI.Q.C07202.ia", "Petrol", "", "Petrol", "", "Index", "Index", ".0f", "qual", "black", "Line", "",</v>
      </c>
    </row>
    <row r="77" spans="1:15" ht="14.25">
      <c r="A77" s="2" t="s">
        <v>342</v>
      </c>
      <c r="B77" s="6" t="s">
        <v>305</v>
      </c>
      <c r="C77" s="5" t="s">
        <v>303</v>
      </c>
      <c r="D77" s="2"/>
      <c r="E77" s="5" t="s">
        <v>303</v>
      </c>
      <c r="F77" s="5"/>
      <c r="G77" s="5" t="s">
        <v>16</v>
      </c>
      <c r="H77" s="5" t="s">
        <v>781</v>
      </c>
      <c r="I77" s="2" t="s">
        <v>731</v>
      </c>
      <c r="J77" s="3" t="s">
        <v>1080</v>
      </c>
      <c r="K77" s="3" t="s">
        <v>903</v>
      </c>
      <c r="L77" s="3" t="s">
        <v>873</v>
      </c>
      <c r="M77" s="3"/>
      <c r="O77" t="str">
        <f t="shared" si="1"/>
        <v>"hm1", "CPI.Q.C07202.iaq", "Petrol", "", "Petrol", "", "%", "q/q%", ".2f", "qual", "black", "Line", "",</v>
      </c>
    </row>
    <row r="78" spans="1:15" ht="14.25">
      <c r="A78" s="2" t="s">
        <v>342</v>
      </c>
      <c r="B78" s="6" t="s">
        <v>306</v>
      </c>
      <c r="C78" s="5" t="s">
        <v>303</v>
      </c>
      <c r="D78" s="2"/>
      <c r="E78" s="5" t="s">
        <v>303</v>
      </c>
      <c r="F78" s="5"/>
      <c r="G78" s="5" t="s">
        <v>16</v>
      </c>
      <c r="H78" s="5" t="s">
        <v>782</v>
      </c>
      <c r="I78" s="2" t="s">
        <v>731</v>
      </c>
      <c r="J78" s="3" t="s">
        <v>1080</v>
      </c>
      <c r="K78" s="3" t="s">
        <v>903</v>
      </c>
      <c r="L78" s="3" t="s">
        <v>873</v>
      </c>
      <c r="M78" s="3"/>
      <c r="O78" t="str">
        <f t="shared" si="1"/>
        <v>"hm1", "CPI.Q.C07202.iay", "Petrol", "", "Petrol", "", "%", "y/y%", ".2f", "qual", "black", "Line", "",</v>
      </c>
    </row>
    <row r="79" spans="1:15" ht="14.25">
      <c r="A79" s="2" t="s">
        <v>342</v>
      </c>
      <c r="B79" s="6" t="s">
        <v>308</v>
      </c>
      <c r="C79" s="5" t="s">
        <v>307</v>
      </c>
      <c r="D79" s="2"/>
      <c r="E79" s="5" t="s">
        <v>307</v>
      </c>
      <c r="F79" s="5"/>
      <c r="G79" s="5" t="s">
        <v>58</v>
      </c>
      <c r="H79" s="5" t="s">
        <v>58</v>
      </c>
      <c r="I79" s="15" t="s">
        <v>891</v>
      </c>
      <c r="J79" s="3" t="s">
        <v>1080</v>
      </c>
      <c r="K79" s="3" t="s">
        <v>903</v>
      </c>
      <c r="L79" s="3" t="s">
        <v>873</v>
      </c>
      <c r="M79" s="3"/>
      <c r="O79" t="str">
        <f t="shared" si="1"/>
        <v>"hm1", "CPI.Q.ZC21.ia", "CPI excluding petrol", "", "CPI excluding petrol", "", "Index", "Index", ".0f", "qual", "black", "Line", "",</v>
      </c>
    </row>
    <row r="80" spans="1:15" ht="14.25">
      <c r="A80" s="2" t="s">
        <v>342</v>
      </c>
      <c r="B80" s="6" t="s">
        <v>309</v>
      </c>
      <c r="C80" s="5" t="s">
        <v>307</v>
      </c>
      <c r="D80" s="2"/>
      <c r="E80" s="5" t="s">
        <v>307</v>
      </c>
      <c r="F80" s="5"/>
      <c r="G80" s="5" t="s">
        <v>16</v>
      </c>
      <c r="H80" s="5" t="s">
        <v>781</v>
      </c>
      <c r="I80" s="2" t="s">
        <v>731</v>
      </c>
      <c r="J80" s="3" t="s">
        <v>1080</v>
      </c>
      <c r="K80" s="3" t="s">
        <v>903</v>
      </c>
      <c r="L80" s="3" t="s">
        <v>873</v>
      </c>
      <c r="M80" s="3"/>
      <c r="O80" t="str">
        <f t="shared" si="1"/>
        <v>"hm1", "CPI.Q.ZC21.iaq", "CPI excluding petrol", "", "CPI excluding petrol", "", "%", "q/q%", ".2f", "qual", "black", "Line", "",</v>
      </c>
    </row>
    <row r="81" spans="1:15" ht="14.25">
      <c r="A81" s="2" t="s">
        <v>342</v>
      </c>
      <c r="B81" s="6" t="s">
        <v>310</v>
      </c>
      <c r="C81" s="5" t="s">
        <v>307</v>
      </c>
      <c r="D81" s="2"/>
      <c r="E81" s="5" t="s">
        <v>307</v>
      </c>
      <c r="F81" s="5"/>
      <c r="G81" s="5" t="s">
        <v>16</v>
      </c>
      <c r="H81" s="5" t="s">
        <v>782</v>
      </c>
      <c r="I81" s="2" t="s">
        <v>731</v>
      </c>
      <c r="J81" s="3" t="s">
        <v>1080</v>
      </c>
      <c r="K81" s="3" t="s">
        <v>903</v>
      </c>
      <c r="L81" s="3" t="s">
        <v>873</v>
      </c>
      <c r="M81" s="3"/>
      <c r="O81" t="str">
        <f t="shared" si="1"/>
        <v>"hm1", "CPI.Q.ZC21.iay", "CPI excluding petrol", "", "CPI excluding petrol", "", "%", "y/y%", ".2f", "qual", "black", "Line", "",</v>
      </c>
    </row>
    <row r="82" spans="1:15" ht="14.25">
      <c r="A82" s="2" t="s">
        <v>342</v>
      </c>
      <c r="B82" s="6" t="s">
        <v>312</v>
      </c>
      <c r="C82" s="5" t="s">
        <v>311</v>
      </c>
      <c r="D82" s="2"/>
      <c r="E82" s="5" t="s">
        <v>311</v>
      </c>
      <c r="F82" s="5"/>
      <c r="G82" s="5" t="s">
        <v>16</v>
      </c>
      <c r="H82" s="5" t="s">
        <v>781</v>
      </c>
      <c r="I82" s="2" t="s">
        <v>731</v>
      </c>
      <c r="J82" s="3" t="s">
        <v>1080</v>
      </c>
      <c r="K82" s="3" t="s">
        <v>903</v>
      </c>
      <c r="L82" s="3" t="s">
        <v>873</v>
      </c>
      <c r="M82" s="3"/>
      <c r="O82" t="str">
        <f t="shared" si="1"/>
        <v>"hm1", "CPI.Q.ZC40.iaq", "Trimmed mean", "", "Trimmed mean", "", "%", "q/q%", ".2f", "qual", "black", "Line", "",</v>
      </c>
    </row>
    <row r="83" spans="1:15" ht="14.25">
      <c r="A83" s="2" t="s">
        <v>342</v>
      </c>
      <c r="B83" s="6" t="s">
        <v>313</v>
      </c>
      <c r="C83" s="5" t="s">
        <v>311</v>
      </c>
      <c r="D83" s="2"/>
      <c r="E83" s="5" t="s">
        <v>311</v>
      </c>
      <c r="F83" s="5"/>
      <c r="G83" s="5" t="s">
        <v>16</v>
      </c>
      <c r="H83" s="5" t="s">
        <v>782</v>
      </c>
      <c r="I83" s="2" t="s">
        <v>731</v>
      </c>
      <c r="J83" s="3" t="s">
        <v>1080</v>
      </c>
      <c r="K83" s="3" t="s">
        <v>903</v>
      </c>
      <c r="L83" s="3" t="s">
        <v>873</v>
      </c>
      <c r="M83" s="3"/>
      <c r="O83" t="str">
        <f t="shared" si="1"/>
        <v>"hm1", "CPIM.Q.C40T10B17.iay", "Trimmed mean", "", "Trimmed mean", "", "%", "y/y%", ".2f", "qual", "black", "Line", "",</v>
      </c>
    </row>
    <row r="84" spans="1:15" ht="14.25">
      <c r="A84" s="2" t="s">
        <v>342</v>
      </c>
      <c r="B84" s="6" t="s">
        <v>315</v>
      </c>
      <c r="C84" s="5" t="s">
        <v>314</v>
      </c>
      <c r="D84" s="2"/>
      <c r="E84" s="5" t="s">
        <v>314</v>
      </c>
      <c r="F84" s="5"/>
      <c r="G84" s="5" t="s">
        <v>16</v>
      </c>
      <c r="H84" s="5" t="s">
        <v>781</v>
      </c>
      <c r="I84" s="2" t="s">
        <v>731</v>
      </c>
      <c r="J84" s="3" t="s">
        <v>1080</v>
      </c>
      <c r="K84" s="3" t="s">
        <v>903</v>
      </c>
      <c r="L84" s="3" t="s">
        <v>873</v>
      </c>
      <c r="M84" s="3"/>
      <c r="O84" t="str">
        <f t="shared" si="1"/>
        <v>"hm1", "CPI.Q.ZC41.iaq", "Weighted median", "", "Weighted median", "", "%", "q/q%", ".2f", "qual", "black", "Line", "",</v>
      </c>
    </row>
    <row r="85" spans="1:15" ht="14.25">
      <c r="A85" s="2" t="s">
        <v>342</v>
      </c>
      <c r="B85" s="6" t="s">
        <v>316</v>
      </c>
      <c r="C85" s="5" t="s">
        <v>314</v>
      </c>
      <c r="D85" s="2"/>
      <c r="E85" s="5" t="s">
        <v>314</v>
      </c>
      <c r="F85" s="5"/>
      <c r="G85" s="5" t="s">
        <v>16</v>
      </c>
      <c r="H85" s="5" t="s">
        <v>782</v>
      </c>
      <c r="I85" s="2" t="s">
        <v>731</v>
      </c>
      <c r="J85" s="3" t="s">
        <v>1080</v>
      </c>
      <c r="K85" s="3" t="s">
        <v>903</v>
      </c>
      <c r="L85" s="3" t="s">
        <v>873</v>
      </c>
      <c r="M85" s="3"/>
      <c r="O85" t="str">
        <f t="shared" si="1"/>
        <v>"hm1", "CPIW.Q.C41P50B17.iay", "Weighted median", "", "Weighted median", "", "%", "y/y%", ".2f", "qual", "black", "Line", "",</v>
      </c>
    </row>
    <row r="86" spans="1:15" ht="14.25">
      <c r="A86" s="2" t="s">
        <v>342</v>
      </c>
      <c r="B86" s="6" t="s">
        <v>318</v>
      </c>
      <c r="C86" s="5" t="s">
        <v>317</v>
      </c>
      <c r="D86" s="2"/>
      <c r="E86" s="5" t="s">
        <v>317</v>
      </c>
      <c r="F86" s="5"/>
      <c r="G86" s="5" t="s">
        <v>16</v>
      </c>
      <c r="H86" s="5" t="s">
        <v>782</v>
      </c>
      <c r="I86" s="2" t="s">
        <v>731</v>
      </c>
      <c r="J86" s="3" t="s">
        <v>1080</v>
      </c>
      <c r="K86" s="3" t="s">
        <v>903</v>
      </c>
      <c r="L86" s="3" t="s">
        <v>873</v>
      </c>
      <c r="M86" s="3"/>
      <c r="O86" t="str">
        <f t="shared" si="1"/>
        <v>"hm1", "CPI.Q.ZC42.iay", "Factor model", "", "Factor model", "", "%", "y/y%", ".2f", "qual", "black", "Line", "",</v>
      </c>
    </row>
    <row r="87" spans="1:15" ht="14.25">
      <c r="A87" s="2" t="s">
        <v>342</v>
      </c>
      <c r="B87" s="6" t="s">
        <v>320</v>
      </c>
      <c r="C87" s="5" t="s">
        <v>319</v>
      </c>
      <c r="D87" s="2"/>
      <c r="E87" s="5" t="s">
        <v>319</v>
      </c>
      <c r="F87" s="5"/>
      <c r="G87" s="5" t="s">
        <v>16</v>
      </c>
      <c r="H87" s="5" t="s">
        <v>782</v>
      </c>
      <c r="I87" s="2" t="s">
        <v>731</v>
      </c>
      <c r="J87" s="3" t="s">
        <v>1080</v>
      </c>
      <c r="K87" s="3" t="s">
        <v>903</v>
      </c>
      <c r="L87" s="3" t="s">
        <v>873</v>
      </c>
      <c r="M87" s="3"/>
      <c r="O87" t="str">
        <f t="shared" si="1"/>
        <v>"hm1", "CPI.Q.ZC43.iay", "Sectoral factor model", "", "Sectoral factor model", "", "%", "y/y%", ".2f", "qual", "black", "Line", "",</v>
      </c>
    </row>
    <row r="88" spans="1:15" ht="25.5">
      <c r="A88" s="2" t="s">
        <v>342</v>
      </c>
      <c r="B88" s="6" t="s">
        <v>322</v>
      </c>
      <c r="C88" s="5" t="s">
        <v>321</v>
      </c>
      <c r="D88" s="2"/>
      <c r="E88" s="5" t="s">
        <v>321</v>
      </c>
      <c r="F88" s="5"/>
      <c r="H88" s="5" t="s">
        <v>782</v>
      </c>
      <c r="I88" s="2" t="s">
        <v>731</v>
      </c>
      <c r="J88" s="3" t="s">
        <v>1080</v>
      </c>
      <c r="K88" s="3" t="s">
        <v>903</v>
      </c>
      <c r="L88" s="3" t="s">
        <v>873</v>
      </c>
      <c r="M88" s="3"/>
      <c r="O88" t="str">
        <f t="shared" si="1"/>
        <v>"hm1", "CPI.Q.ZC431.iay", "Sectoral factor model - tradable core", "", "Sectoral factor model - tradable core", "", "", "y/y%", ".2f", "qual", "black", "Line", "",</v>
      </c>
    </row>
    <row r="89" spans="1:15" ht="25.5">
      <c r="A89" s="2" t="s">
        <v>342</v>
      </c>
      <c r="B89" s="6" t="s">
        <v>324</v>
      </c>
      <c r="C89" s="5" t="s">
        <v>323</v>
      </c>
      <c r="D89" s="2"/>
      <c r="E89" s="5" t="s">
        <v>323</v>
      </c>
      <c r="F89" s="5"/>
      <c r="H89" s="5" t="s">
        <v>782</v>
      </c>
      <c r="I89" s="2" t="s">
        <v>731</v>
      </c>
      <c r="J89" s="3" t="s">
        <v>1080</v>
      </c>
      <c r="K89" s="3" t="s">
        <v>903</v>
      </c>
      <c r="L89" s="3" t="s">
        <v>873</v>
      </c>
      <c r="M89" s="3"/>
      <c r="O89" t="str">
        <f t="shared" si="1"/>
        <v>"hm1", "CPI.Q.ZC432.iay", "Sectoral factor model - non-tradable core", "", "Sectoral factor model - non-tradable core", "", "", "y/y%", ".2f", "qual", "black", "Line", "",</v>
      </c>
    </row>
    <row r="90" spans="1:15" ht="25.5">
      <c r="A90" s="2" t="s">
        <v>342</v>
      </c>
      <c r="B90" s="6" t="s">
        <v>326</v>
      </c>
      <c r="C90" s="5" t="s">
        <v>325</v>
      </c>
      <c r="D90" s="2"/>
      <c r="E90" s="5" t="s">
        <v>325</v>
      </c>
      <c r="F90" s="5"/>
      <c r="G90" s="5" t="s">
        <v>58</v>
      </c>
      <c r="H90" s="5" t="s">
        <v>58</v>
      </c>
      <c r="I90" s="15" t="s">
        <v>891</v>
      </c>
      <c r="J90" s="3" t="s">
        <v>1080</v>
      </c>
      <c r="K90" s="3" t="s">
        <v>903</v>
      </c>
      <c r="L90" s="3" t="s">
        <v>873</v>
      </c>
      <c r="M90" s="3"/>
      <c r="O90" t="str">
        <f t="shared" si="1"/>
        <v>"hm1", "HPI.Q.H01T0.ia", "PropertyIQ House price index (HPI)", "", "PropertyIQ House price index (HPI)", "", "Index", "Index", ".0f", "qual", "black", "Line", "",</v>
      </c>
    </row>
    <row r="91" spans="1:15" ht="25.5">
      <c r="A91" s="2" t="s">
        <v>342</v>
      </c>
      <c r="B91" s="6" t="s">
        <v>327</v>
      </c>
      <c r="C91" s="5" t="s">
        <v>325</v>
      </c>
      <c r="D91" s="2"/>
      <c r="E91" s="5" t="s">
        <v>325</v>
      </c>
      <c r="F91" s="5"/>
      <c r="G91" s="5" t="s">
        <v>16</v>
      </c>
      <c r="H91" s="5" t="s">
        <v>781</v>
      </c>
      <c r="I91" s="2" t="s">
        <v>731</v>
      </c>
      <c r="J91" s="3" t="s">
        <v>1080</v>
      </c>
      <c r="K91" s="3" t="s">
        <v>903</v>
      </c>
      <c r="L91" s="3" t="s">
        <v>873</v>
      </c>
      <c r="M91" s="3"/>
      <c r="O91" t="str">
        <f t="shared" si="1"/>
        <v>"hm1", "HPI.Q.H01T0.iaq", "PropertyIQ House price index (HPI)", "", "PropertyIQ House price index (HPI)", "", "%", "q/q%", ".2f", "qual", "black", "Line", "",</v>
      </c>
    </row>
    <row r="92" spans="1:15" ht="25.5">
      <c r="A92" s="2" t="s">
        <v>342</v>
      </c>
      <c r="B92" s="6" t="s">
        <v>328</v>
      </c>
      <c r="C92" s="5" t="s">
        <v>325</v>
      </c>
      <c r="D92" s="2"/>
      <c r="E92" s="5" t="s">
        <v>325</v>
      </c>
      <c r="F92" s="5"/>
      <c r="G92" s="5" t="s">
        <v>16</v>
      </c>
      <c r="H92" s="5" t="s">
        <v>782</v>
      </c>
      <c r="I92" s="2" t="s">
        <v>731</v>
      </c>
      <c r="J92" s="3" t="s">
        <v>1080</v>
      </c>
      <c r="K92" s="3" t="s">
        <v>903</v>
      </c>
      <c r="L92" s="3" t="s">
        <v>873</v>
      </c>
      <c r="M92" s="3"/>
      <c r="O92" t="str">
        <f t="shared" si="1"/>
        <v>"hm1", "HPI.Q.H01T0.iay", "PropertyIQ House price index (HPI)", "", "PropertyIQ House price index (HPI)", "", "%", "y/y%", ".2f", "qual", "black", "Line", "",</v>
      </c>
    </row>
    <row r="93" spans="1:15" ht="14.25">
      <c r="A93" s="2" t="s">
        <v>342</v>
      </c>
      <c r="B93" s="6" t="s">
        <v>330</v>
      </c>
      <c r="C93" s="5" t="s">
        <v>329</v>
      </c>
      <c r="D93" s="2"/>
      <c r="E93" s="5" t="s">
        <v>329</v>
      </c>
      <c r="F93" s="5"/>
      <c r="G93" s="5" t="s">
        <v>58</v>
      </c>
      <c r="H93" s="5" t="s">
        <v>58</v>
      </c>
      <c r="I93" s="15" t="s">
        <v>891</v>
      </c>
      <c r="J93" s="3" t="s">
        <v>1080</v>
      </c>
      <c r="K93" s="3" t="s">
        <v>903</v>
      </c>
      <c r="L93" s="3" t="s">
        <v>873</v>
      </c>
      <c r="M93" s="3"/>
      <c r="O93" t="str">
        <f t="shared" si="1"/>
        <v>"hm1", "GDE.Q.DY.RS", "GDP deflator", "", "GDP deflator", "", "Index", "Index", ".0f", "qual", "black", "Line", "",</v>
      </c>
    </row>
    <row r="94" spans="1:15" ht="14.25">
      <c r="A94" s="2" t="s">
        <v>342</v>
      </c>
      <c r="B94" s="6" t="s">
        <v>331</v>
      </c>
      <c r="C94" s="5" t="s">
        <v>329</v>
      </c>
      <c r="D94" s="2"/>
      <c r="E94" s="5" t="s">
        <v>329</v>
      </c>
      <c r="F94" s="5"/>
      <c r="H94" s="5" t="s">
        <v>781</v>
      </c>
      <c r="I94" s="2" t="s">
        <v>731</v>
      </c>
      <c r="J94" s="3" t="s">
        <v>1080</v>
      </c>
      <c r="K94" s="3" t="s">
        <v>903</v>
      </c>
      <c r="L94" s="3" t="s">
        <v>873</v>
      </c>
      <c r="M94" s="3"/>
      <c r="O94" t="str">
        <f t="shared" si="1"/>
        <v>"hm1", "GDE.Q.DY.rsq", "GDP deflator", "", "GDP deflator", "", "", "q/q%", ".2f", "qual", "black", "Line", "",</v>
      </c>
    </row>
    <row r="95" spans="1:15" ht="14.25">
      <c r="A95" s="2" t="s">
        <v>342</v>
      </c>
      <c r="B95" s="6" t="s">
        <v>333</v>
      </c>
      <c r="C95" s="5" t="s">
        <v>329</v>
      </c>
      <c r="D95" s="2"/>
      <c r="E95" s="5" t="s">
        <v>329</v>
      </c>
      <c r="F95" s="5"/>
      <c r="G95" s="5" t="s">
        <v>16</v>
      </c>
      <c r="H95" s="5" t="s">
        <v>782</v>
      </c>
      <c r="I95" s="2" t="s">
        <v>731</v>
      </c>
      <c r="J95" s="3" t="s">
        <v>1080</v>
      </c>
      <c r="K95" s="3" t="s">
        <v>903</v>
      </c>
      <c r="L95" s="3" t="s">
        <v>873</v>
      </c>
      <c r="M95" s="3"/>
      <c r="O95" t="str">
        <f t="shared" si="1"/>
        <v>"hm1", "GDE.Q.DY.rsy", "GDP deflator", "", "GDP deflator", "", "%", "y/y%", ".2f", "qual", "black", "Line", "",</v>
      </c>
    </row>
    <row r="96" spans="1:15" ht="25.5">
      <c r="A96" s="2" t="s">
        <v>342</v>
      </c>
      <c r="B96" s="6" t="s">
        <v>335</v>
      </c>
      <c r="C96" s="5" t="s">
        <v>334</v>
      </c>
      <c r="D96" s="2"/>
      <c r="E96" s="5" t="s">
        <v>334</v>
      </c>
      <c r="F96" s="5"/>
      <c r="H96" s="5" t="s">
        <v>58</v>
      </c>
      <c r="I96" s="15" t="s">
        <v>891</v>
      </c>
      <c r="J96" s="3" t="s">
        <v>1080</v>
      </c>
      <c r="K96" s="3" t="s">
        <v>903</v>
      </c>
      <c r="L96" s="3" t="s">
        <v>873</v>
      </c>
      <c r="M96" s="3"/>
      <c r="O96" t="str">
        <f t="shared" si="1"/>
        <v>"hm1", "PPI06.Q.T0I1.ia", "Producers price index (PPI) inputs", "", "Producers price index (PPI) inputs", "", "", "Index", ".0f", "qual", "black", "Line", "",</v>
      </c>
    </row>
    <row r="97" spans="1:15" ht="25.5">
      <c r="A97" s="2" t="s">
        <v>342</v>
      </c>
      <c r="B97" s="6" t="s">
        <v>336</v>
      </c>
      <c r="C97" s="5" t="s">
        <v>334</v>
      </c>
      <c r="D97" s="2"/>
      <c r="E97" s="5" t="s">
        <v>334</v>
      </c>
      <c r="F97" s="5"/>
      <c r="G97" s="5" t="s">
        <v>16</v>
      </c>
      <c r="H97" s="5" t="s">
        <v>781</v>
      </c>
      <c r="I97" s="2" t="s">
        <v>731</v>
      </c>
      <c r="J97" s="3" t="s">
        <v>1080</v>
      </c>
      <c r="K97" s="3" t="s">
        <v>903</v>
      </c>
      <c r="L97" s="3" t="s">
        <v>873</v>
      </c>
      <c r="M97" s="3"/>
      <c r="O97" t="str">
        <f t="shared" si="1"/>
        <v>"hm1", "PPI06.Q.T0I1.iaq", "Producers price index (PPI) inputs", "", "Producers price index (PPI) inputs", "", "%", "q/q%", ".2f", "qual", "black", "Line", "",</v>
      </c>
    </row>
    <row r="98" spans="1:15" ht="25.5">
      <c r="A98" s="2" t="s">
        <v>342</v>
      </c>
      <c r="B98" s="6" t="s">
        <v>337</v>
      </c>
      <c r="C98" s="5" t="s">
        <v>334</v>
      </c>
      <c r="D98" s="2"/>
      <c r="E98" s="5" t="s">
        <v>334</v>
      </c>
      <c r="F98" s="5"/>
      <c r="G98" s="5" t="s">
        <v>16</v>
      </c>
      <c r="H98" s="5" t="s">
        <v>782</v>
      </c>
      <c r="I98" s="2" t="s">
        <v>731</v>
      </c>
      <c r="J98" s="3" t="s">
        <v>1080</v>
      </c>
      <c r="K98" s="3" t="s">
        <v>903</v>
      </c>
      <c r="L98" s="3" t="s">
        <v>873</v>
      </c>
      <c r="M98" s="3"/>
      <c r="O98" t="str">
        <f t="shared" si="1"/>
        <v>"hm1", "PPI06.Q.T0I1.iay", "Producers price index (PPI) inputs", "", "Producers price index (PPI) inputs", "", "%", "y/y%", ".2f", "qual", "black", "Line", "",</v>
      </c>
    </row>
    <row r="99" spans="1:15" ht="25.5">
      <c r="A99" s="2" t="s">
        <v>342</v>
      </c>
      <c r="B99" s="6" t="s">
        <v>339</v>
      </c>
      <c r="C99" s="5" t="s">
        <v>338</v>
      </c>
      <c r="D99" s="2"/>
      <c r="E99" s="5" t="s">
        <v>338</v>
      </c>
      <c r="F99" s="5"/>
      <c r="H99" s="5" t="s">
        <v>58</v>
      </c>
      <c r="I99" s="15" t="s">
        <v>891</v>
      </c>
      <c r="J99" s="3" t="s">
        <v>1080</v>
      </c>
      <c r="K99" s="3" t="s">
        <v>903</v>
      </c>
      <c r="L99" s="3" t="s">
        <v>873</v>
      </c>
      <c r="M99" s="3"/>
      <c r="O99" t="str">
        <f t="shared" si="1"/>
        <v>"hm1", "PPI06.Q.T0I2.ia", "Producers price index (PPI) outputs", "", "Producers price index (PPI) outputs", "", "", "Index", ".0f", "qual", "black", "Line", "",</v>
      </c>
    </row>
    <row r="100" spans="1:15" ht="25.5">
      <c r="A100" s="2" t="s">
        <v>342</v>
      </c>
      <c r="B100" s="6" t="s">
        <v>340</v>
      </c>
      <c r="C100" s="5" t="s">
        <v>338</v>
      </c>
      <c r="D100" s="2"/>
      <c r="E100" s="5" t="s">
        <v>338</v>
      </c>
      <c r="F100" s="5"/>
      <c r="G100" s="5" t="s">
        <v>16</v>
      </c>
      <c r="H100" s="5" t="s">
        <v>781</v>
      </c>
      <c r="I100" s="2" t="s">
        <v>731</v>
      </c>
      <c r="J100" s="3" t="s">
        <v>1080</v>
      </c>
      <c r="K100" s="3" t="s">
        <v>903</v>
      </c>
      <c r="L100" s="3" t="s">
        <v>873</v>
      </c>
      <c r="M100" s="3"/>
      <c r="O100" t="str">
        <f t="shared" si="1"/>
        <v>"hm1", "PPI06.Q.T0I2.iaq", "Producers price index (PPI) outputs", "", "Producers price index (PPI) outputs", "", "%", "q/q%", ".2f", "qual", "black", "Line", "",</v>
      </c>
    </row>
    <row r="101" spans="1:15" ht="25.5">
      <c r="A101" s="2" t="s">
        <v>342</v>
      </c>
      <c r="B101" s="6" t="s">
        <v>341</v>
      </c>
      <c r="C101" s="5" t="s">
        <v>338</v>
      </c>
      <c r="D101" s="2"/>
      <c r="E101" s="5" t="s">
        <v>338</v>
      </c>
      <c r="F101" s="5"/>
      <c r="G101" s="5" t="s">
        <v>16</v>
      </c>
      <c r="H101" s="5" t="s">
        <v>782</v>
      </c>
      <c r="I101" s="2" t="s">
        <v>731</v>
      </c>
      <c r="J101" s="3" t="s">
        <v>1080</v>
      </c>
      <c r="K101" s="3" t="s">
        <v>903</v>
      </c>
      <c r="L101" s="3" t="s">
        <v>873</v>
      </c>
      <c r="M101" s="3"/>
      <c r="O101" t="str">
        <f t="shared" si="1"/>
        <v>"hm1", "PPI06.Q.T0I2.iay", "Producers price index (PPI) outputs", "", "Producers price index (PPI) outputs", "", "%", "y/y%", ".2f", "qual", "black", "Line", "",</v>
      </c>
    </row>
    <row r="102" spans="1:15" ht="14.25">
      <c r="A102" s="2" t="s">
        <v>373</v>
      </c>
      <c r="B102" s="6" t="s">
        <v>344</v>
      </c>
      <c r="C102" s="5" t="s">
        <v>343</v>
      </c>
      <c r="D102" s="2"/>
      <c r="E102" s="5" t="s">
        <v>783</v>
      </c>
      <c r="F102" s="2"/>
      <c r="G102" s="5" t="s">
        <v>217</v>
      </c>
      <c r="H102" s="2" t="s">
        <v>217</v>
      </c>
      <c r="I102" s="17" t="s">
        <v>921</v>
      </c>
      <c r="J102" s="3" t="s">
        <v>1080</v>
      </c>
      <c r="K102" s="3" t="s">
        <v>903</v>
      </c>
      <c r="L102" s="3" t="s">
        <v>873</v>
      </c>
      <c r="M102" s="3"/>
      <c r="O102" t="str">
        <f t="shared" si="1"/>
        <v>"hm2", "RTS06.Q.S1G.na", "Retail trade sales", "", "Retail trade sales NZDm", "", "NZDm", "NZDm", ",d", "qual", "black", "Line", "",</v>
      </c>
    </row>
    <row r="103" spans="1:15" ht="14.25">
      <c r="A103" s="2" t="s">
        <v>373</v>
      </c>
      <c r="B103" s="6" t="s">
        <v>345</v>
      </c>
      <c r="C103" s="5" t="s">
        <v>343</v>
      </c>
      <c r="D103" s="2"/>
      <c r="E103" s="5" t="s">
        <v>784</v>
      </c>
      <c r="F103" s="2"/>
      <c r="G103" s="5" t="s">
        <v>346</v>
      </c>
      <c r="H103" s="2" t="s">
        <v>217</v>
      </c>
      <c r="I103" s="17" t="s">
        <v>921</v>
      </c>
      <c r="J103" s="3" t="s">
        <v>1080</v>
      </c>
      <c r="K103" s="3" t="s">
        <v>903</v>
      </c>
      <c r="L103" s="3" t="s">
        <v>873</v>
      </c>
      <c r="M103" s="3"/>
      <c r="O103" t="str">
        <f t="shared" si="1"/>
        <v>"hm2", "RTS06.Q.S1G.ns", "Retail trade sales", "", "Retail trade sales NZDm s.a.", "", "NZDm s.a.", "NZDm", ",d", "qual", "black", "Line", "",</v>
      </c>
    </row>
    <row r="104" spans="1:15" ht="14.25">
      <c r="A104" s="2" t="s">
        <v>373</v>
      </c>
      <c r="B104" s="6" t="s">
        <v>347</v>
      </c>
      <c r="C104" s="5" t="s">
        <v>343</v>
      </c>
      <c r="D104" s="2"/>
      <c r="E104" s="5" t="s">
        <v>785</v>
      </c>
      <c r="F104" s="2"/>
      <c r="G104" s="5" t="s">
        <v>348</v>
      </c>
      <c r="H104" s="2" t="s">
        <v>16</v>
      </c>
      <c r="I104" s="2" t="s">
        <v>891</v>
      </c>
      <c r="J104" s="3" t="s">
        <v>1080</v>
      </c>
      <c r="K104" s="3" t="s">
        <v>903</v>
      </c>
      <c r="L104" s="3" t="s">
        <v>873</v>
      </c>
      <c r="M104" s="3"/>
      <c r="O104" t="str">
        <f t="shared" si="1"/>
        <v>"hm2", "RTS06.Q.S1G.nsq", "Retail trade sales", "", "Retail trade % s.a.", "", "% s.a.", "%", ".0f", "qual", "black", "Line", "",</v>
      </c>
    </row>
    <row r="105" spans="1:15" ht="14.25">
      <c r="A105" s="2" t="s">
        <v>373</v>
      </c>
      <c r="B105" s="6" t="s">
        <v>349</v>
      </c>
      <c r="C105" s="5" t="s">
        <v>343</v>
      </c>
      <c r="D105" s="2"/>
      <c r="E105" s="5" t="s">
        <v>786</v>
      </c>
      <c r="F105" s="2"/>
      <c r="G105" s="5" t="s">
        <v>16</v>
      </c>
      <c r="H105" s="2" t="s">
        <v>16</v>
      </c>
      <c r="I105" s="2" t="s">
        <v>891</v>
      </c>
      <c r="J105" s="3" t="s">
        <v>1080</v>
      </c>
      <c r="K105" s="3" t="s">
        <v>903</v>
      </c>
      <c r="L105" s="3" t="s">
        <v>873</v>
      </c>
      <c r="M105" s="3"/>
      <c r="O105" t="str">
        <f t="shared" si="1"/>
        <v>"hm2", "RTS06.Q.S1G.nay", "Retail trade sales", "", "Retail trade %", "", "%", "%", ".0f", "qual", "black", "Line", "",</v>
      </c>
    </row>
    <row r="106" spans="1:15" ht="14.25">
      <c r="A106" s="2" t="s">
        <v>373</v>
      </c>
      <c r="B106" s="6" t="s">
        <v>351</v>
      </c>
      <c r="C106" s="5" t="s">
        <v>350</v>
      </c>
      <c r="D106" s="2"/>
      <c r="E106" s="5" t="s">
        <v>787</v>
      </c>
      <c r="F106" s="2"/>
      <c r="G106" s="5" t="s">
        <v>352</v>
      </c>
      <c r="H106" s="2" t="s">
        <v>217</v>
      </c>
      <c r="I106" s="17" t="s">
        <v>921</v>
      </c>
      <c r="J106" s="3" t="s">
        <v>1080</v>
      </c>
      <c r="K106" s="3" t="s">
        <v>903</v>
      </c>
      <c r="L106" s="3" t="s">
        <v>873</v>
      </c>
      <c r="M106" s="3"/>
      <c r="O106" t="str">
        <f t="shared" si="1"/>
        <v>"hm2", "RTS06.Q.S1G.ra", "Retail trade volumes", "", "Retail trade volumes NZDm(r)", "", "NZDm(r)", "NZDm", ",d", "qual", "black", "Line", "",</v>
      </c>
    </row>
    <row r="107" spans="1:15" ht="14.25">
      <c r="A107" s="2" t="s">
        <v>373</v>
      </c>
      <c r="B107" s="6" t="s">
        <v>353</v>
      </c>
      <c r="C107" s="5" t="s">
        <v>350</v>
      </c>
      <c r="D107" s="2"/>
      <c r="E107" s="5" t="s">
        <v>788</v>
      </c>
      <c r="F107" s="2"/>
      <c r="G107" s="5" t="s">
        <v>354</v>
      </c>
      <c r="H107" s="2" t="s">
        <v>217</v>
      </c>
      <c r="I107" s="17" t="s">
        <v>921</v>
      </c>
      <c r="J107" s="3" t="s">
        <v>1080</v>
      </c>
      <c r="K107" s="3" t="s">
        <v>903</v>
      </c>
      <c r="L107" s="3" t="s">
        <v>873</v>
      </c>
      <c r="M107" s="3"/>
      <c r="O107" t="str">
        <f t="shared" si="1"/>
        <v>"hm2", "RTS06.Q.S1G.rs", "Retail trade volumes", "", "Retail trade volumes NZDm(r) s.a.", "", "NZDm(r) s.a.", "NZDm", ",d", "qual", "black", "Line", "",</v>
      </c>
    </row>
    <row r="108" spans="1:15" ht="14.25">
      <c r="A108" s="2" t="s">
        <v>373</v>
      </c>
      <c r="B108" s="6" t="s">
        <v>355</v>
      </c>
      <c r="C108" s="5" t="s">
        <v>350</v>
      </c>
      <c r="D108" s="2"/>
      <c r="E108" s="5" t="s">
        <v>789</v>
      </c>
      <c r="F108" s="2"/>
      <c r="G108" s="5" t="s">
        <v>356</v>
      </c>
      <c r="H108" s="2" t="s">
        <v>16</v>
      </c>
      <c r="I108" s="2" t="s">
        <v>891</v>
      </c>
      <c r="J108" s="3" t="s">
        <v>1080</v>
      </c>
      <c r="K108" s="3" t="s">
        <v>903</v>
      </c>
      <c r="L108" s="3" t="s">
        <v>873</v>
      </c>
      <c r="M108" s="3"/>
      <c r="O108" t="str">
        <f t="shared" si="1"/>
        <v>"hm2", "RTS06.Q.S1G.rsq", "Retail trade volumes", "", "Retail trade volumes %(r) s.a.", "", "%(r) s.a.", "%", ".0f", "qual", "black", "Line", "",</v>
      </c>
    </row>
    <row r="109" spans="1:15" ht="14.25">
      <c r="A109" s="2" t="s">
        <v>373</v>
      </c>
      <c r="B109" s="6" t="s">
        <v>357</v>
      </c>
      <c r="C109" s="5" t="s">
        <v>350</v>
      </c>
      <c r="D109" s="2"/>
      <c r="E109" s="5" t="s">
        <v>790</v>
      </c>
      <c r="F109" s="2"/>
      <c r="G109" s="5" t="s">
        <v>358</v>
      </c>
      <c r="H109" s="2" t="s">
        <v>16</v>
      </c>
      <c r="I109" s="2" t="s">
        <v>891</v>
      </c>
      <c r="J109" s="3" t="s">
        <v>1080</v>
      </c>
      <c r="K109" s="3" t="s">
        <v>903</v>
      </c>
      <c r="L109" s="3" t="s">
        <v>873</v>
      </c>
      <c r="M109" s="3"/>
      <c r="O109" t="str">
        <f t="shared" si="1"/>
        <v>"hm2", "RTS06.Q.S1G.ray", "Retail trade volumes", "", "Retail trade %(r)", "", "%(r)", "%", ".0f", "qual", "black", "Line", "",</v>
      </c>
    </row>
    <row r="110" spans="1:15" ht="25.5">
      <c r="A110" s="2" t="s">
        <v>373</v>
      </c>
      <c r="B110" s="6" t="s">
        <v>361</v>
      </c>
      <c r="C110" s="5" t="s">
        <v>359</v>
      </c>
      <c r="D110" s="2"/>
      <c r="E110" s="5" t="s">
        <v>791</v>
      </c>
      <c r="F110" s="2"/>
      <c r="G110" s="5" t="s">
        <v>352</v>
      </c>
      <c r="H110" s="2" t="s">
        <v>217</v>
      </c>
      <c r="I110" s="17" t="s">
        <v>921</v>
      </c>
      <c r="J110" s="3" t="s">
        <v>1080</v>
      </c>
      <c r="K110" s="3" t="s">
        <v>903</v>
      </c>
      <c r="L110" s="3" t="s">
        <v>873</v>
      </c>
      <c r="M110" s="3"/>
      <c r="O110" t="str">
        <f t="shared" si="1"/>
        <v>"hm2", "GDE.Q.EC1.RA", "Private consumption expenditure (GDP)", "", "Private consumption expenditure (GDP) NZDm(r)", "", "NZDm(r)", "NZDm", ",d", "qual", "black", "Line", "",</v>
      </c>
    </row>
    <row r="111" spans="1:15" ht="25.5">
      <c r="A111" s="2" t="s">
        <v>373</v>
      </c>
      <c r="B111" s="6" t="s">
        <v>363</v>
      </c>
      <c r="C111" s="5" t="s">
        <v>359</v>
      </c>
      <c r="D111" s="2"/>
      <c r="E111" s="5" t="s">
        <v>792</v>
      </c>
      <c r="F111" s="2"/>
      <c r="G111" s="5" t="s">
        <v>354</v>
      </c>
      <c r="H111" s="2" t="s">
        <v>217</v>
      </c>
      <c r="I111" s="17" t="s">
        <v>921</v>
      </c>
      <c r="J111" s="3" t="s">
        <v>1080</v>
      </c>
      <c r="K111" s="3" t="s">
        <v>903</v>
      </c>
      <c r="L111" s="3" t="s">
        <v>873</v>
      </c>
      <c r="M111" s="3"/>
      <c r="O111" t="str">
        <f t="shared" si="1"/>
        <v>"hm2", "GDE.Q.EC1.RS", "Private consumption expenditure (GDP)", "", "Private consumption expenditure (GDP) NZDm(r) s.a.", "", "NZDm(r) s.a.", "NZDm", ",d", "qual", "black", "Line", "",</v>
      </c>
    </row>
    <row r="112" spans="1:15" ht="25.5">
      <c r="A112" s="2" t="s">
        <v>373</v>
      </c>
      <c r="B112" s="6" t="s">
        <v>365</v>
      </c>
      <c r="C112" s="5" t="s">
        <v>359</v>
      </c>
      <c r="D112" s="2"/>
      <c r="E112" s="5" t="s">
        <v>793</v>
      </c>
      <c r="F112" s="2"/>
      <c r="G112" s="5" t="s">
        <v>356</v>
      </c>
      <c r="H112" s="2" t="s">
        <v>16</v>
      </c>
      <c r="I112" s="2" t="s">
        <v>891</v>
      </c>
      <c r="J112" s="3" t="s">
        <v>1080</v>
      </c>
      <c r="K112" s="3" t="s">
        <v>903</v>
      </c>
      <c r="L112" s="3" t="s">
        <v>873</v>
      </c>
      <c r="M112" s="3"/>
      <c r="O112" t="str">
        <f t="shared" si="1"/>
        <v>"hm2", "GDE.Q.EC1.rsq", "Private consumption expenditure (GDP)", "", "Private consumption expenditure (GDP) %(r) s.a.", "", "%(r) s.a.", "%", ".0f", "qual", "black", "Line", "",</v>
      </c>
    </row>
    <row r="113" spans="1:15" ht="25.5">
      <c r="A113" s="2" t="s">
        <v>373</v>
      </c>
      <c r="B113" s="6" t="s">
        <v>367</v>
      </c>
      <c r="C113" s="5" t="s">
        <v>359</v>
      </c>
      <c r="D113" s="2"/>
      <c r="E113" s="5" t="s">
        <v>794</v>
      </c>
      <c r="F113" s="2"/>
      <c r="G113" s="5" t="s">
        <v>358</v>
      </c>
      <c r="H113" s="2" t="s">
        <v>16</v>
      </c>
      <c r="I113" s="2" t="s">
        <v>891</v>
      </c>
      <c r="J113" s="3" t="s">
        <v>1080</v>
      </c>
      <c r="K113" s="3" t="s">
        <v>903</v>
      </c>
      <c r="L113" s="3" t="s">
        <v>873</v>
      </c>
      <c r="M113" s="3"/>
      <c r="O113" t="str">
        <f t="shared" si="1"/>
        <v>"hm2", "GDE.Q.EC1.ray", "Private consumption expenditure (GDP)", "", "Private consumption expenditure (GDP) %(r)", "", "%(r)", "%", ".0f", "qual", "black", "Line", "",</v>
      </c>
    </row>
    <row r="114" spans="1:15" ht="38.25">
      <c r="A114" s="2" t="s">
        <v>373</v>
      </c>
      <c r="B114" s="6" t="s">
        <v>369</v>
      </c>
      <c r="C114" s="5" t="s">
        <v>368</v>
      </c>
      <c r="D114" s="2"/>
      <c r="E114" s="5" t="s">
        <v>795</v>
      </c>
      <c r="F114" s="2"/>
      <c r="G114" s="5" t="s">
        <v>352</v>
      </c>
      <c r="H114" s="2" t="s">
        <v>217</v>
      </c>
      <c r="I114" s="17" t="s">
        <v>921</v>
      </c>
      <c r="J114" s="3" t="s">
        <v>1080</v>
      </c>
      <c r="K114" s="3" t="s">
        <v>903</v>
      </c>
      <c r="L114" s="3" t="s">
        <v>873</v>
      </c>
      <c r="M114" s="3"/>
      <c r="O114" t="str">
        <f t="shared" si="1"/>
        <v>"hm2", "GDE.Q.EG13.RA", "General government consumption expenditure (GDP)", "", "General government consumption expenditure (GDP) NZDm(r)", "", "NZDm(r)", "NZDm", ",d", "qual", "black", "Line", "",</v>
      </c>
    </row>
    <row r="115" spans="1:15" ht="38.25">
      <c r="A115" s="2" t="s">
        <v>373</v>
      </c>
      <c r="B115" s="6" t="s">
        <v>370</v>
      </c>
      <c r="C115" s="5" t="s">
        <v>368</v>
      </c>
      <c r="D115" s="2"/>
      <c r="E115" s="5" t="s">
        <v>796</v>
      </c>
      <c r="F115" s="2"/>
      <c r="G115" s="5" t="s">
        <v>354</v>
      </c>
      <c r="H115" s="2" t="s">
        <v>217</v>
      </c>
      <c r="I115" s="17" t="s">
        <v>921</v>
      </c>
      <c r="J115" s="3" t="s">
        <v>1080</v>
      </c>
      <c r="K115" s="3" t="s">
        <v>903</v>
      </c>
      <c r="L115" s="3" t="s">
        <v>873</v>
      </c>
      <c r="M115" s="3"/>
      <c r="O115" t="str">
        <f t="shared" si="1"/>
        <v>"hm2", "GDE.Q.EG13.RS", "General government consumption expenditure (GDP)", "", "General government consumption expenditure (GDP) NZDm(r) s.a.", "", "NZDm(r) s.a.", "NZDm", ",d", "qual", "black", "Line", "",</v>
      </c>
    </row>
    <row r="116" spans="1:15" ht="38.25">
      <c r="A116" s="2" t="s">
        <v>373</v>
      </c>
      <c r="B116" s="6" t="s">
        <v>371</v>
      </c>
      <c r="C116" s="5" t="s">
        <v>368</v>
      </c>
      <c r="D116" s="2"/>
      <c r="E116" s="5" t="s">
        <v>797</v>
      </c>
      <c r="F116" s="2"/>
      <c r="G116" s="5" t="s">
        <v>356</v>
      </c>
      <c r="H116" s="2" t="s">
        <v>16</v>
      </c>
      <c r="I116" s="2" t="s">
        <v>891</v>
      </c>
      <c r="J116" s="3" t="s">
        <v>1080</v>
      </c>
      <c r="K116" s="3" t="s">
        <v>903</v>
      </c>
      <c r="L116" s="3" t="s">
        <v>873</v>
      </c>
      <c r="M116" s="3"/>
      <c r="O116" t="str">
        <f t="shared" si="1"/>
        <v>"hm2", "GDE.Q.EG13.rsq", "General government consumption expenditure (GDP)", "", "General government consumption expenditure (GDP) %(r) s.a.", "", "%(r) s.a.", "%", ".0f", "qual", "black", "Line", "",</v>
      </c>
    </row>
    <row r="117" spans="1:15" ht="38.25">
      <c r="A117" s="2" t="s">
        <v>373</v>
      </c>
      <c r="B117" s="6" t="s">
        <v>372</v>
      </c>
      <c r="C117" s="5" t="s">
        <v>368</v>
      </c>
      <c r="D117" s="2"/>
      <c r="E117" s="5" t="s">
        <v>798</v>
      </c>
      <c r="F117" s="2"/>
      <c r="G117" s="5" t="s">
        <v>358</v>
      </c>
      <c r="H117" s="2" t="s">
        <v>16</v>
      </c>
      <c r="I117" s="2" t="s">
        <v>891</v>
      </c>
      <c r="J117" s="3" t="s">
        <v>1080</v>
      </c>
      <c r="K117" s="3" t="s">
        <v>903</v>
      </c>
      <c r="L117" s="3" t="s">
        <v>873</v>
      </c>
      <c r="M117" s="3"/>
      <c r="O117" t="str">
        <f t="shared" si="1"/>
        <v>"hm2", "GDE.Q.EG13.ray", "General government consumption expenditure (GDP)", "", "General government consumption expenditure (GDP) %(r)", "", "%(r)", "%", ".0f", "qual", "black", "Line", "",</v>
      </c>
    </row>
    <row r="118" spans="1:15" ht="25.5">
      <c r="A118" s="2" t="s">
        <v>393</v>
      </c>
      <c r="B118" s="6" t="s">
        <v>376</v>
      </c>
      <c r="C118" s="16" t="s">
        <v>911</v>
      </c>
      <c r="D118" s="5" t="s">
        <v>904</v>
      </c>
      <c r="E118" s="5" t="s">
        <v>799</v>
      </c>
      <c r="F118" s="5"/>
      <c r="G118" s="5" t="s">
        <v>377</v>
      </c>
      <c r="H118" s="5" t="s">
        <v>811</v>
      </c>
      <c r="I118" s="17" t="s">
        <v>921</v>
      </c>
      <c r="J118" s="3" t="s">
        <v>1080</v>
      </c>
      <c r="K118" s="3" t="s">
        <v>903</v>
      </c>
      <c r="L118" s="3" t="s">
        <v>873</v>
      </c>
      <c r="M118" s="3"/>
      <c r="O118" t="str">
        <f t="shared" si="1"/>
        <v>"hm3", "QBLD.Q.B11N1BZR1.ns", "Residential Building Consents (s.a.)", "Residential consents", "Building consents - residential dwellings (Number s.a.)", "", "no s.a.", "Number", ",d", "qual", "black", "Line", "",</v>
      </c>
    </row>
    <row r="119" spans="1:15" ht="25.5">
      <c r="A119" s="2" t="s">
        <v>393</v>
      </c>
      <c r="B119" s="6" t="s">
        <v>378</v>
      </c>
      <c r="C119" s="16" t="s">
        <v>912</v>
      </c>
      <c r="D119" s="5" t="s">
        <v>904</v>
      </c>
      <c r="E119" s="5" t="s">
        <v>800</v>
      </c>
      <c r="F119" s="5"/>
      <c r="G119" s="5" t="s">
        <v>348</v>
      </c>
      <c r="H119" s="5" t="s">
        <v>781</v>
      </c>
      <c r="I119" s="2" t="s">
        <v>891</v>
      </c>
      <c r="J119" s="3" t="s">
        <v>1080</v>
      </c>
      <c r="K119" s="3" t="s">
        <v>903</v>
      </c>
      <c r="L119" s="3" t="s">
        <v>873</v>
      </c>
      <c r="M119" s="3"/>
      <c r="O119" t="str">
        <f t="shared" si="1"/>
        <v>"hm3", "QBLD.Q.B11N1BZR1.nsq", "Residential Building Consents (q/q% s.a.)", "Residential consents", "Building consents - residential dwellings (q/q% s.a.)", "", "% s.a.", "q/q%", ".0f", "qual", "black", "Line", "",</v>
      </c>
    </row>
    <row r="120" spans="1:15" ht="25.5">
      <c r="A120" s="2" t="s">
        <v>393</v>
      </c>
      <c r="B120" s="6" t="s">
        <v>380</v>
      </c>
      <c r="C120" s="16" t="s">
        <v>913</v>
      </c>
      <c r="D120" s="5" t="s">
        <v>818</v>
      </c>
      <c r="E120" s="5" t="s">
        <v>801</v>
      </c>
      <c r="F120" s="5"/>
      <c r="G120" s="5" t="s">
        <v>352</v>
      </c>
      <c r="H120" s="5" t="s">
        <v>812</v>
      </c>
      <c r="I120" s="2" t="s">
        <v>921</v>
      </c>
      <c r="J120" s="3" t="s">
        <v>1080</v>
      </c>
      <c r="K120" s="3" t="s">
        <v>903</v>
      </c>
      <c r="L120" s="3" t="s">
        <v>873</v>
      </c>
      <c r="M120" s="3"/>
      <c r="O120" t="str">
        <f t="shared" si="1"/>
        <v>"hm3", "GDE.Q.EI24.RA", "Residential buildings (GDP) (Real $m)", "Gross fixed capital formation", "Gross fixed capital formation - residential buildings (GDP) (Real $m)", "", "NZDm(r)", "Real $m", ",d", "qual", "black", "Line", "",</v>
      </c>
    </row>
    <row r="121" spans="1:15" ht="38.25">
      <c r="A121" s="2" t="s">
        <v>393</v>
      </c>
      <c r="B121" s="6" t="s">
        <v>381</v>
      </c>
      <c r="C121" s="16" t="s">
        <v>914</v>
      </c>
      <c r="D121" s="5" t="s">
        <v>818</v>
      </c>
      <c r="E121" s="5" t="s">
        <v>802</v>
      </c>
      <c r="F121" s="5"/>
      <c r="G121" s="5" t="s">
        <v>354</v>
      </c>
      <c r="H121" s="5" t="s">
        <v>812</v>
      </c>
      <c r="I121" s="2" t="s">
        <v>921</v>
      </c>
      <c r="J121" s="3" t="s">
        <v>1080</v>
      </c>
      <c r="K121" s="3" t="s">
        <v>903</v>
      </c>
      <c r="L121" s="3" t="s">
        <v>873</v>
      </c>
      <c r="M121" s="3"/>
      <c r="O121" t="str">
        <f t="shared" si="1"/>
        <v>"hm3", "GDE.Q.EI24.RS", "Residential buildings (GDP) (Real $m s.a.)", "Gross fixed capital formation", "Gross fixed capital formation - residential buildings (GDP) (Real $m s.a.)", "", "NZDm(r) s.a.", "Real $m", ",d", "qual", "black", "Line", "",</v>
      </c>
    </row>
    <row r="122" spans="1:15" ht="38.25">
      <c r="A122" s="2" t="s">
        <v>393</v>
      </c>
      <c r="B122" s="6" t="s">
        <v>383</v>
      </c>
      <c r="C122" s="16" t="s">
        <v>915</v>
      </c>
      <c r="D122" s="5" t="s">
        <v>818</v>
      </c>
      <c r="E122" s="5" t="s">
        <v>803</v>
      </c>
      <c r="F122" s="5"/>
      <c r="G122" s="5" t="s">
        <v>356</v>
      </c>
      <c r="H122" s="5" t="s">
        <v>813</v>
      </c>
      <c r="I122" s="2" t="s">
        <v>891</v>
      </c>
      <c r="J122" s="3" t="s">
        <v>1080</v>
      </c>
      <c r="K122" s="3" t="s">
        <v>903</v>
      </c>
      <c r="L122" s="3" t="s">
        <v>873</v>
      </c>
      <c r="M122" s="3"/>
      <c r="O122" t="str">
        <f t="shared" si="1"/>
        <v>"hm3", "GDE.Q.EI24.rsq", "Residential buildings (GDP) (Real q/q% s.a)", "Gross fixed capital formation", "Gross fixed capital formation - residential buildings (GDP) (Real q/q% s.a)", "", "%(r) s.a.", "Real q/q", ".0f", "qual", "black", "Line", "",</v>
      </c>
    </row>
    <row r="123" spans="1:15" ht="38.25">
      <c r="A123" s="2" t="s">
        <v>393</v>
      </c>
      <c r="B123" s="6" t="s">
        <v>384</v>
      </c>
      <c r="C123" s="16" t="s">
        <v>916</v>
      </c>
      <c r="D123" s="5" t="s">
        <v>818</v>
      </c>
      <c r="E123" s="5" t="s">
        <v>804</v>
      </c>
      <c r="F123" s="5"/>
      <c r="G123" s="5" t="s">
        <v>358</v>
      </c>
      <c r="H123" s="5" t="s">
        <v>814</v>
      </c>
      <c r="I123" s="2" t="s">
        <v>891</v>
      </c>
      <c r="J123" s="3" t="s">
        <v>1080</v>
      </c>
      <c r="K123" s="3" t="s">
        <v>903</v>
      </c>
      <c r="L123" s="3" t="s">
        <v>873</v>
      </c>
      <c r="M123" s="3"/>
      <c r="O123" t="str">
        <f t="shared" si="1"/>
        <v>"hm3", "GDE.Q.EI24.ray", "Residential buildings (GDP) (Real y/y%)", "Gross fixed capital formation", "Gross fixed capital formation - residential buildings (GDP) (Real y/y%)", "", "%(r)", "Real y/y", ".0f", "qual", "black", "Line", "",</v>
      </c>
    </row>
    <row r="124" spans="1:15" ht="25.5">
      <c r="A124" s="2" t="s">
        <v>393</v>
      </c>
      <c r="B124" s="6" t="s">
        <v>386</v>
      </c>
      <c r="C124" s="16" t="s">
        <v>917</v>
      </c>
      <c r="D124" s="5" t="s">
        <v>818</v>
      </c>
      <c r="E124" s="5" t="s">
        <v>805</v>
      </c>
      <c r="F124" s="5"/>
      <c r="G124" s="5" t="s">
        <v>352</v>
      </c>
      <c r="H124" s="5" t="s">
        <v>812</v>
      </c>
      <c r="I124" s="2" t="s">
        <v>921</v>
      </c>
      <c r="J124" s="3" t="s">
        <v>1080</v>
      </c>
      <c r="K124" s="3" t="s">
        <v>903</v>
      </c>
      <c r="L124" s="3" t="s">
        <v>873</v>
      </c>
      <c r="M124" s="3"/>
      <c r="O124" t="str">
        <f t="shared" si="1"/>
        <v>"hm3", "GDE.Q.EI25.RA", "Other fixed assets (GDP) (Real $m)", "Gross fixed capital formation", "Gross fixed capital formation - other fixed assets (GDP) (Real $m)", "", "NZDm(r)", "Real $m", ",d", "qual", "black", "Line", "",</v>
      </c>
    </row>
    <row r="125" spans="1:15" ht="25.5">
      <c r="A125" s="2" t="s">
        <v>393</v>
      </c>
      <c r="B125" s="6" t="s">
        <v>387</v>
      </c>
      <c r="C125" s="16" t="s">
        <v>918</v>
      </c>
      <c r="D125" s="5" t="s">
        <v>818</v>
      </c>
      <c r="E125" s="5" t="s">
        <v>806</v>
      </c>
      <c r="F125" s="5"/>
      <c r="G125" s="5" t="s">
        <v>354</v>
      </c>
      <c r="H125" s="5" t="s">
        <v>812</v>
      </c>
      <c r="I125" s="2" t="s">
        <v>921</v>
      </c>
      <c r="J125" s="3" t="s">
        <v>1080</v>
      </c>
      <c r="K125" s="3" t="s">
        <v>903</v>
      </c>
      <c r="L125" s="3" t="s">
        <v>873</v>
      </c>
      <c r="M125" s="3"/>
      <c r="O125" t="str">
        <f t="shared" si="1"/>
        <v>"hm3", "GDE.Q.EI25.RS", "Other fixed assets (GDP) (Real $m s.a.)", "Gross fixed capital formation", "Gross fixed capital formation - other fixed assets (GDP) (Real $m s.a.)", "", "NZDm(r) s.a.", "Real $m", ",d", "qual", "black", "Line", "",</v>
      </c>
    </row>
    <row r="126" spans="1:15" ht="25.5">
      <c r="A126" s="2" t="s">
        <v>393</v>
      </c>
      <c r="B126" s="6" t="s">
        <v>388</v>
      </c>
      <c r="C126" s="16" t="s">
        <v>919</v>
      </c>
      <c r="D126" s="5" t="s">
        <v>818</v>
      </c>
      <c r="E126" s="5" t="s">
        <v>807</v>
      </c>
      <c r="F126" s="5"/>
      <c r="G126" s="5" t="s">
        <v>356</v>
      </c>
      <c r="H126" s="5" t="s">
        <v>813</v>
      </c>
      <c r="I126" s="2" t="s">
        <v>891</v>
      </c>
      <c r="J126" s="3" t="s">
        <v>1080</v>
      </c>
      <c r="K126" s="3" t="s">
        <v>903</v>
      </c>
      <c r="L126" s="3" t="s">
        <v>873</v>
      </c>
      <c r="M126" s="3"/>
      <c r="O126" t="str">
        <f t="shared" si="1"/>
        <v>"hm3", "GDE.Q.EI25.rsq", "Other fixed assets (GDP) (Real q/q% s.a.)", "Gross fixed capital formation", "Gross fixed capital formation - other fixed assets (GDP) (Real q/q% s.a.)", "", "%(r) s.a.", "Real q/q", ".0f", "qual", "black", "Line", "",</v>
      </c>
    </row>
    <row r="127" spans="1:15" ht="25.5">
      <c r="A127" s="2" t="s">
        <v>393</v>
      </c>
      <c r="B127" s="6" t="s">
        <v>389</v>
      </c>
      <c r="C127" s="16" t="s">
        <v>920</v>
      </c>
      <c r="D127" s="5" t="s">
        <v>818</v>
      </c>
      <c r="E127" s="5" t="s">
        <v>808</v>
      </c>
      <c r="F127" s="5"/>
      <c r="G127" s="5" t="s">
        <v>358</v>
      </c>
      <c r="H127" s="5" t="s">
        <v>814</v>
      </c>
      <c r="I127" s="2" t="s">
        <v>891</v>
      </c>
      <c r="J127" s="3" t="s">
        <v>1080</v>
      </c>
      <c r="K127" s="3" t="s">
        <v>903</v>
      </c>
      <c r="L127" s="3" t="s">
        <v>873</v>
      </c>
      <c r="M127" s="3"/>
      <c r="O127" t="str">
        <f t="shared" si="1"/>
        <v>"hm3", "GDE.Q.EI25.ray", "Other fixed assets (GDP) (Real y/y%)", "Gross fixed capital formation", "Gross fixed capital formation - other fixed assets (GDP) (Real y/y%)", "", "%(r)", "Real y/y", ".0f", "qual", "black", "Line", "",</v>
      </c>
    </row>
    <row r="128" spans="1:15" ht="25.5">
      <c r="A128" s="2" t="s">
        <v>393</v>
      </c>
      <c r="B128" s="6" t="s">
        <v>391</v>
      </c>
      <c r="C128" s="5" t="s">
        <v>809</v>
      </c>
      <c r="D128" s="5" t="s">
        <v>446</v>
      </c>
      <c r="E128" s="5" t="s">
        <v>809</v>
      </c>
      <c r="F128" s="5"/>
      <c r="G128" s="5" t="s">
        <v>352</v>
      </c>
      <c r="H128" s="5" t="s">
        <v>812</v>
      </c>
      <c r="I128" s="17" t="s">
        <v>921</v>
      </c>
      <c r="J128" s="3" t="s">
        <v>1080</v>
      </c>
      <c r="K128" s="3" t="s">
        <v>903</v>
      </c>
      <c r="L128" s="3" t="s">
        <v>873</v>
      </c>
      <c r="M128" s="3"/>
      <c r="O128" t="str">
        <f t="shared" si="1"/>
        <v>"hm3", "GDE.Q.EI23.RA", "Change in inventories (GDP) (Real $m)", "Change in inventories", "Change in inventories (GDP) (Real $m)", "", "NZDm(r)", "Real $m", ",d", "qual", "black", "Line", "",</v>
      </c>
    </row>
    <row r="129" spans="1:15" ht="25.5">
      <c r="A129" s="2" t="s">
        <v>393</v>
      </c>
      <c r="B129" s="6" t="s">
        <v>392</v>
      </c>
      <c r="C129" s="5" t="s">
        <v>810</v>
      </c>
      <c r="D129" s="5" t="s">
        <v>446</v>
      </c>
      <c r="E129" s="5" t="s">
        <v>810</v>
      </c>
      <c r="F129" s="5"/>
      <c r="G129" s="5" t="s">
        <v>354</v>
      </c>
      <c r="H129" s="5" t="s">
        <v>812</v>
      </c>
      <c r="I129" s="17" t="s">
        <v>921</v>
      </c>
      <c r="J129" s="3" t="s">
        <v>1080</v>
      </c>
      <c r="K129" s="3" t="s">
        <v>903</v>
      </c>
      <c r="L129" s="3" t="s">
        <v>873</v>
      </c>
      <c r="M129" s="3"/>
      <c r="O129" t="str">
        <f t="shared" si="1"/>
        <v>"hm3", "GDE.Q.EI23.RS", "Change in inventories (GDP) (Real $m s.a.)", "Change in inventories", "Change in inventories (GDP) (Real $m s.a.)", "", "NZDm(r) s.a.", "Real $m", ",d", "qual", "black", "Line", "",</v>
      </c>
    </row>
    <row r="130" spans="1:15" ht="25.5">
      <c r="A130" s="2" t="s">
        <v>418</v>
      </c>
      <c r="B130" s="6" t="s">
        <v>395</v>
      </c>
      <c r="C130" s="5" t="s">
        <v>394</v>
      </c>
      <c r="D130" s="5" t="s">
        <v>893</v>
      </c>
      <c r="E130" s="5" t="s">
        <v>762</v>
      </c>
      <c r="F130" s="5"/>
      <c r="G130" s="5" t="s">
        <v>8</v>
      </c>
      <c r="H130" s="5" t="s">
        <v>815</v>
      </c>
      <c r="I130" s="17" t="s">
        <v>921</v>
      </c>
      <c r="J130" s="3" t="s">
        <v>1080</v>
      </c>
      <c r="K130" s="3" t="s">
        <v>903</v>
      </c>
      <c r="L130" s="3" t="s">
        <v>873</v>
      </c>
      <c r="M130" s="3"/>
      <c r="O130" t="str">
        <f t="shared" si="1"/>
        <v>"hm4", "MAN06.Q.S1C0.ns", "Manufacturing operating income", "Operating income $m s.a.", "Manufacturing", "", "m", "$m s.a.", ",d", "qual", "black", "Line", "",</v>
      </c>
    </row>
    <row r="131" spans="1:15" ht="25.5">
      <c r="A131" s="2" t="s">
        <v>418</v>
      </c>
      <c r="B131" s="6" t="s">
        <v>396</v>
      </c>
      <c r="C131" s="5" t="s">
        <v>394</v>
      </c>
      <c r="D131" s="5" t="s">
        <v>894</v>
      </c>
      <c r="E131" s="5" t="s">
        <v>762</v>
      </c>
      <c r="F131" s="5"/>
      <c r="G131" s="5" t="s">
        <v>8</v>
      </c>
      <c r="H131" s="5" t="s">
        <v>816</v>
      </c>
      <c r="I131" s="17" t="s">
        <v>921</v>
      </c>
      <c r="J131" s="3" t="s">
        <v>1080</v>
      </c>
      <c r="K131" s="3" t="s">
        <v>903</v>
      </c>
      <c r="L131" s="3" t="s">
        <v>873</v>
      </c>
      <c r="M131" s="3"/>
      <c r="O131" t="str">
        <f t="shared" ref="O131:O194" si="2">""""&amp;_xlfn.TEXTJOIN(""", """,FALSE,A131:M131)&amp;""""&amp;","</f>
        <v>"hm4", "MAN06.Q.S1C0.na", "Manufacturing operating income", "Operating income $m", "Manufacturing", "", "m", "$m", ",d", "qual", "black", "Line", "",</v>
      </c>
    </row>
    <row r="132" spans="1:15" ht="25.5">
      <c r="A132" s="2" t="s">
        <v>418</v>
      </c>
      <c r="B132" s="6" t="s">
        <v>397</v>
      </c>
      <c r="C132" s="5" t="s">
        <v>394</v>
      </c>
      <c r="D132" s="5" t="s">
        <v>895</v>
      </c>
      <c r="E132" s="5" t="s">
        <v>762</v>
      </c>
      <c r="F132" s="5"/>
      <c r="H132" s="5" t="s">
        <v>817</v>
      </c>
      <c r="I132" s="2" t="s">
        <v>891</v>
      </c>
      <c r="J132" s="3" t="s">
        <v>1080</v>
      </c>
      <c r="K132" s="3" t="s">
        <v>903</v>
      </c>
      <c r="L132" s="3" t="s">
        <v>873</v>
      </c>
      <c r="M132" s="3"/>
      <c r="O132" t="str">
        <f t="shared" si="2"/>
        <v>"hm4", "MAN06.Q.S1C0.nsq", "Manufacturing operating income", "Operating income q/q% s.a.", "Manufacturing", "", "", "q/q% s.a.", ".0f", "qual", "black", "Line", "",</v>
      </c>
    </row>
    <row r="133" spans="1:15" ht="25.5">
      <c r="A133" s="2" t="s">
        <v>418</v>
      </c>
      <c r="B133" s="6" t="s">
        <v>398</v>
      </c>
      <c r="C133" s="5" t="s">
        <v>394</v>
      </c>
      <c r="D133" s="5" t="s">
        <v>896</v>
      </c>
      <c r="E133" s="5" t="s">
        <v>762</v>
      </c>
      <c r="F133" s="5"/>
      <c r="H133" s="5" t="s">
        <v>782</v>
      </c>
      <c r="I133" s="2" t="s">
        <v>891</v>
      </c>
      <c r="J133" s="3" t="s">
        <v>1080</v>
      </c>
      <c r="K133" s="3" t="s">
        <v>903</v>
      </c>
      <c r="L133" s="3" t="s">
        <v>873</v>
      </c>
      <c r="M133" s="3"/>
      <c r="O133" t="str">
        <f t="shared" si="2"/>
        <v>"hm4", "MAN06.Q.S1C0.nay", "Manufacturing operating income", "Operating income y/y%", "Manufacturing", "", "", "y/y%", ".0f", "qual", "black", "Line", "",</v>
      </c>
    </row>
    <row r="134" spans="1:15" ht="14.25">
      <c r="A134" s="2" t="s">
        <v>418</v>
      </c>
      <c r="B134" s="6" t="s">
        <v>400</v>
      </c>
      <c r="C134" s="5" t="s">
        <v>399</v>
      </c>
      <c r="D134" s="5" t="s">
        <v>897</v>
      </c>
      <c r="E134" s="5" t="s">
        <v>762</v>
      </c>
      <c r="F134" s="5"/>
      <c r="G134" s="5" t="s">
        <v>8</v>
      </c>
      <c r="H134" s="5" t="s">
        <v>816</v>
      </c>
      <c r="I134" s="17" t="s">
        <v>921</v>
      </c>
      <c r="J134" s="3" t="s">
        <v>1080</v>
      </c>
      <c r="K134" s="3" t="s">
        <v>903</v>
      </c>
      <c r="L134" s="3" t="s">
        <v>873</v>
      </c>
      <c r="M134" s="3"/>
      <c r="O134" t="str">
        <f t="shared" si="2"/>
        <v>"hm4", "MAN06.Q.VC0.na", "Manufacturing stocks", "Stocks $m", "Manufacturing", "", "m", "$m", ",d", "qual", "black", "Line", "",</v>
      </c>
    </row>
    <row r="135" spans="1:15" ht="14.25">
      <c r="A135" s="2" t="s">
        <v>418</v>
      </c>
      <c r="B135" s="6" t="s">
        <v>401</v>
      </c>
      <c r="C135" s="5" t="s">
        <v>399</v>
      </c>
      <c r="D135" s="5" t="s">
        <v>898</v>
      </c>
      <c r="E135" s="5" t="s">
        <v>762</v>
      </c>
      <c r="F135" s="5"/>
      <c r="G135" s="5" t="s">
        <v>16</v>
      </c>
      <c r="H135" s="5" t="s">
        <v>782</v>
      </c>
      <c r="I135" s="2" t="s">
        <v>891</v>
      </c>
      <c r="J135" s="3" t="s">
        <v>1080</v>
      </c>
      <c r="K135" s="3" t="s">
        <v>903</v>
      </c>
      <c r="L135" s="3" t="s">
        <v>873</v>
      </c>
      <c r="M135" s="3"/>
      <c r="O135" t="str">
        <f t="shared" si="2"/>
        <v>"hm4", "MAN06.Q.VC0.nay", "Manufacturing stocks", "Stocks y/y%", "Manufacturing", "", "%", "y/y%", ".0f", "qual", "black", "Line", "",</v>
      </c>
    </row>
    <row r="136" spans="1:15" ht="38.25">
      <c r="A136" s="2" t="s">
        <v>418</v>
      </c>
      <c r="B136" s="6" t="s">
        <v>403</v>
      </c>
      <c r="C136" s="5" t="s">
        <v>402</v>
      </c>
      <c r="D136" s="5" t="s">
        <v>893</v>
      </c>
      <c r="E136" s="5" t="s">
        <v>763</v>
      </c>
      <c r="F136" s="5"/>
      <c r="G136" s="5" t="s">
        <v>8</v>
      </c>
      <c r="H136" s="5" t="s">
        <v>815</v>
      </c>
      <c r="I136" s="17" t="s">
        <v>921</v>
      </c>
      <c r="J136" s="3" t="s">
        <v>1080</v>
      </c>
      <c r="K136" s="3" t="s">
        <v>903</v>
      </c>
      <c r="L136" s="3" t="s">
        <v>873</v>
      </c>
      <c r="M136" s="3"/>
      <c r="O136" t="str">
        <f t="shared" si="2"/>
        <v>"hm4", "MAN06.Q.S1C111.ns", "Meat and dairy manufacturing operating income", "Operating income $m s.a.", "Meat and dairy", "", "m", "$m s.a.", ",d", "qual", "black", "Line", "",</v>
      </c>
    </row>
    <row r="137" spans="1:15" ht="38.25">
      <c r="A137" s="2" t="s">
        <v>418</v>
      </c>
      <c r="B137" s="6" t="s">
        <v>404</v>
      </c>
      <c r="C137" s="5" t="s">
        <v>402</v>
      </c>
      <c r="D137" s="5" t="s">
        <v>894</v>
      </c>
      <c r="E137" s="5" t="s">
        <v>763</v>
      </c>
      <c r="F137" s="5"/>
      <c r="G137" s="5" t="s">
        <v>8</v>
      </c>
      <c r="H137" s="5" t="s">
        <v>816</v>
      </c>
      <c r="I137" s="17" t="s">
        <v>921</v>
      </c>
      <c r="J137" s="3" t="s">
        <v>1080</v>
      </c>
      <c r="K137" s="3" t="s">
        <v>903</v>
      </c>
      <c r="L137" s="3" t="s">
        <v>873</v>
      </c>
      <c r="M137" s="3"/>
      <c r="O137" t="str">
        <f t="shared" si="2"/>
        <v>"hm4", "MAN06.Q.S1C111.na", "Meat and dairy manufacturing operating income", "Operating income $m", "Meat and dairy", "", "m", "$m", ",d", "qual", "black", "Line", "",</v>
      </c>
    </row>
    <row r="138" spans="1:15" ht="38.25">
      <c r="A138" s="2" t="s">
        <v>418</v>
      </c>
      <c r="B138" s="6" t="s">
        <v>405</v>
      </c>
      <c r="C138" s="5" t="s">
        <v>402</v>
      </c>
      <c r="D138" s="5" t="s">
        <v>895</v>
      </c>
      <c r="E138" s="5" t="s">
        <v>763</v>
      </c>
      <c r="F138" s="5"/>
      <c r="H138" s="5" t="s">
        <v>817</v>
      </c>
      <c r="I138" s="2" t="s">
        <v>891</v>
      </c>
      <c r="J138" s="3" t="s">
        <v>1080</v>
      </c>
      <c r="K138" s="3" t="s">
        <v>903</v>
      </c>
      <c r="L138" s="3" t="s">
        <v>873</v>
      </c>
      <c r="M138" s="3"/>
      <c r="O138" t="str">
        <f t="shared" si="2"/>
        <v>"hm4", "MAN06.Q.S1C111.nsq", "Meat and dairy manufacturing operating income", "Operating income q/q% s.a.", "Meat and dairy", "", "", "q/q% s.a.", ".0f", "qual", "black", "Line", "",</v>
      </c>
    </row>
    <row r="139" spans="1:15" ht="38.25">
      <c r="A139" s="2" t="s">
        <v>418</v>
      </c>
      <c r="B139" s="6" t="s">
        <v>406</v>
      </c>
      <c r="C139" s="5" t="s">
        <v>402</v>
      </c>
      <c r="D139" s="5" t="s">
        <v>896</v>
      </c>
      <c r="E139" s="5" t="s">
        <v>763</v>
      </c>
      <c r="F139" s="5"/>
      <c r="H139" s="5" t="s">
        <v>782</v>
      </c>
      <c r="I139" s="2" t="s">
        <v>891</v>
      </c>
      <c r="J139" s="3" t="s">
        <v>1080</v>
      </c>
      <c r="K139" s="3" t="s">
        <v>903</v>
      </c>
      <c r="L139" s="3" t="s">
        <v>873</v>
      </c>
      <c r="M139" s="3"/>
      <c r="O139" t="str">
        <f t="shared" si="2"/>
        <v>"hm4", "MAN06.Q.S1C111.nay", "Meat and dairy manufacturing operating income", "Operating income y/y%", "Meat and dairy", "", "", "y/y%", ".0f", "qual", "black", "Line", "",</v>
      </c>
    </row>
    <row r="140" spans="1:15" ht="14.25">
      <c r="A140" s="2" t="s">
        <v>418</v>
      </c>
      <c r="B140" s="6" t="s">
        <v>345</v>
      </c>
      <c r="C140" s="5" t="s">
        <v>343</v>
      </c>
      <c r="D140" s="2" t="s">
        <v>899</v>
      </c>
      <c r="E140" s="5" t="s">
        <v>764</v>
      </c>
      <c r="F140" s="5"/>
      <c r="G140" s="5" t="s">
        <v>346</v>
      </c>
      <c r="H140" s="5" t="s">
        <v>815</v>
      </c>
      <c r="I140" s="17" t="s">
        <v>921</v>
      </c>
      <c r="J140" s="3" t="s">
        <v>1080</v>
      </c>
      <c r="K140" s="3" t="s">
        <v>903</v>
      </c>
      <c r="L140" s="3" t="s">
        <v>873</v>
      </c>
      <c r="M140" s="3"/>
      <c r="O140" t="str">
        <f t="shared" si="2"/>
        <v>"hm4", "RTS06.Q.S1G.ns", "Retail trade sales", "Sales $m s.a.", "Retail trade", "", "NZDm s.a.", "$m s.a.", ",d", "qual", "black", "Line", "",</v>
      </c>
    </row>
    <row r="141" spans="1:15" ht="14.25">
      <c r="A141" s="2" t="s">
        <v>418</v>
      </c>
      <c r="B141" s="6" t="s">
        <v>344</v>
      </c>
      <c r="C141" s="5" t="s">
        <v>343</v>
      </c>
      <c r="D141" s="2" t="s">
        <v>900</v>
      </c>
      <c r="E141" s="5" t="s">
        <v>764</v>
      </c>
      <c r="F141" s="5"/>
      <c r="G141" s="5" t="s">
        <v>217</v>
      </c>
      <c r="H141" s="5" t="s">
        <v>816</v>
      </c>
      <c r="I141" s="17" t="s">
        <v>921</v>
      </c>
      <c r="J141" s="3" t="s">
        <v>1080</v>
      </c>
      <c r="K141" s="3" t="s">
        <v>903</v>
      </c>
      <c r="L141" s="3" t="s">
        <v>873</v>
      </c>
      <c r="M141" s="3"/>
      <c r="O141" t="str">
        <f t="shared" si="2"/>
        <v>"hm4", "RTS06.Q.S1G.na", "Retail trade sales", "Sales $m", "Retail trade", "", "NZDm", "$m", ",d", "qual", "black", "Line", "",</v>
      </c>
    </row>
    <row r="142" spans="1:15" ht="14.25">
      <c r="A142" s="2" t="s">
        <v>418</v>
      </c>
      <c r="B142" s="6" t="s">
        <v>347</v>
      </c>
      <c r="C142" s="5" t="s">
        <v>343</v>
      </c>
      <c r="D142" s="2" t="s">
        <v>901</v>
      </c>
      <c r="E142" s="5" t="s">
        <v>764</v>
      </c>
      <c r="F142" s="5"/>
      <c r="G142" s="5" t="s">
        <v>348</v>
      </c>
      <c r="H142" s="5" t="s">
        <v>817</v>
      </c>
      <c r="I142" s="2" t="s">
        <v>891</v>
      </c>
      <c r="J142" s="3" t="s">
        <v>1080</v>
      </c>
      <c r="K142" s="3" t="s">
        <v>903</v>
      </c>
      <c r="L142" s="3" t="s">
        <v>873</v>
      </c>
      <c r="M142" s="3"/>
      <c r="O142" t="str">
        <f t="shared" si="2"/>
        <v>"hm4", "RTS06.Q.S1G.nsq", "Retail trade sales", "Sales q/q% s.a.", "Retail trade", "", "% s.a.", "q/q% s.a.", ".0f", "qual", "black", "Line", "",</v>
      </c>
    </row>
    <row r="143" spans="1:15" ht="14.25">
      <c r="A143" s="2" t="s">
        <v>418</v>
      </c>
      <c r="B143" s="6" t="s">
        <v>349</v>
      </c>
      <c r="C143" s="5" t="s">
        <v>343</v>
      </c>
      <c r="D143" s="2" t="s">
        <v>902</v>
      </c>
      <c r="E143" s="5" t="s">
        <v>764</v>
      </c>
      <c r="F143" s="5"/>
      <c r="G143" s="5" t="s">
        <v>16</v>
      </c>
      <c r="H143" s="5" t="s">
        <v>782</v>
      </c>
      <c r="I143" s="2" t="s">
        <v>891</v>
      </c>
      <c r="J143" s="3" t="s">
        <v>1080</v>
      </c>
      <c r="K143" s="3" t="s">
        <v>903</v>
      </c>
      <c r="L143" s="3" t="s">
        <v>873</v>
      </c>
      <c r="M143" s="3"/>
      <c r="O143" t="str">
        <f t="shared" si="2"/>
        <v>"hm4", "RTS06.Q.S1G.nay", "Retail trade sales", "Sales y/y%", "Retail trade", "", "%", "y/y%", ".0f", "qual", "black", "Line", "",</v>
      </c>
    </row>
    <row r="144" spans="1:15" ht="14.25">
      <c r="A144" s="2" t="s">
        <v>418</v>
      </c>
      <c r="B144" s="6" t="s">
        <v>408</v>
      </c>
      <c r="C144" s="5" t="s">
        <v>407</v>
      </c>
      <c r="D144" s="2" t="s">
        <v>900</v>
      </c>
      <c r="E144" s="5" t="s">
        <v>764</v>
      </c>
      <c r="F144" s="5"/>
      <c r="G144" s="5" t="s">
        <v>217</v>
      </c>
      <c r="H144" s="5" t="s">
        <v>816</v>
      </c>
      <c r="I144" s="17" t="s">
        <v>921</v>
      </c>
      <c r="J144" s="3" t="s">
        <v>1080</v>
      </c>
      <c r="K144" s="3" t="s">
        <v>903</v>
      </c>
      <c r="L144" s="3" t="s">
        <v>873</v>
      </c>
      <c r="M144" s="3"/>
      <c r="O144" t="str">
        <f t="shared" si="2"/>
        <v>"hm4", "RTS06.Q.VG.na", "Retail trade stocks", "Sales $m", "Retail trade", "", "NZDm", "$m", ",d", "qual", "black", "Line", "",</v>
      </c>
    </row>
    <row r="145" spans="1:15" ht="14.25">
      <c r="A145" s="2" t="s">
        <v>418</v>
      </c>
      <c r="B145" s="6" t="s">
        <v>409</v>
      </c>
      <c r="C145" s="5" t="s">
        <v>407</v>
      </c>
      <c r="D145" s="2" t="s">
        <v>902</v>
      </c>
      <c r="E145" s="5" t="s">
        <v>764</v>
      </c>
      <c r="F145" s="5"/>
      <c r="G145" s="5" t="s">
        <v>16</v>
      </c>
      <c r="H145" s="5" t="s">
        <v>782</v>
      </c>
      <c r="I145" s="2" t="s">
        <v>891</v>
      </c>
      <c r="J145" s="3" t="s">
        <v>1080</v>
      </c>
      <c r="K145" s="3" t="s">
        <v>903</v>
      </c>
      <c r="L145" s="3" t="s">
        <v>873</v>
      </c>
      <c r="M145" s="3"/>
      <c r="O145" t="str">
        <f t="shared" si="2"/>
        <v>"hm4", "RTS06.Q.VG.nay", "Retail trade stocks", "Sales y/y%", "Retail trade", "", "%", "y/y%", ".0f", "qual", "black", "Line", "",</v>
      </c>
    </row>
    <row r="146" spans="1:15" ht="14.25">
      <c r="A146" s="2" t="s">
        <v>418</v>
      </c>
      <c r="B146" s="6" t="s">
        <v>411</v>
      </c>
      <c r="C146" s="5" t="s">
        <v>410</v>
      </c>
      <c r="D146" s="2" t="s">
        <v>899</v>
      </c>
      <c r="E146" s="5" t="s">
        <v>765</v>
      </c>
      <c r="F146" s="5"/>
      <c r="G146" s="5" t="s">
        <v>346</v>
      </c>
      <c r="H146" s="5" t="s">
        <v>815</v>
      </c>
      <c r="I146" s="17" t="s">
        <v>921</v>
      </c>
      <c r="J146" s="3" t="s">
        <v>1080</v>
      </c>
      <c r="K146" s="3" t="s">
        <v>903</v>
      </c>
      <c r="L146" s="3" t="s">
        <v>873</v>
      </c>
      <c r="M146" s="3"/>
      <c r="O146" t="str">
        <f t="shared" si="2"/>
        <v>"hm4", "WTS06.Q.S1F0.ns", "Wholesale trade sales", "Sales $m s.a.", "Wholesale trade", "", "NZDm s.a.", "$m s.a.", ",d", "qual", "black", "Line", "",</v>
      </c>
    </row>
    <row r="147" spans="1:15" ht="14.25">
      <c r="A147" s="2" t="s">
        <v>418</v>
      </c>
      <c r="B147" s="6" t="s">
        <v>412</v>
      </c>
      <c r="C147" s="5" t="s">
        <v>410</v>
      </c>
      <c r="D147" s="2" t="s">
        <v>900</v>
      </c>
      <c r="E147" s="5" t="s">
        <v>765</v>
      </c>
      <c r="F147" s="5"/>
      <c r="G147" s="5" t="s">
        <v>217</v>
      </c>
      <c r="H147" s="5" t="s">
        <v>816</v>
      </c>
      <c r="I147" s="17" t="s">
        <v>921</v>
      </c>
      <c r="J147" s="3" t="s">
        <v>1080</v>
      </c>
      <c r="K147" s="3" t="s">
        <v>903</v>
      </c>
      <c r="L147" s="3" t="s">
        <v>873</v>
      </c>
      <c r="M147" s="3"/>
      <c r="O147" t="str">
        <f t="shared" si="2"/>
        <v>"hm4", "WTS06.Q.S1F0.na", "Wholesale trade sales", "Sales $m", "Wholesale trade", "", "NZDm", "$m", ",d", "qual", "black", "Line", "",</v>
      </c>
    </row>
    <row r="148" spans="1:15" ht="14.25">
      <c r="A148" s="2" t="s">
        <v>418</v>
      </c>
      <c r="B148" s="6" t="s">
        <v>413</v>
      </c>
      <c r="C148" s="5" t="s">
        <v>410</v>
      </c>
      <c r="D148" s="2" t="s">
        <v>901</v>
      </c>
      <c r="E148" s="5" t="s">
        <v>765</v>
      </c>
      <c r="F148" s="5"/>
      <c r="G148" s="5" t="s">
        <v>348</v>
      </c>
      <c r="H148" s="5" t="s">
        <v>817</v>
      </c>
      <c r="I148" s="2" t="s">
        <v>891</v>
      </c>
      <c r="J148" s="3" t="s">
        <v>1080</v>
      </c>
      <c r="K148" s="3" t="s">
        <v>903</v>
      </c>
      <c r="L148" s="3" t="s">
        <v>873</v>
      </c>
      <c r="M148" s="3"/>
      <c r="O148" t="str">
        <f t="shared" si="2"/>
        <v>"hm4", "WTS06.Q.S1F0.nsq", "Wholesale trade sales", "Sales q/q% s.a.", "Wholesale trade", "", "% s.a.", "q/q% s.a.", ".0f", "qual", "black", "Line", "",</v>
      </c>
    </row>
    <row r="149" spans="1:15" ht="14.25">
      <c r="A149" s="2" t="s">
        <v>418</v>
      </c>
      <c r="B149" s="6" t="s">
        <v>414</v>
      </c>
      <c r="C149" s="5" t="s">
        <v>410</v>
      </c>
      <c r="D149" s="2" t="s">
        <v>902</v>
      </c>
      <c r="E149" s="5" t="s">
        <v>765</v>
      </c>
      <c r="F149" s="5"/>
      <c r="G149" s="5" t="s">
        <v>16</v>
      </c>
      <c r="H149" s="5" t="s">
        <v>782</v>
      </c>
      <c r="I149" s="2" t="s">
        <v>891</v>
      </c>
      <c r="J149" s="3" t="s">
        <v>1080</v>
      </c>
      <c r="K149" s="3" t="s">
        <v>903</v>
      </c>
      <c r="L149" s="3" t="s">
        <v>873</v>
      </c>
      <c r="M149" s="3"/>
      <c r="O149" t="str">
        <f t="shared" si="2"/>
        <v>"hm4", "WTS06.Q.S1F0.nay", "Wholesale trade sales", "Sales y/y%", "Wholesale trade", "", "%", "y/y%", ".0f", "qual", "black", "Line", "",</v>
      </c>
    </row>
    <row r="150" spans="1:15" ht="14.25">
      <c r="A150" s="2" t="s">
        <v>418</v>
      </c>
      <c r="B150" s="6" t="s">
        <v>416</v>
      </c>
      <c r="C150" s="5" t="s">
        <v>415</v>
      </c>
      <c r="D150" s="2" t="s">
        <v>897</v>
      </c>
      <c r="E150" s="5" t="s">
        <v>765</v>
      </c>
      <c r="F150" s="5"/>
      <c r="G150" s="5" t="s">
        <v>217</v>
      </c>
      <c r="H150" s="5" t="s">
        <v>816</v>
      </c>
      <c r="I150" s="17" t="s">
        <v>921</v>
      </c>
      <c r="J150" s="3" t="s">
        <v>1080</v>
      </c>
      <c r="K150" s="3" t="s">
        <v>903</v>
      </c>
      <c r="L150" s="3" t="s">
        <v>873</v>
      </c>
      <c r="M150" s="3"/>
      <c r="O150" t="str">
        <f t="shared" si="2"/>
        <v>"hm4", "WTS06.Q.VF0.na", "Wholesale trade stocks", "Stocks $m", "Wholesale trade", "", "NZDm", "$m", ",d", "qual", "black", "Line", "",</v>
      </c>
    </row>
    <row r="151" spans="1:15" ht="14.25">
      <c r="A151" s="2" t="s">
        <v>418</v>
      </c>
      <c r="B151" s="6" t="s">
        <v>417</v>
      </c>
      <c r="C151" s="5" t="s">
        <v>415</v>
      </c>
      <c r="D151" s="2" t="s">
        <v>898</v>
      </c>
      <c r="E151" s="5" t="s">
        <v>765</v>
      </c>
      <c r="F151" s="5"/>
      <c r="G151" s="5" t="s">
        <v>16</v>
      </c>
      <c r="H151" s="5" t="s">
        <v>782</v>
      </c>
      <c r="I151" s="2" t="s">
        <v>891</v>
      </c>
      <c r="J151" s="3" t="s">
        <v>1080</v>
      </c>
      <c r="K151" s="3" t="s">
        <v>903</v>
      </c>
      <c r="L151" s="3" t="s">
        <v>873</v>
      </c>
      <c r="M151" s="3"/>
      <c r="O151" t="str">
        <f t="shared" si="2"/>
        <v>"hm4", "WTS06.Q.VF0.nay", "Wholesale trade stocks", "Stocks y/y%", "Wholesale trade", "", "%", "y/y%", ".0f", "qual", "black", "Line", "",</v>
      </c>
    </row>
    <row r="152" spans="1:15" ht="14.25">
      <c r="A152" s="2" t="s">
        <v>486</v>
      </c>
      <c r="B152" s="6" t="s">
        <v>420</v>
      </c>
      <c r="C152" s="16" t="s">
        <v>947</v>
      </c>
      <c r="D152" s="2" t="s">
        <v>922</v>
      </c>
      <c r="E152" s="5" t="s">
        <v>923</v>
      </c>
      <c r="F152" s="5" t="s">
        <v>1102</v>
      </c>
      <c r="G152" s="5" t="s">
        <v>352</v>
      </c>
      <c r="H152" s="5" t="s">
        <v>816</v>
      </c>
      <c r="I152" s="17" t="s">
        <v>921</v>
      </c>
      <c r="J152" s="3" t="s">
        <v>1080</v>
      </c>
      <c r="K152" s="3" t="s">
        <v>892</v>
      </c>
      <c r="L152" s="3" t="s">
        <v>873</v>
      </c>
      <c r="M152" s="3"/>
      <c r="O152" t="str">
        <f t="shared" si="2"/>
        <v>"hm5", "GDP06.Q.QT0.ra", "GDP - Production (Real $m)", "GDPReal $m", "GDP", "GDP-Production (Real $m)", "NZDm(r)", "$m", ",d", "qual", "number", "Line", "",</v>
      </c>
    </row>
    <row r="153" spans="1:15" ht="25.5">
      <c r="A153" s="2" t="s">
        <v>486</v>
      </c>
      <c r="B153" s="6" t="s">
        <v>421</v>
      </c>
      <c r="C153" s="5" t="s">
        <v>948</v>
      </c>
      <c r="D153" s="2" t="s">
        <v>924</v>
      </c>
      <c r="E153" s="5" t="s">
        <v>923</v>
      </c>
      <c r="F153" s="5" t="s">
        <v>1103</v>
      </c>
      <c r="G153" s="5" t="s">
        <v>354</v>
      </c>
      <c r="H153" s="5" t="s">
        <v>816</v>
      </c>
      <c r="I153" s="17" t="s">
        <v>921</v>
      </c>
      <c r="J153" s="3" t="s">
        <v>1080</v>
      </c>
      <c r="K153" s="3" t="s">
        <v>892</v>
      </c>
      <c r="L153" s="3" t="s">
        <v>873</v>
      </c>
      <c r="M153" s="3"/>
      <c r="O153" t="str">
        <f t="shared" si="2"/>
        <v>"hm5", "GDP06.Q.QT0.rs", "GDP - Production (Real $m s.a.)", "GDPReal $m s.a.", "GDP", "GDP-Production (Real $m s.a.)", "NZDm(r) s.a.", "$m", ",d", "qual", "number", "Line", "",</v>
      </c>
    </row>
    <row r="154" spans="1:15" ht="25.5">
      <c r="A154" s="2" t="s">
        <v>486</v>
      </c>
      <c r="B154" s="6" t="s">
        <v>422</v>
      </c>
      <c r="C154" s="5" t="s">
        <v>949</v>
      </c>
      <c r="D154" s="2" t="s">
        <v>925</v>
      </c>
      <c r="E154" s="5" t="s">
        <v>923</v>
      </c>
      <c r="F154" s="5" t="s">
        <v>1104</v>
      </c>
      <c r="G154" s="5" t="s">
        <v>356</v>
      </c>
      <c r="H154" s="5" t="s">
        <v>781</v>
      </c>
      <c r="I154" s="2" t="s">
        <v>731</v>
      </c>
      <c r="J154" s="3" t="s">
        <v>1080</v>
      </c>
      <c r="K154" s="3" t="s">
        <v>892</v>
      </c>
      <c r="L154" s="3" t="s">
        <v>873</v>
      </c>
      <c r="M154" s="3"/>
      <c r="O154" t="str">
        <f t="shared" si="2"/>
        <v>"hm5", "GDP06.Q.QT0.rsq", "GDP - Production (Real q/q% s.a.)", "GDPReal q/q% s.a.", "GDP", "GDP-Production (Real q/q% s.a.)", "%(r) s.a.", "q/q%", ".2f", "qual", "number", "Line", "",</v>
      </c>
    </row>
    <row r="155" spans="1:15" ht="25.5">
      <c r="A155" s="2" t="s">
        <v>486</v>
      </c>
      <c r="B155" s="6" t="s">
        <v>423</v>
      </c>
      <c r="C155" s="5" t="s">
        <v>950</v>
      </c>
      <c r="D155" s="2" t="s">
        <v>926</v>
      </c>
      <c r="E155" s="5" t="s">
        <v>923</v>
      </c>
      <c r="F155" s="5" t="s">
        <v>1105</v>
      </c>
      <c r="G155" s="5" t="s">
        <v>358</v>
      </c>
      <c r="H155" s="5" t="s">
        <v>782</v>
      </c>
      <c r="I155" s="2" t="s">
        <v>731</v>
      </c>
      <c r="J155" s="3" t="s">
        <v>1080</v>
      </c>
      <c r="K155" s="3" t="s">
        <v>892</v>
      </c>
      <c r="L155" s="3" t="s">
        <v>873</v>
      </c>
      <c r="M155" s="3"/>
      <c r="O155" t="str">
        <f t="shared" si="2"/>
        <v>"hm5", "GDP06.Q.QT0.ray", "GDP - Production (Real y/y%)", "GDPReal y/y%", "GDP", "GDP-Production (Real y/y%)", "%(r)", "y/y%", ".2f", "qual", "number", "Line", "",</v>
      </c>
    </row>
    <row r="156" spans="1:15" ht="25.5">
      <c r="A156" s="2" t="s">
        <v>486</v>
      </c>
      <c r="B156" s="6" t="s">
        <v>426</v>
      </c>
      <c r="C156" s="5" t="s">
        <v>951</v>
      </c>
      <c r="D156" s="2" t="s">
        <v>927</v>
      </c>
      <c r="E156" s="5" t="s">
        <v>923</v>
      </c>
      <c r="F156" s="5" t="s">
        <v>1106</v>
      </c>
      <c r="G156" s="5" t="s">
        <v>217</v>
      </c>
      <c r="H156" s="5" t="s">
        <v>816</v>
      </c>
      <c r="I156" s="17" t="s">
        <v>921</v>
      </c>
      <c r="J156" s="3" t="s">
        <v>1080</v>
      </c>
      <c r="K156" s="3" t="s">
        <v>892</v>
      </c>
      <c r="L156" s="3" t="s">
        <v>873</v>
      </c>
      <c r="M156" s="3"/>
      <c r="O156" t="str">
        <f t="shared" si="2"/>
        <v>"hm5", "GDE.Q.EY.NA", "GDP - Expenditure (Nominal $m)", "GDPNominal $m", "GDP", "GDP-Expenditure (Nominal $m)", "NZDm", "$m", ",d", "qual", "number", "Line", "",</v>
      </c>
    </row>
    <row r="157" spans="1:15" ht="25.5">
      <c r="A157" s="2" t="s">
        <v>486</v>
      </c>
      <c r="B157" s="6" t="s">
        <v>428</v>
      </c>
      <c r="C157" s="5" t="s">
        <v>952</v>
      </c>
      <c r="D157" s="2" t="s">
        <v>928</v>
      </c>
      <c r="E157" s="5" t="s">
        <v>923</v>
      </c>
      <c r="F157" s="5" t="s">
        <v>1107</v>
      </c>
      <c r="G157" s="5" t="s">
        <v>346</v>
      </c>
      <c r="H157" s="5" t="s">
        <v>816</v>
      </c>
      <c r="I157" s="17" t="s">
        <v>921</v>
      </c>
      <c r="J157" s="3" t="s">
        <v>1080</v>
      </c>
      <c r="K157" s="3" t="s">
        <v>892</v>
      </c>
      <c r="L157" s="3" t="s">
        <v>873</v>
      </c>
      <c r="M157" s="3"/>
      <c r="O157" t="str">
        <f t="shared" si="2"/>
        <v>"hm5", "GDE.Q.EY.NS", "GDP - Expenditure (Nominal $m s.a.)", "GDPNominal $m s.a.", "GDP", "GDP-Expenditure (Nominal $m s.a.)", "NZDm s.a.", "$m", ",d", "qual", "number", "Line", "",</v>
      </c>
    </row>
    <row r="158" spans="1:15" ht="25.5">
      <c r="A158" s="2" t="s">
        <v>486</v>
      </c>
      <c r="B158" s="6" t="s">
        <v>430</v>
      </c>
      <c r="C158" s="5" t="s">
        <v>953</v>
      </c>
      <c r="D158" s="2" t="s">
        <v>929</v>
      </c>
      <c r="E158" s="5" t="s">
        <v>923</v>
      </c>
      <c r="F158" s="5" t="s">
        <v>1108</v>
      </c>
      <c r="G158" s="5" t="s">
        <v>348</v>
      </c>
      <c r="H158" s="5" t="s">
        <v>781</v>
      </c>
      <c r="I158" s="2" t="s">
        <v>731</v>
      </c>
      <c r="J158" s="3" t="s">
        <v>1080</v>
      </c>
      <c r="K158" s="3" t="s">
        <v>892</v>
      </c>
      <c r="L158" s="3" t="s">
        <v>873</v>
      </c>
      <c r="M158" s="3"/>
      <c r="O158" t="str">
        <f t="shared" si="2"/>
        <v>"hm5", "GDE.Q.EY.nsq", "GDP - Expenditure (Nominal q/q% s.a.)", "GDPNominal q/q% s.a.", "GDP", "GDP-Expenditure (Nominal q/q% s.a.)", "% s.a.", "q/q%", ".2f", "qual", "number", "Line", "",</v>
      </c>
    </row>
    <row r="159" spans="1:15" ht="25.5">
      <c r="A159" s="2" t="s">
        <v>486</v>
      </c>
      <c r="B159" s="6" t="s">
        <v>432</v>
      </c>
      <c r="C159" s="5" t="s">
        <v>954</v>
      </c>
      <c r="D159" s="2" t="s">
        <v>930</v>
      </c>
      <c r="E159" s="5" t="s">
        <v>923</v>
      </c>
      <c r="F159" s="5" t="s">
        <v>1109</v>
      </c>
      <c r="G159" s="5" t="s">
        <v>16</v>
      </c>
      <c r="H159" s="5" t="s">
        <v>782</v>
      </c>
      <c r="I159" s="2" t="s">
        <v>731</v>
      </c>
      <c r="J159" s="3" t="s">
        <v>1080</v>
      </c>
      <c r="K159" s="3" t="s">
        <v>892</v>
      </c>
      <c r="L159" s="3" t="s">
        <v>873</v>
      </c>
      <c r="M159" s="3"/>
      <c r="O159" t="str">
        <f t="shared" si="2"/>
        <v>"hm5", "GDE.Q.EY.nay", "GDP - Expenditure (Nominal y/y%)", "GDPNominal y/y%", "GDP", "GDP-Expenditure (Nominal y/y%)", "%", "y/y%", ".2f", "qual", "number", "Line", "",</v>
      </c>
    </row>
    <row r="160" spans="1:15" ht="25.5">
      <c r="A160" s="2" t="s">
        <v>486</v>
      </c>
      <c r="B160" s="6" t="s">
        <v>433</v>
      </c>
      <c r="C160" s="5" t="s">
        <v>955</v>
      </c>
      <c r="D160" s="2" t="s">
        <v>922</v>
      </c>
      <c r="E160" s="5" t="s">
        <v>923</v>
      </c>
      <c r="F160" s="5" t="s">
        <v>1110</v>
      </c>
      <c r="G160" s="5" t="s">
        <v>352</v>
      </c>
      <c r="H160" s="5" t="s">
        <v>816</v>
      </c>
      <c r="I160" s="17" t="s">
        <v>921</v>
      </c>
      <c r="J160" s="3" t="s">
        <v>1080</v>
      </c>
      <c r="K160" s="3" t="s">
        <v>892</v>
      </c>
      <c r="L160" s="3" t="s">
        <v>873</v>
      </c>
      <c r="M160" s="3"/>
      <c r="O160" t="str">
        <f t="shared" si="2"/>
        <v>"hm5", "GDE.Q.EY.RA", "GDP - Expenditure (Real $m)", "GDPReal $m", "GDP", "GDP-Expenditure (Real $m)", "NZDm(r)", "$m", ",d", "qual", "number", "Line", "",</v>
      </c>
    </row>
    <row r="161" spans="1:15" ht="25.5">
      <c r="A161" s="2" t="s">
        <v>486</v>
      </c>
      <c r="B161" s="6" t="s">
        <v>434</v>
      </c>
      <c r="C161" s="5" t="s">
        <v>956</v>
      </c>
      <c r="D161" s="2" t="s">
        <v>924</v>
      </c>
      <c r="E161" s="5" t="s">
        <v>923</v>
      </c>
      <c r="F161" s="5" t="s">
        <v>1111</v>
      </c>
      <c r="G161" s="5" t="s">
        <v>354</v>
      </c>
      <c r="H161" s="5" t="s">
        <v>816</v>
      </c>
      <c r="I161" s="17" t="s">
        <v>921</v>
      </c>
      <c r="J161" s="3" t="s">
        <v>1080</v>
      </c>
      <c r="K161" s="3" t="s">
        <v>892</v>
      </c>
      <c r="L161" s="3" t="s">
        <v>873</v>
      </c>
      <c r="M161" s="3"/>
      <c r="O161" t="str">
        <f t="shared" si="2"/>
        <v>"hm5", "GDE.Q.EY.RS", "GDP - Expenditure (Real $m s.a.)", "GDPReal $m s.a.", "GDP", "GDP-Expenditure (Real $m s.a.)", "NZDm(r) s.a.", "$m", ",d", "qual", "number", "Line", "",</v>
      </c>
    </row>
    <row r="162" spans="1:15" ht="25.5">
      <c r="A162" s="2" t="s">
        <v>486</v>
      </c>
      <c r="B162" s="6" t="s">
        <v>435</v>
      </c>
      <c r="C162" s="5" t="s">
        <v>957</v>
      </c>
      <c r="D162" s="2" t="s">
        <v>925</v>
      </c>
      <c r="E162" s="5" t="s">
        <v>923</v>
      </c>
      <c r="F162" s="5" t="s">
        <v>1112</v>
      </c>
      <c r="G162" s="5" t="s">
        <v>356</v>
      </c>
      <c r="H162" s="5" t="s">
        <v>781</v>
      </c>
      <c r="I162" s="2" t="s">
        <v>731</v>
      </c>
      <c r="J162" s="3" t="s">
        <v>1080</v>
      </c>
      <c r="K162" s="3" t="s">
        <v>892</v>
      </c>
      <c r="L162" s="3" t="s">
        <v>873</v>
      </c>
      <c r="M162" s="3"/>
      <c r="O162" t="str">
        <f t="shared" si="2"/>
        <v>"hm5", "GDE.Q.EY.rsq", "GDP - Expenditure (Real q/q% s.a.)", "GDPReal q/q% s.a.", "GDP", "GDP-Expenditure (Real q/q% s.a.)", "%(r) s.a.", "q/q%", ".2f", "qual", "number", "Line", "",</v>
      </c>
    </row>
    <row r="163" spans="1:15" ht="25.5">
      <c r="A163" s="2" t="s">
        <v>486</v>
      </c>
      <c r="B163" s="6" t="s">
        <v>436</v>
      </c>
      <c r="C163" s="16" t="s">
        <v>958</v>
      </c>
      <c r="D163" s="2" t="s">
        <v>926</v>
      </c>
      <c r="E163" s="5" t="s">
        <v>923</v>
      </c>
      <c r="F163" s="5" t="s">
        <v>1113</v>
      </c>
      <c r="G163" s="5" t="s">
        <v>358</v>
      </c>
      <c r="H163" s="5" t="s">
        <v>782</v>
      </c>
      <c r="I163" s="2" t="s">
        <v>731</v>
      </c>
      <c r="J163" s="3" t="s">
        <v>1080</v>
      </c>
      <c r="K163" s="3" t="s">
        <v>892</v>
      </c>
      <c r="L163" s="3" t="s">
        <v>873</v>
      </c>
      <c r="M163" s="3"/>
      <c r="O163" t="str">
        <f t="shared" si="2"/>
        <v>"hm5", "GDE.Q.EY.ray", "GDP - Expenditure (Real y/y%)", "GDPReal y/y%", "GDP", "GDP-Expenditure (Real y/y%)", "%(r)", "y/y%", ".2f", "qual", "number", "Line", "",</v>
      </c>
    </row>
    <row r="164" spans="1:15" ht="25.5">
      <c r="A164" s="2" t="s">
        <v>486</v>
      </c>
      <c r="B164" s="6" t="s">
        <v>438</v>
      </c>
      <c r="C164" s="5" t="s">
        <v>960</v>
      </c>
      <c r="D164" s="2" t="s">
        <v>824</v>
      </c>
      <c r="E164" s="5" t="s">
        <v>819</v>
      </c>
      <c r="F164" s="5" t="s">
        <v>1114</v>
      </c>
      <c r="G164" s="5" t="s">
        <v>217</v>
      </c>
      <c r="H164" s="5" t="s">
        <v>816</v>
      </c>
      <c r="I164" s="17" t="s">
        <v>921</v>
      </c>
      <c r="J164" s="3" t="s">
        <v>1080</v>
      </c>
      <c r="K164" s="3" t="s">
        <v>892</v>
      </c>
      <c r="L164" s="3" t="s">
        <v>873</v>
      </c>
      <c r="M164" s="3"/>
      <c r="O164" t="str">
        <f t="shared" si="2"/>
        <v>"hm5", "GDE.Q.EC1.NA", "Private Consumption (Nominal $m))", "Consumption expenditureNominal $m)", "Consumption expenditure", "Private Consumption (Nominal $m) ", "NZDm", "$m", ",d", "qual", "number", "Line", "",</v>
      </c>
    </row>
    <row r="165" spans="1:15" ht="25.5">
      <c r="A165" s="2" t="s">
        <v>486</v>
      </c>
      <c r="B165" s="6" t="s">
        <v>439</v>
      </c>
      <c r="C165" s="5" t="s">
        <v>961</v>
      </c>
      <c r="D165" s="2" t="s">
        <v>825</v>
      </c>
      <c r="E165" s="5" t="s">
        <v>819</v>
      </c>
      <c r="F165" s="5" t="s">
        <v>961</v>
      </c>
      <c r="G165" s="5" t="s">
        <v>346</v>
      </c>
      <c r="H165" s="5" t="s">
        <v>816</v>
      </c>
      <c r="I165" s="17" t="s">
        <v>921</v>
      </c>
      <c r="J165" s="3" t="s">
        <v>1080</v>
      </c>
      <c r="K165" s="3" t="s">
        <v>892</v>
      </c>
      <c r="L165" s="3" t="s">
        <v>873</v>
      </c>
      <c r="M165" s="3"/>
      <c r="O165" t="str">
        <f t="shared" si="2"/>
        <v>"hm5", "GDE.Q.EC1.NS", "Private Consumption (Nominal $m s.a.)", "Consumption expenditureNominal $m s.a.", "Consumption expenditure", "Private Consumption (Nominal $m s.a.)", "NZDm s.a.", "$m", ",d", "qual", "number", "Line", "",</v>
      </c>
    </row>
    <row r="166" spans="1:15" ht="25.5">
      <c r="A166" s="2" t="s">
        <v>486</v>
      </c>
      <c r="B166" s="6" t="s">
        <v>440</v>
      </c>
      <c r="C166" s="5" t="s">
        <v>962</v>
      </c>
      <c r="D166" s="2" t="s">
        <v>826</v>
      </c>
      <c r="E166" s="5" t="s">
        <v>819</v>
      </c>
      <c r="F166" s="5" t="s">
        <v>962</v>
      </c>
      <c r="G166" s="5" t="s">
        <v>348</v>
      </c>
      <c r="H166" s="5" t="s">
        <v>781</v>
      </c>
      <c r="I166" s="2" t="s">
        <v>731</v>
      </c>
      <c r="J166" s="3" t="s">
        <v>1080</v>
      </c>
      <c r="K166" s="3" t="s">
        <v>892</v>
      </c>
      <c r="L166" s="3" t="s">
        <v>873</v>
      </c>
      <c r="M166" s="3"/>
      <c r="O166" t="str">
        <f t="shared" si="2"/>
        <v>"hm5", "GDE.Q.EC1.nsq", "Private Consumption (Nominal q/q% s.a.)", "Consumption expenditureNominal q/q% s.a.", "Consumption expenditure", "Private Consumption (Nominal q/q% s.a.)", "% s.a.", "q/q%", ".2f", "qual", "number", "Line", "",</v>
      </c>
    </row>
    <row r="167" spans="1:15" ht="25.5">
      <c r="A167" s="2" t="s">
        <v>486</v>
      </c>
      <c r="B167" s="6" t="s">
        <v>441</v>
      </c>
      <c r="C167" s="5" t="s">
        <v>963</v>
      </c>
      <c r="D167" s="2" t="s">
        <v>827</v>
      </c>
      <c r="E167" s="5" t="s">
        <v>819</v>
      </c>
      <c r="F167" s="5" t="s">
        <v>963</v>
      </c>
      <c r="G167" s="5" t="s">
        <v>16</v>
      </c>
      <c r="H167" s="5" t="s">
        <v>782</v>
      </c>
      <c r="I167" s="2" t="s">
        <v>731</v>
      </c>
      <c r="J167" s="3" t="s">
        <v>1080</v>
      </c>
      <c r="K167" s="3" t="s">
        <v>892</v>
      </c>
      <c r="L167" s="3" t="s">
        <v>873</v>
      </c>
      <c r="M167" s="3"/>
      <c r="O167" t="str">
        <f t="shared" si="2"/>
        <v>"hm5", "GDE.Q.EC1.nay", "Private Consumption (Nominal y/y%)", "Consumption expenditureNominal y/y%", "Consumption expenditure", "Private Consumption (Nominal y/y%)", "%", "y/y%", ".2f", "qual", "number", "Line", "",</v>
      </c>
    </row>
    <row r="168" spans="1:15" ht="25.5">
      <c r="A168" s="2" t="s">
        <v>486</v>
      </c>
      <c r="B168" s="6" t="s">
        <v>361</v>
      </c>
      <c r="C168" s="5" t="s">
        <v>964</v>
      </c>
      <c r="D168" s="2" t="s">
        <v>828</v>
      </c>
      <c r="E168" s="5" t="s">
        <v>819</v>
      </c>
      <c r="F168" s="5" t="s">
        <v>964</v>
      </c>
      <c r="G168" s="5" t="s">
        <v>352</v>
      </c>
      <c r="H168" s="5" t="s">
        <v>816</v>
      </c>
      <c r="I168" s="17" t="s">
        <v>921</v>
      </c>
      <c r="J168" s="3" t="s">
        <v>1080</v>
      </c>
      <c r="K168" s="3" t="s">
        <v>892</v>
      </c>
      <c r="L168" s="3" t="s">
        <v>873</v>
      </c>
      <c r="M168" s="3"/>
      <c r="O168" t="str">
        <f t="shared" si="2"/>
        <v>"hm5", "GDE.Q.EC1.RA", "Private Consumption (Real $m)", "Consumption expenditureReal $m", "Consumption expenditure", "Private Consumption (Real $m)", "NZDm(r)", "$m", ",d", "qual", "number", "Line", "",</v>
      </c>
    </row>
    <row r="169" spans="1:15" ht="25.5">
      <c r="A169" s="2" t="s">
        <v>486</v>
      </c>
      <c r="B169" s="6" t="s">
        <v>363</v>
      </c>
      <c r="C169" s="5" t="s">
        <v>965</v>
      </c>
      <c r="D169" s="2" t="s">
        <v>829</v>
      </c>
      <c r="E169" s="5" t="s">
        <v>819</v>
      </c>
      <c r="F169" s="5" t="s">
        <v>965</v>
      </c>
      <c r="G169" s="5" t="s">
        <v>354</v>
      </c>
      <c r="H169" s="5" t="s">
        <v>816</v>
      </c>
      <c r="I169" s="2" t="s">
        <v>921</v>
      </c>
      <c r="J169" s="3" t="s">
        <v>1080</v>
      </c>
      <c r="K169" s="3" t="s">
        <v>892</v>
      </c>
      <c r="L169" s="3" t="s">
        <v>873</v>
      </c>
      <c r="M169" s="3"/>
      <c r="O169" t="str">
        <f t="shared" si="2"/>
        <v>"hm5", "GDE.Q.EC1.RS", "Private Consumption (Real $m s.a.)", "Consumption expenditureReal $m s.a.", "Consumption expenditure", "Private Consumption (Real $m s.a.)", "NZDm(r) s.a.", "$m", ",d", "qual", "number", "Line", "",</v>
      </c>
    </row>
    <row r="170" spans="1:15" ht="25.5">
      <c r="A170" s="2" t="s">
        <v>486</v>
      </c>
      <c r="B170" s="6" t="s">
        <v>365</v>
      </c>
      <c r="C170" s="5" t="s">
        <v>966</v>
      </c>
      <c r="D170" s="2" t="s">
        <v>830</v>
      </c>
      <c r="E170" s="5" t="s">
        <v>819</v>
      </c>
      <c r="F170" s="5" t="s">
        <v>966</v>
      </c>
      <c r="G170" s="5" t="s">
        <v>356</v>
      </c>
      <c r="H170" s="5" t="s">
        <v>781</v>
      </c>
      <c r="I170" s="2" t="s">
        <v>731</v>
      </c>
      <c r="J170" s="3" t="s">
        <v>1080</v>
      </c>
      <c r="K170" s="3" t="s">
        <v>892</v>
      </c>
      <c r="L170" s="3" t="s">
        <v>873</v>
      </c>
      <c r="M170" s="3"/>
      <c r="O170" t="str">
        <f t="shared" si="2"/>
        <v>"hm5", "GDE.Q.EC1.rsq", "Private Consumption (Real q/q% s.a.)", "Consumption expenditureReal q/q% s.a.", "Consumption expenditure", "Private Consumption (Real q/q% s.a.)", "%(r) s.a.", "q/q%", ".2f", "qual", "number", "Line", "",</v>
      </c>
    </row>
    <row r="171" spans="1:15" ht="25.5">
      <c r="A171" s="2" t="s">
        <v>486</v>
      </c>
      <c r="B171" s="6" t="s">
        <v>367</v>
      </c>
      <c r="C171" s="5" t="s">
        <v>967</v>
      </c>
      <c r="D171" s="2" t="s">
        <v>831</v>
      </c>
      <c r="E171" s="5" t="s">
        <v>819</v>
      </c>
      <c r="F171" s="5" t="s">
        <v>967</v>
      </c>
      <c r="G171" s="5" t="s">
        <v>358</v>
      </c>
      <c r="H171" s="5" t="s">
        <v>782</v>
      </c>
      <c r="I171" s="2" t="s">
        <v>731</v>
      </c>
      <c r="J171" s="3" t="s">
        <v>1080</v>
      </c>
      <c r="K171" s="3" t="s">
        <v>892</v>
      </c>
      <c r="L171" s="3" t="s">
        <v>873</v>
      </c>
      <c r="M171" s="3"/>
      <c r="O171" t="str">
        <f t="shared" si="2"/>
        <v>"hm5", "GDE.Q.EC1.ray", "Private Consumption (Real y/y%)", "Consumption expenditureReal y/y%", "Consumption expenditure", "Private Consumption (Real y/y%)", "%(r)", "y/y%", ".2f", "qual", "number", "Line", "",</v>
      </c>
    </row>
    <row r="172" spans="1:15" ht="25.5">
      <c r="A172" s="2" t="s">
        <v>486</v>
      </c>
      <c r="B172" s="6" t="s">
        <v>442</v>
      </c>
      <c r="C172" s="5" t="s">
        <v>969</v>
      </c>
      <c r="D172" s="2" t="s">
        <v>832</v>
      </c>
      <c r="E172" s="5" t="s">
        <v>819</v>
      </c>
      <c r="F172" s="5" t="s">
        <v>969</v>
      </c>
      <c r="G172" s="5" t="s">
        <v>217</v>
      </c>
      <c r="H172" s="5" t="s">
        <v>816</v>
      </c>
      <c r="I172" s="2" t="s">
        <v>921</v>
      </c>
      <c r="J172" s="3" t="s">
        <v>1080</v>
      </c>
      <c r="K172" s="3" t="s">
        <v>892</v>
      </c>
      <c r="L172" s="3" t="s">
        <v>873</v>
      </c>
      <c r="M172" s="3"/>
      <c r="O172" t="str">
        <f t="shared" si="2"/>
        <v>"hm5", "GDE.Q.EG13.NA", "Government Consumption (Nominal $m)", "Consumption expenditureNominal $m", "Consumption expenditure", "Government Consumption (Nominal $m)", "NZDm", "$m", ",d", "qual", "number", "Line", "",</v>
      </c>
    </row>
    <row r="173" spans="1:15" ht="25.5">
      <c r="A173" s="2" t="s">
        <v>486</v>
      </c>
      <c r="B173" s="6" t="s">
        <v>443</v>
      </c>
      <c r="C173" s="5" t="s">
        <v>970</v>
      </c>
      <c r="D173" s="2" t="s">
        <v>825</v>
      </c>
      <c r="E173" s="5" t="s">
        <v>819</v>
      </c>
      <c r="F173" s="5" t="s">
        <v>970</v>
      </c>
      <c r="G173" s="5" t="s">
        <v>346</v>
      </c>
      <c r="H173" s="5" t="s">
        <v>816</v>
      </c>
      <c r="I173" s="2" t="s">
        <v>921</v>
      </c>
      <c r="J173" s="3" t="s">
        <v>1080</v>
      </c>
      <c r="K173" s="3" t="s">
        <v>892</v>
      </c>
      <c r="L173" s="3" t="s">
        <v>873</v>
      </c>
      <c r="M173" s="3"/>
      <c r="O173" t="str">
        <f t="shared" si="2"/>
        <v>"hm5", "GDE.Q.EG13.NS", "Government Consumption (Nominal $m s.a.)", "Consumption expenditureNominal $m s.a.", "Consumption expenditure", "Government Consumption (Nominal $m s.a.)", "NZDm s.a.", "$m", ",d", "qual", "number", "Line", "",</v>
      </c>
    </row>
    <row r="174" spans="1:15" ht="25.5">
      <c r="A174" s="2" t="s">
        <v>486</v>
      </c>
      <c r="B174" s="6" t="s">
        <v>444</v>
      </c>
      <c r="C174" s="5" t="s">
        <v>971</v>
      </c>
      <c r="D174" s="2" t="s">
        <v>826</v>
      </c>
      <c r="E174" s="5" t="s">
        <v>819</v>
      </c>
      <c r="F174" s="5" t="s">
        <v>971</v>
      </c>
      <c r="G174" s="5" t="s">
        <v>348</v>
      </c>
      <c r="H174" s="5" t="s">
        <v>781</v>
      </c>
      <c r="I174" s="2" t="s">
        <v>731</v>
      </c>
      <c r="J174" s="3" t="s">
        <v>1080</v>
      </c>
      <c r="K174" s="3" t="s">
        <v>892</v>
      </c>
      <c r="L174" s="3" t="s">
        <v>873</v>
      </c>
      <c r="M174" s="3"/>
      <c r="O174" t="str">
        <f t="shared" si="2"/>
        <v>"hm5", "GDE.Q.EG13.nsq", "Government Consumption (Nominal q/q% s.a.)", "Consumption expenditureNominal q/q% s.a.", "Consumption expenditure", "Government Consumption (Nominal q/q% s.a.)", "% s.a.", "q/q%", ".2f", "qual", "number", "Line", "",</v>
      </c>
    </row>
    <row r="175" spans="1:15" ht="25.5">
      <c r="A175" s="2" t="s">
        <v>486</v>
      </c>
      <c r="B175" s="6" t="s">
        <v>445</v>
      </c>
      <c r="C175" s="5" t="s">
        <v>972</v>
      </c>
      <c r="D175" s="2" t="s">
        <v>827</v>
      </c>
      <c r="E175" s="5" t="s">
        <v>819</v>
      </c>
      <c r="F175" s="5" t="s">
        <v>972</v>
      </c>
      <c r="G175" s="5" t="s">
        <v>16</v>
      </c>
      <c r="H175" s="5" t="s">
        <v>782</v>
      </c>
      <c r="I175" s="2" t="s">
        <v>731</v>
      </c>
      <c r="J175" s="3" t="s">
        <v>1080</v>
      </c>
      <c r="K175" s="3" t="s">
        <v>892</v>
      </c>
      <c r="L175" s="3" t="s">
        <v>873</v>
      </c>
      <c r="M175" s="3"/>
      <c r="O175" t="str">
        <f t="shared" si="2"/>
        <v>"hm5", "GDE.Q.EG13.nay", "Government Consumption (Nominal y/y%)", "Consumption expenditureNominal y/y%", "Consumption expenditure", "Government Consumption (Nominal y/y%)", "%", "y/y%", ".2f", "qual", "number", "Line", "",</v>
      </c>
    </row>
    <row r="176" spans="1:15" ht="25.5">
      <c r="A176" s="2" t="s">
        <v>486</v>
      </c>
      <c r="B176" s="6" t="s">
        <v>369</v>
      </c>
      <c r="C176" s="5" t="s">
        <v>973</v>
      </c>
      <c r="D176" s="2" t="s">
        <v>828</v>
      </c>
      <c r="E176" s="5" t="s">
        <v>819</v>
      </c>
      <c r="F176" s="5" t="s">
        <v>973</v>
      </c>
      <c r="G176" s="5" t="s">
        <v>352</v>
      </c>
      <c r="H176" s="5" t="s">
        <v>816</v>
      </c>
      <c r="I176" s="2" t="s">
        <v>921</v>
      </c>
      <c r="J176" s="3" t="s">
        <v>1080</v>
      </c>
      <c r="K176" s="3" t="s">
        <v>892</v>
      </c>
      <c r="L176" s="3" t="s">
        <v>873</v>
      </c>
      <c r="M176" s="3"/>
      <c r="O176" t="str">
        <f t="shared" si="2"/>
        <v>"hm5", "GDE.Q.EG13.RA", "Government Consumption (Real $m)", "Consumption expenditureReal $m", "Consumption expenditure", "Government Consumption (Real $m)", "NZDm(r)", "$m", ",d", "qual", "number", "Line", "",</v>
      </c>
    </row>
    <row r="177" spans="1:15" ht="25.5">
      <c r="A177" s="2" t="s">
        <v>486</v>
      </c>
      <c r="B177" s="6" t="s">
        <v>370</v>
      </c>
      <c r="C177" s="5" t="s">
        <v>974</v>
      </c>
      <c r="D177" s="2" t="s">
        <v>829</v>
      </c>
      <c r="E177" s="5" t="s">
        <v>819</v>
      </c>
      <c r="F177" s="5" t="s">
        <v>974</v>
      </c>
      <c r="G177" s="5" t="s">
        <v>354</v>
      </c>
      <c r="H177" s="5" t="s">
        <v>816</v>
      </c>
      <c r="I177" s="2" t="s">
        <v>921</v>
      </c>
      <c r="J177" s="3" t="s">
        <v>1080</v>
      </c>
      <c r="K177" s="3" t="s">
        <v>892</v>
      </c>
      <c r="L177" s="3" t="s">
        <v>873</v>
      </c>
      <c r="M177" s="3"/>
      <c r="O177" t="str">
        <f t="shared" si="2"/>
        <v>"hm5", "GDE.Q.EG13.RS", "Government Consumption (Real $m s.a.)", "Consumption expenditureReal $m s.a.", "Consumption expenditure", "Government Consumption (Real $m s.a.)", "NZDm(r) s.a.", "$m", ",d", "qual", "number", "Line", "",</v>
      </c>
    </row>
    <row r="178" spans="1:15" ht="25.5">
      <c r="A178" s="2" t="s">
        <v>486</v>
      </c>
      <c r="B178" s="6" t="s">
        <v>371</v>
      </c>
      <c r="C178" s="5" t="s">
        <v>975</v>
      </c>
      <c r="D178" s="2" t="s">
        <v>830</v>
      </c>
      <c r="E178" s="5" t="s">
        <v>819</v>
      </c>
      <c r="F178" s="5" t="s">
        <v>975</v>
      </c>
      <c r="G178" s="5" t="s">
        <v>356</v>
      </c>
      <c r="H178" s="5" t="s">
        <v>781</v>
      </c>
      <c r="I178" s="2" t="s">
        <v>731</v>
      </c>
      <c r="J178" s="3" t="s">
        <v>1080</v>
      </c>
      <c r="K178" s="3" t="s">
        <v>892</v>
      </c>
      <c r="L178" s="3" t="s">
        <v>873</v>
      </c>
      <c r="M178" s="3"/>
      <c r="O178" t="str">
        <f t="shared" si="2"/>
        <v>"hm5", "GDE.Q.EG13.rsq", "Government Consumption (Real q/q% s.a.)", "Consumption expenditureReal q/q% s.a.", "Consumption expenditure", "Government Consumption (Real q/q% s.a.)", "%(r) s.a.", "q/q%", ".2f", "qual", "number", "Line", "",</v>
      </c>
    </row>
    <row r="179" spans="1:15" ht="25.5">
      <c r="A179" s="2" t="s">
        <v>486</v>
      </c>
      <c r="B179" s="6" t="s">
        <v>372</v>
      </c>
      <c r="C179" s="5" t="s">
        <v>976</v>
      </c>
      <c r="D179" s="2" t="s">
        <v>831</v>
      </c>
      <c r="E179" s="5" t="s">
        <v>819</v>
      </c>
      <c r="F179" s="5" t="s">
        <v>976</v>
      </c>
      <c r="G179" s="5" t="s">
        <v>358</v>
      </c>
      <c r="H179" s="5" t="s">
        <v>782</v>
      </c>
      <c r="I179" s="2" t="s">
        <v>731</v>
      </c>
      <c r="J179" s="3" t="s">
        <v>1080</v>
      </c>
      <c r="K179" s="3" t="s">
        <v>892</v>
      </c>
      <c r="L179" s="3" t="s">
        <v>873</v>
      </c>
      <c r="M179" s="3"/>
      <c r="O179" t="str">
        <f t="shared" si="2"/>
        <v>"hm5", "GDE.Q.EG13.ray", "Government Consumption (Real y/y%)", "Consumption expenditureReal y/y%", "Consumption expenditure", "Government Consumption (Real y/y%)", "%(r)", "y/y%", ".2f", "qual", "number", "Line", "",</v>
      </c>
    </row>
    <row r="180" spans="1:15" ht="25.5">
      <c r="A180" s="2" t="s">
        <v>486</v>
      </c>
      <c r="B180" s="6" t="s">
        <v>447</v>
      </c>
      <c r="C180" s="5" t="s">
        <v>820</v>
      </c>
      <c r="D180" s="2" t="s">
        <v>833</v>
      </c>
      <c r="E180" s="5" t="s">
        <v>446</v>
      </c>
      <c r="F180" s="5" t="s">
        <v>820</v>
      </c>
      <c r="G180" s="5" t="s">
        <v>217</v>
      </c>
      <c r="H180" s="5" t="s">
        <v>816</v>
      </c>
      <c r="I180" s="2" t="s">
        <v>921</v>
      </c>
      <c r="J180" s="3" t="s">
        <v>1080</v>
      </c>
      <c r="K180" s="3" t="s">
        <v>892</v>
      </c>
      <c r="L180" s="3" t="s">
        <v>873</v>
      </c>
      <c r="M180" s="3"/>
      <c r="O180" t="str">
        <f t="shared" si="2"/>
        <v>"hm5", "GDE.Q.EI23.NA", "Change in inventories (Nominal $m)", "Change in inventoriesNominal $m", "Change in inventories", "Change in inventories (Nominal $m)", "NZDm", "$m", ",d", "qual", "number", "Line", "",</v>
      </c>
    </row>
    <row r="181" spans="1:15" ht="25.5">
      <c r="A181" s="2" t="s">
        <v>486</v>
      </c>
      <c r="B181" s="6" t="s">
        <v>448</v>
      </c>
      <c r="C181" s="5" t="s">
        <v>821</v>
      </c>
      <c r="D181" s="2" t="s">
        <v>834</v>
      </c>
      <c r="E181" s="5" t="s">
        <v>446</v>
      </c>
      <c r="F181" s="5" t="s">
        <v>821</v>
      </c>
      <c r="G181" s="5" t="s">
        <v>346</v>
      </c>
      <c r="H181" s="5" t="s">
        <v>816</v>
      </c>
      <c r="I181" s="2" t="s">
        <v>921</v>
      </c>
      <c r="J181" s="3" t="s">
        <v>1080</v>
      </c>
      <c r="K181" s="3" t="s">
        <v>892</v>
      </c>
      <c r="L181" s="3" t="s">
        <v>873</v>
      </c>
      <c r="M181" s="3"/>
      <c r="O181" t="str">
        <f t="shared" si="2"/>
        <v>"hm5", "GDE.Q.EI23.NS", "Change in inventories (Nominal $m s.a.)", "Change in inventoriesNominal $m s.a.", "Change in inventories", "Change in inventories (Nominal $m s.a.)", "NZDm s.a.", "$m", ",d", "qual", "number", "Line", "",</v>
      </c>
    </row>
    <row r="182" spans="1:15" ht="25.5">
      <c r="A182" s="2" t="s">
        <v>486</v>
      </c>
      <c r="B182" s="6" t="s">
        <v>391</v>
      </c>
      <c r="C182" s="5" t="s">
        <v>822</v>
      </c>
      <c r="D182" s="2" t="s">
        <v>835</v>
      </c>
      <c r="E182" s="5" t="s">
        <v>446</v>
      </c>
      <c r="F182" s="5" t="s">
        <v>822</v>
      </c>
      <c r="G182" s="5" t="s">
        <v>352</v>
      </c>
      <c r="H182" s="5" t="s">
        <v>816</v>
      </c>
      <c r="I182" s="2" t="s">
        <v>921</v>
      </c>
      <c r="J182" s="3" t="s">
        <v>1080</v>
      </c>
      <c r="K182" s="3" t="s">
        <v>892</v>
      </c>
      <c r="L182" s="3" t="s">
        <v>873</v>
      </c>
      <c r="M182" s="3"/>
      <c r="O182" t="str">
        <f t="shared" si="2"/>
        <v>"hm5", "GDE.Q.EI23.RA", "Change in inventories (Real $m)", "Change in inventoriesReal $m", "Change in inventories", "Change in inventories (Real $m)", "NZDm(r)", "$m", ",d", "qual", "number", "Line", "",</v>
      </c>
    </row>
    <row r="183" spans="1:15" ht="25.5">
      <c r="A183" s="2" t="s">
        <v>486</v>
      </c>
      <c r="B183" s="6" t="s">
        <v>392</v>
      </c>
      <c r="C183" s="5" t="s">
        <v>823</v>
      </c>
      <c r="D183" s="2" t="s">
        <v>836</v>
      </c>
      <c r="E183" s="5" t="s">
        <v>446</v>
      </c>
      <c r="F183" s="5" t="s">
        <v>823</v>
      </c>
      <c r="G183" s="5" t="s">
        <v>354</v>
      </c>
      <c r="H183" s="5" t="s">
        <v>816</v>
      </c>
      <c r="I183" s="2" t="s">
        <v>921</v>
      </c>
      <c r="J183" s="3" t="s">
        <v>1080</v>
      </c>
      <c r="K183" s="3" t="s">
        <v>892</v>
      </c>
      <c r="L183" s="3" t="s">
        <v>873</v>
      </c>
      <c r="M183" s="3"/>
      <c r="O183" t="str">
        <f t="shared" si="2"/>
        <v>"hm5", "GDE.Q.EI23.RS", "Change in inventories (Real $m s.a.)", "Change in inventoriesReal $m s.a.", "Change in inventories", "Change in inventories (Real $m s.a.)", "NZDm(r) s.a.", "$m", ",d", "qual", "number", "Line", "",</v>
      </c>
    </row>
    <row r="184" spans="1:15" ht="25.5">
      <c r="A184" s="2" t="s">
        <v>486</v>
      </c>
      <c r="B184" s="6" t="s">
        <v>450</v>
      </c>
      <c r="C184" s="16" t="s">
        <v>939</v>
      </c>
      <c r="D184" s="2" t="s">
        <v>837</v>
      </c>
      <c r="E184" s="5" t="s">
        <v>818</v>
      </c>
      <c r="F184" s="5" t="s">
        <v>939</v>
      </c>
      <c r="G184" s="5" t="s">
        <v>217</v>
      </c>
      <c r="H184" s="5" t="s">
        <v>816</v>
      </c>
      <c r="I184" s="2" t="s">
        <v>921</v>
      </c>
      <c r="J184" s="3" t="s">
        <v>1080</v>
      </c>
      <c r="K184" s="3" t="s">
        <v>892</v>
      </c>
      <c r="L184" s="3" t="s">
        <v>873</v>
      </c>
      <c r="M184" s="3"/>
      <c r="O184" t="str">
        <f t="shared" si="2"/>
        <v>"hm5", "GDE.Q.EI24.NA", "GFCF - Residential (Nominal $m)", "Gross fixed capital formationNominal $m", "Gross fixed capital formation", "GFCF - Residential (Nominal $m)", "NZDm", "$m", ",d", "qual", "number", "Line", "",</v>
      </c>
    </row>
    <row r="185" spans="1:15" ht="25.5">
      <c r="A185" s="2" t="s">
        <v>486</v>
      </c>
      <c r="B185" s="6" t="s">
        <v>451</v>
      </c>
      <c r="C185" s="5" t="s">
        <v>940</v>
      </c>
      <c r="D185" s="2" t="s">
        <v>838</v>
      </c>
      <c r="E185" s="5" t="s">
        <v>818</v>
      </c>
      <c r="F185" s="5" t="s">
        <v>940</v>
      </c>
      <c r="G185" s="5" t="s">
        <v>346</v>
      </c>
      <c r="H185" s="5" t="s">
        <v>816</v>
      </c>
      <c r="I185" s="2" t="s">
        <v>921</v>
      </c>
      <c r="J185" s="3" t="s">
        <v>1080</v>
      </c>
      <c r="K185" s="3" t="s">
        <v>892</v>
      </c>
      <c r="L185" s="3" t="s">
        <v>873</v>
      </c>
      <c r="M185" s="3"/>
      <c r="O185" t="str">
        <f t="shared" si="2"/>
        <v>"hm5", "GDE.Q.EI24.NS", "GFCF - Residential (Nominal $m s.a.)", "Gross fixed capital formationNominal $m s.a.", "Gross fixed capital formation", "GFCF - Residential (Nominal $m s.a.)", "NZDm s.a.", "$m", ",d", "qual", "number", "Line", "",</v>
      </c>
    </row>
    <row r="186" spans="1:15" ht="25.5">
      <c r="A186" s="2" t="s">
        <v>486</v>
      </c>
      <c r="B186" s="6" t="s">
        <v>452</v>
      </c>
      <c r="C186" s="5" t="s">
        <v>941</v>
      </c>
      <c r="D186" s="2" t="s">
        <v>839</v>
      </c>
      <c r="E186" s="5" t="s">
        <v>818</v>
      </c>
      <c r="F186" s="5" t="s">
        <v>941</v>
      </c>
      <c r="G186" s="5" t="s">
        <v>348</v>
      </c>
      <c r="H186" s="5" t="s">
        <v>781</v>
      </c>
      <c r="I186" s="2" t="s">
        <v>731</v>
      </c>
      <c r="J186" s="3" t="s">
        <v>1080</v>
      </c>
      <c r="K186" s="3" t="s">
        <v>892</v>
      </c>
      <c r="L186" s="3" t="s">
        <v>873</v>
      </c>
      <c r="M186" s="3"/>
      <c r="O186" t="str">
        <f t="shared" si="2"/>
        <v>"hm5", "GDE.Q.EI24.nsq", "GFCF - Residential (Nominal q/q% s.a.)", "Gross fixed capital formationNominal q/q% s.a.", "Gross fixed capital formation", "GFCF - Residential (Nominal q/q% s.a.)", "% s.a.", "q/q%", ".2f", "qual", "number", "Line", "",</v>
      </c>
    </row>
    <row r="187" spans="1:15" ht="25.5">
      <c r="A187" s="2" t="s">
        <v>486</v>
      </c>
      <c r="B187" s="6" t="s">
        <v>453</v>
      </c>
      <c r="C187" s="5" t="s">
        <v>942</v>
      </c>
      <c r="D187" s="2" t="s">
        <v>840</v>
      </c>
      <c r="E187" s="5" t="s">
        <v>818</v>
      </c>
      <c r="F187" s="5" t="s">
        <v>942</v>
      </c>
      <c r="G187" s="5" t="s">
        <v>16</v>
      </c>
      <c r="H187" s="5" t="s">
        <v>782</v>
      </c>
      <c r="I187" s="2" t="s">
        <v>731</v>
      </c>
      <c r="J187" s="3" t="s">
        <v>1080</v>
      </c>
      <c r="K187" s="3" t="s">
        <v>892</v>
      </c>
      <c r="L187" s="3" t="s">
        <v>873</v>
      </c>
      <c r="M187" s="3"/>
      <c r="O187" t="str">
        <f t="shared" si="2"/>
        <v>"hm5", "GDE.Q.EI24.nay", "GFCF - Residential (Nominal y/y%)", "Gross fixed capital formationNominal y/y%", "Gross fixed capital formation", "GFCF - Residential (Nominal y/y%)", "%", "y/y%", ".2f", "qual", "number", "Line", "",</v>
      </c>
    </row>
    <row r="188" spans="1:15" ht="25.5">
      <c r="A188" s="2" t="s">
        <v>486</v>
      </c>
      <c r="B188" s="6" t="s">
        <v>380</v>
      </c>
      <c r="C188" s="5" t="s">
        <v>943</v>
      </c>
      <c r="D188" s="2" t="s">
        <v>841</v>
      </c>
      <c r="E188" s="5" t="s">
        <v>818</v>
      </c>
      <c r="F188" s="5" t="s">
        <v>943</v>
      </c>
      <c r="G188" s="5" t="s">
        <v>352</v>
      </c>
      <c r="H188" s="5" t="s">
        <v>816</v>
      </c>
      <c r="I188" s="2" t="s">
        <v>921</v>
      </c>
      <c r="J188" s="3" t="s">
        <v>1080</v>
      </c>
      <c r="K188" s="3" t="s">
        <v>892</v>
      </c>
      <c r="L188" s="3" t="s">
        <v>873</v>
      </c>
      <c r="M188" s="3"/>
      <c r="O188" t="str">
        <f t="shared" si="2"/>
        <v>"hm5", "GDE.Q.EI24.RA", "GFCF - Residential (Real $m)", "Gross fixed capital formationReal $m", "Gross fixed capital formation", "GFCF - Residential (Real $m)", "NZDm(r)", "$m", ",d", "qual", "number", "Line", "",</v>
      </c>
    </row>
    <row r="189" spans="1:15" ht="25.5">
      <c r="A189" s="2" t="s">
        <v>486</v>
      </c>
      <c r="B189" s="6" t="s">
        <v>381</v>
      </c>
      <c r="C189" s="5" t="s">
        <v>944</v>
      </c>
      <c r="D189" s="2" t="s">
        <v>842</v>
      </c>
      <c r="E189" s="5" t="s">
        <v>818</v>
      </c>
      <c r="F189" s="5" t="s">
        <v>944</v>
      </c>
      <c r="G189" s="5" t="s">
        <v>354</v>
      </c>
      <c r="H189" s="5" t="s">
        <v>816</v>
      </c>
      <c r="I189" s="2" t="s">
        <v>921</v>
      </c>
      <c r="J189" s="3" t="s">
        <v>1080</v>
      </c>
      <c r="K189" s="3" t="s">
        <v>892</v>
      </c>
      <c r="L189" s="3" t="s">
        <v>873</v>
      </c>
      <c r="M189" s="3"/>
      <c r="O189" t="str">
        <f t="shared" si="2"/>
        <v>"hm5", "GDE.Q.EI24.RS", "GFCF - Residential (Real $m s.a.)", "Gross fixed capital formationReal $m s.a.", "Gross fixed capital formation", "GFCF - Residential (Real $m s.a.)", "NZDm(r) s.a.", "$m", ",d", "qual", "number", "Line", "",</v>
      </c>
    </row>
    <row r="190" spans="1:15" ht="25.5">
      <c r="A190" s="2" t="s">
        <v>486</v>
      </c>
      <c r="B190" s="6" t="s">
        <v>383</v>
      </c>
      <c r="C190" s="5" t="s">
        <v>945</v>
      </c>
      <c r="D190" s="2" t="s">
        <v>843</v>
      </c>
      <c r="E190" s="5" t="s">
        <v>818</v>
      </c>
      <c r="F190" s="5" t="s">
        <v>945</v>
      </c>
      <c r="G190" s="5" t="s">
        <v>356</v>
      </c>
      <c r="H190" s="5" t="s">
        <v>781</v>
      </c>
      <c r="I190" s="2" t="s">
        <v>731</v>
      </c>
      <c r="J190" s="3" t="s">
        <v>1080</v>
      </c>
      <c r="K190" s="3" t="s">
        <v>892</v>
      </c>
      <c r="L190" s="3" t="s">
        <v>873</v>
      </c>
      <c r="M190" s="3"/>
      <c r="O190" t="str">
        <f t="shared" si="2"/>
        <v>"hm5", "GDE.Q.EI24.rsq", "GFCF - Residential (Real q/q% s.a.)", "Gross fixed capital formationReal q/q% s.a.", "Gross fixed capital formation", "GFCF - Residential (Real q/q% s.a.)", "%(r) s.a.", "q/q%", ".2f", "qual", "number", "Line", "",</v>
      </c>
    </row>
    <row r="191" spans="1:15" ht="25.5">
      <c r="A191" s="2" t="s">
        <v>486</v>
      </c>
      <c r="B191" s="6" t="s">
        <v>384</v>
      </c>
      <c r="C191" s="5" t="s">
        <v>946</v>
      </c>
      <c r="D191" s="2" t="s">
        <v>844</v>
      </c>
      <c r="E191" s="5" t="s">
        <v>818</v>
      </c>
      <c r="F191" s="5" t="s">
        <v>946</v>
      </c>
      <c r="G191" s="5" t="s">
        <v>358</v>
      </c>
      <c r="H191" s="5" t="s">
        <v>782</v>
      </c>
      <c r="I191" s="2" t="s">
        <v>731</v>
      </c>
      <c r="J191" s="3" t="s">
        <v>1080</v>
      </c>
      <c r="K191" s="3" t="s">
        <v>892</v>
      </c>
      <c r="L191" s="3" t="s">
        <v>873</v>
      </c>
      <c r="M191" s="3"/>
      <c r="O191" t="str">
        <f t="shared" si="2"/>
        <v>"hm5", "GDE.Q.EI24.ray", "GFCF - Residential (Real y/y%)", "Gross fixed capital formationReal y/y%", "Gross fixed capital formation", "GFCF - Residential (Real y/y%)", "%(r)", "y/y%", ".2f", "qual", "number", "Line", "",</v>
      </c>
    </row>
    <row r="192" spans="1:15" ht="25.5">
      <c r="A192" s="2" t="s">
        <v>486</v>
      </c>
      <c r="B192" s="6" t="s">
        <v>455</v>
      </c>
      <c r="C192" s="5" t="s">
        <v>846</v>
      </c>
      <c r="D192" s="2" t="s">
        <v>837</v>
      </c>
      <c r="E192" s="5" t="s">
        <v>818</v>
      </c>
      <c r="F192" s="5" t="s">
        <v>1115</v>
      </c>
      <c r="G192" s="5" t="s">
        <v>217</v>
      </c>
      <c r="H192" s="5" t="s">
        <v>816</v>
      </c>
      <c r="I192" s="2" t="s">
        <v>921</v>
      </c>
      <c r="J192" s="3" t="s">
        <v>1080</v>
      </c>
      <c r="K192" s="3" t="s">
        <v>892</v>
      </c>
      <c r="L192" s="3" t="s">
        <v>873</v>
      </c>
      <c r="M192" s="3"/>
      <c r="O192" t="str">
        <f t="shared" si="2"/>
        <v>"hm5", "GDE.Q.EI25.NA", "GFCF - Other Fixed Assets (Nominal $m)", "Gross fixed capital formationNominal $m", "Gross fixed capital formation", "GFCF - Other (Nominal $m)", "NZDm", "$m", ",d", "qual", "number", "Line", "",</v>
      </c>
    </row>
    <row r="193" spans="1:15" ht="25.5">
      <c r="A193" s="2" t="s">
        <v>486</v>
      </c>
      <c r="B193" s="6" t="s">
        <v>456</v>
      </c>
      <c r="C193" s="5" t="s">
        <v>847</v>
      </c>
      <c r="D193" s="2" t="s">
        <v>838</v>
      </c>
      <c r="E193" s="5" t="s">
        <v>818</v>
      </c>
      <c r="F193" s="5" t="s">
        <v>1116</v>
      </c>
      <c r="G193" s="5" t="s">
        <v>346</v>
      </c>
      <c r="H193" s="5" t="s">
        <v>816</v>
      </c>
      <c r="I193" s="2" t="s">
        <v>921</v>
      </c>
      <c r="J193" s="3" t="s">
        <v>1080</v>
      </c>
      <c r="K193" s="3" t="s">
        <v>892</v>
      </c>
      <c r="L193" s="3" t="s">
        <v>873</v>
      </c>
      <c r="M193" s="3"/>
      <c r="O193" t="str">
        <f t="shared" si="2"/>
        <v>"hm5", "GDE.Q.EI25.NS", "GFCF - Other Fixed Assets (Nominal $m s.a.)", "Gross fixed capital formationNominal $m s.a.", "Gross fixed capital formation", "GFCF - Other (Nominal $m s.a.)", "NZDm s.a.", "$m", ",d", "qual", "number", "Line", "",</v>
      </c>
    </row>
    <row r="194" spans="1:15" ht="25.5">
      <c r="A194" s="2" t="s">
        <v>486</v>
      </c>
      <c r="B194" s="6" t="s">
        <v>457</v>
      </c>
      <c r="C194" s="5" t="s">
        <v>848</v>
      </c>
      <c r="D194" s="2" t="s">
        <v>839</v>
      </c>
      <c r="E194" s="5" t="s">
        <v>818</v>
      </c>
      <c r="F194" s="5" t="s">
        <v>1117</v>
      </c>
      <c r="G194" s="5" t="s">
        <v>348</v>
      </c>
      <c r="H194" s="5" t="s">
        <v>781</v>
      </c>
      <c r="I194" s="2" t="s">
        <v>731</v>
      </c>
      <c r="J194" s="3" t="s">
        <v>1080</v>
      </c>
      <c r="K194" s="3" t="s">
        <v>892</v>
      </c>
      <c r="L194" s="3" t="s">
        <v>873</v>
      </c>
      <c r="M194" s="3"/>
      <c r="O194" t="str">
        <f t="shared" si="2"/>
        <v>"hm5", "GDE.Q.EI25.nsq", "GFCF - Other Fixed Assets (Nominal q/q% s.a.)", "Gross fixed capital formationNominal q/q% s.a.", "Gross fixed capital formation", "GFCF - Other (Nominal q/q% s.a.)", "% s.a.", "q/q%", ".2f", "qual", "number", "Line", "",</v>
      </c>
    </row>
    <row r="195" spans="1:15" ht="25.5">
      <c r="A195" s="2" t="s">
        <v>486</v>
      </c>
      <c r="B195" s="6" t="s">
        <v>458</v>
      </c>
      <c r="C195" s="5" t="s">
        <v>849</v>
      </c>
      <c r="D195" s="2" t="s">
        <v>840</v>
      </c>
      <c r="E195" s="5" t="s">
        <v>818</v>
      </c>
      <c r="F195" s="5" t="s">
        <v>1118</v>
      </c>
      <c r="G195" s="5" t="s">
        <v>16</v>
      </c>
      <c r="H195" s="5" t="s">
        <v>782</v>
      </c>
      <c r="I195" s="2" t="s">
        <v>731</v>
      </c>
      <c r="J195" s="3" t="s">
        <v>1080</v>
      </c>
      <c r="K195" s="3" t="s">
        <v>892</v>
      </c>
      <c r="L195" s="3" t="s">
        <v>873</v>
      </c>
      <c r="M195" s="3"/>
      <c r="O195" t="str">
        <f t="shared" ref="O195:O258" si="3">""""&amp;_xlfn.TEXTJOIN(""", """,FALSE,A195:M195)&amp;""""&amp;","</f>
        <v>"hm5", "GDE.Q.EI25.nay", "GFCF - Other Fixed Assets (Nominal y/y%)", "Gross fixed capital formationNominal y/y%", "Gross fixed capital formation", "GFCF - Other (Nominal y/y%)", "%", "y/y%", ".2f", "qual", "number", "Line", "",</v>
      </c>
    </row>
    <row r="196" spans="1:15" ht="25.5">
      <c r="A196" s="2" t="s">
        <v>486</v>
      </c>
      <c r="B196" s="6" t="s">
        <v>386</v>
      </c>
      <c r="C196" s="5" t="s">
        <v>850</v>
      </c>
      <c r="D196" s="2" t="s">
        <v>841</v>
      </c>
      <c r="E196" s="5" t="s">
        <v>818</v>
      </c>
      <c r="F196" s="5" t="s">
        <v>1119</v>
      </c>
      <c r="G196" s="5" t="s">
        <v>352</v>
      </c>
      <c r="H196" s="5" t="s">
        <v>816</v>
      </c>
      <c r="I196" s="2" t="s">
        <v>921</v>
      </c>
      <c r="J196" s="3" t="s">
        <v>1080</v>
      </c>
      <c r="K196" s="3" t="s">
        <v>892</v>
      </c>
      <c r="L196" s="3" t="s">
        <v>873</v>
      </c>
      <c r="M196" s="3"/>
      <c r="O196" t="str">
        <f t="shared" si="3"/>
        <v>"hm5", "GDE.Q.EI25.RA", "GFCF - Other Fixed Assets (Real $m)", "Gross fixed capital formationReal $m", "Gross fixed capital formation", "GFCF - Other (Real $m)", "NZDm(r)", "$m", ",d", "qual", "number", "Line", "",</v>
      </c>
    </row>
    <row r="197" spans="1:15" ht="25.5">
      <c r="A197" s="2" t="s">
        <v>486</v>
      </c>
      <c r="B197" s="6" t="s">
        <v>387</v>
      </c>
      <c r="C197" s="5" t="s">
        <v>851</v>
      </c>
      <c r="D197" s="2" t="s">
        <v>842</v>
      </c>
      <c r="E197" s="5" t="s">
        <v>818</v>
      </c>
      <c r="F197" s="5" t="s">
        <v>1120</v>
      </c>
      <c r="G197" s="5" t="s">
        <v>354</v>
      </c>
      <c r="H197" s="5" t="s">
        <v>816</v>
      </c>
      <c r="I197" s="2" t="s">
        <v>921</v>
      </c>
      <c r="J197" s="3" t="s">
        <v>1080</v>
      </c>
      <c r="K197" s="3" t="s">
        <v>892</v>
      </c>
      <c r="L197" s="3" t="s">
        <v>873</v>
      </c>
      <c r="M197" s="3"/>
      <c r="O197" t="str">
        <f t="shared" si="3"/>
        <v>"hm5", "GDE.Q.EI25.RS", "GFCF - Other Fixed Assets (Real $m s.a.)", "Gross fixed capital formationReal $m s.a.", "Gross fixed capital formation", "GFCF - Other (Real $m s.a.)", "NZDm(r) s.a.", "$m", ",d", "qual", "number", "Line", "",</v>
      </c>
    </row>
    <row r="198" spans="1:15" ht="25.5">
      <c r="A198" s="2" t="s">
        <v>486</v>
      </c>
      <c r="B198" s="6" t="s">
        <v>388</v>
      </c>
      <c r="C198" s="5" t="s">
        <v>852</v>
      </c>
      <c r="D198" s="2" t="s">
        <v>843</v>
      </c>
      <c r="E198" s="5" t="s">
        <v>818</v>
      </c>
      <c r="F198" s="5" t="s">
        <v>1121</v>
      </c>
      <c r="G198" s="5" t="s">
        <v>356</v>
      </c>
      <c r="H198" s="5" t="s">
        <v>781</v>
      </c>
      <c r="I198" s="2" t="s">
        <v>731</v>
      </c>
      <c r="J198" s="3" t="s">
        <v>1080</v>
      </c>
      <c r="K198" s="3" t="s">
        <v>892</v>
      </c>
      <c r="L198" s="3" t="s">
        <v>873</v>
      </c>
      <c r="M198" s="3"/>
      <c r="O198" t="str">
        <f t="shared" si="3"/>
        <v>"hm5", "GDE.Q.EI25.rsq", "GFCF - Other Fixed Assets (Real q/q% s.a.)", "Gross fixed capital formationReal q/q% s.a.", "Gross fixed capital formation", "GFCF - Other (Real q/q% s.a.)", "%(r) s.a.", "q/q%", ".2f", "qual", "number", "Line", "",</v>
      </c>
    </row>
    <row r="199" spans="1:15" ht="25.5">
      <c r="A199" s="2" t="s">
        <v>486</v>
      </c>
      <c r="B199" s="6" t="s">
        <v>389</v>
      </c>
      <c r="C199" s="5" t="s">
        <v>853</v>
      </c>
      <c r="D199" s="2" t="s">
        <v>844</v>
      </c>
      <c r="E199" s="5" t="s">
        <v>818</v>
      </c>
      <c r="F199" s="5" t="s">
        <v>1122</v>
      </c>
      <c r="G199" s="5" t="s">
        <v>358</v>
      </c>
      <c r="H199" s="5" t="s">
        <v>782</v>
      </c>
      <c r="I199" s="2" t="s">
        <v>731</v>
      </c>
      <c r="J199" s="3" t="s">
        <v>1080</v>
      </c>
      <c r="K199" s="3" t="s">
        <v>892</v>
      </c>
      <c r="L199" s="3" t="s">
        <v>873</v>
      </c>
      <c r="M199" s="3"/>
      <c r="O199" t="str">
        <f t="shared" si="3"/>
        <v>"hm5", "GDE.Q.EI25.ray", "GFCF - Other Fixed Assets (Real y/y%)", "Gross fixed capital formationReal y/y%", "Gross fixed capital formation", "GFCF - Other (Real y/y%)", "%(r)", "y/y%", ".2f", "qual", "number", "Line", "",</v>
      </c>
    </row>
    <row r="200" spans="1:15" ht="14.25">
      <c r="A200" s="2" t="s">
        <v>486</v>
      </c>
      <c r="B200" s="6" t="s">
        <v>460</v>
      </c>
      <c r="C200" s="5" t="s">
        <v>931</v>
      </c>
      <c r="D200" s="2" t="s">
        <v>832</v>
      </c>
      <c r="E200" s="5" t="s">
        <v>819</v>
      </c>
      <c r="F200" s="5" t="s">
        <v>1123</v>
      </c>
      <c r="G200" s="5" t="s">
        <v>217</v>
      </c>
      <c r="H200" s="5" t="s">
        <v>816</v>
      </c>
      <c r="I200" s="2" t="s">
        <v>921</v>
      </c>
      <c r="J200" s="3" t="s">
        <v>1080</v>
      </c>
      <c r="K200" s="3" t="s">
        <v>892</v>
      </c>
      <c r="L200" s="3" t="s">
        <v>873</v>
      </c>
      <c r="M200" s="3"/>
      <c r="O200" t="str">
        <f t="shared" si="3"/>
        <v>"hm5", "GDE.Q.EY1.NA", "GNE (Nominal $m)", "Consumption expenditureNominal $m", "Consumption expenditure", "GNE  (Nominal $m)", "NZDm", "$m", ",d", "qual", "number", "Line", "",</v>
      </c>
    </row>
    <row r="201" spans="1:15" ht="14.25">
      <c r="A201" s="2" t="s">
        <v>486</v>
      </c>
      <c r="B201" s="6" t="s">
        <v>461</v>
      </c>
      <c r="C201" s="16" t="s">
        <v>932</v>
      </c>
      <c r="D201" s="2" t="s">
        <v>825</v>
      </c>
      <c r="E201" s="5" t="s">
        <v>819</v>
      </c>
      <c r="F201" s="5" t="s">
        <v>1124</v>
      </c>
      <c r="G201" s="5" t="s">
        <v>346</v>
      </c>
      <c r="H201" s="5" t="s">
        <v>816</v>
      </c>
      <c r="I201" s="2" t="s">
        <v>921</v>
      </c>
      <c r="J201" s="3" t="s">
        <v>1080</v>
      </c>
      <c r="K201" s="3" t="s">
        <v>892</v>
      </c>
      <c r="L201" s="3" t="s">
        <v>873</v>
      </c>
      <c r="M201" s="3"/>
      <c r="O201" t="str">
        <f t="shared" si="3"/>
        <v>"hm5", "GDE.Q.EY1.NS", "GNE (Nominal $m s.a.)", "Consumption expenditureNominal $m s.a.", "Consumption expenditure", "GNE  (Nominal $m s.a.)", "NZDm s.a.", "$m", ",d", "qual", "number", "Line", "",</v>
      </c>
    </row>
    <row r="202" spans="1:15" ht="14.25">
      <c r="A202" s="2" t="s">
        <v>486</v>
      </c>
      <c r="B202" s="6" t="s">
        <v>462</v>
      </c>
      <c r="C202" s="5" t="s">
        <v>933</v>
      </c>
      <c r="D202" s="2" t="s">
        <v>826</v>
      </c>
      <c r="E202" s="5" t="s">
        <v>819</v>
      </c>
      <c r="F202" s="5" t="s">
        <v>1125</v>
      </c>
      <c r="G202" s="5" t="s">
        <v>348</v>
      </c>
      <c r="H202" s="5" t="s">
        <v>781</v>
      </c>
      <c r="I202" s="2" t="s">
        <v>731</v>
      </c>
      <c r="J202" s="3" t="s">
        <v>1080</v>
      </c>
      <c r="K202" s="3" t="s">
        <v>892</v>
      </c>
      <c r="L202" s="3" t="s">
        <v>873</v>
      </c>
      <c r="M202" s="3"/>
      <c r="O202" t="str">
        <f t="shared" si="3"/>
        <v>"hm5", "GDE.Q.EY1.nsq", "GNE (Nominal q/q% s.a.)", "Consumption expenditureNominal q/q% s.a.", "Consumption expenditure", "GNE  (Nominal q/q% s.a.)", "% s.a.", "q/q%", ".2f", "qual", "number", "Line", "",</v>
      </c>
    </row>
    <row r="203" spans="1:15" ht="14.25">
      <c r="A203" s="2" t="s">
        <v>486</v>
      </c>
      <c r="B203" s="6" t="s">
        <v>463</v>
      </c>
      <c r="C203" s="5" t="s">
        <v>934</v>
      </c>
      <c r="D203" s="2" t="s">
        <v>827</v>
      </c>
      <c r="E203" s="5" t="s">
        <v>819</v>
      </c>
      <c r="F203" s="5" t="s">
        <v>1126</v>
      </c>
      <c r="G203" s="5" t="s">
        <v>16</v>
      </c>
      <c r="H203" s="5" t="s">
        <v>782</v>
      </c>
      <c r="I203" s="2" t="s">
        <v>731</v>
      </c>
      <c r="J203" s="3" t="s">
        <v>1080</v>
      </c>
      <c r="K203" s="3" t="s">
        <v>892</v>
      </c>
      <c r="L203" s="3" t="s">
        <v>873</v>
      </c>
      <c r="M203" s="3"/>
      <c r="O203" t="str">
        <f t="shared" si="3"/>
        <v>"hm5", "GDE.Q.EY1.nay", "GNE (Nominal y/y%)", "Consumption expenditureNominal y/y%", "Consumption expenditure", "GNE  (Nominal y/y%)", "%", "y/y%", ".2f", "qual", "number", "Line", "",</v>
      </c>
    </row>
    <row r="204" spans="1:15" ht="14.25">
      <c r="A204" s="2" t="s">
        <v>486</v>
      </c>
      <c r="B204" s="6" t="s">
        <v>464</v>
      </c>
      <c r="C204" s="5" t="s">
        <v>935</v>
      </c>
      <c r="D204" s="2" t="s">
        <v>828</v>
      </c>
      <c r="E204" s="5" t="s">
        <v>819</v>
      </c>
      <c r="F204" s="5" t="s">
        <v>1127</v>
      </c>
      <c r="G204" s="5" t="s">
        <v>352</v>
      </c>
      <c r="H204" s="5" t="s">
        <v>816</v>
      </c>
      <c r="I204" s="2" t="s">
        <v>921</v>
      </c>
      <c r="J204" s="3" t="s">
        <v>1080</v>
      </c>
      <c r="K204" s="3" t="s">
        <v>892</v>
      </c>
      <c r="L204" s="3" t="s">
        <v>873</v>
      </c>
      <c r="M204" s="3"/>
      <c r="O204" t="str">
        <f t="shared" si="3"/>
        <v>"hm5", "GDE.Q.EY1.RA", "GNE (Real $m)", "Consumption expenditureReal $m", "Consumption expenditure", "GNE  (Real $m)", "NZDm(r)", "$m", ",d", "qual", "number", "Line", "",</v>
      </c>
    </row>
    <row r="205" spans="1:15" ht="14.25">
      <c r="A205" s="2" t="s">
        <v>486</v>
      </c>
      <c r="B205" s="6" t="s">
        <v>465</v>
      </c>
      <c r="C205" s="5" t="s">
        <v>936</v>
      </c>
      <c r="D205" s="2" t="s">
        <v>829</v>
      </c>
      <c r="E205" s="5" t="s">
        <v>819</v>
      </c>
      <c r="F205" s="5" t="s">
        <v>1128</v>
      </c>
      <c r="G205" s="5" t="s">
        <v>354</v>
      </c>
      <c r="H205" s="5" t="s">
        <v>816</v>
      </c>
      <c r="I205" s="2" t="s">
        <v>921</v>
      </c>
      <c r="J205" s="3" t="s">
        <v>1080</v>
      </c>
      <c r="K205" s="3" t="s">
        <v>892</v>
      </c>
      <c r="L205" s="3" t="s">
        <v>873</v>
      </c>
      <c r="M205" s="3"/>
      <c r="O205" t="str">
        <f t="shared" si="3"/>
        <v>"hm5", "GDE.Q.EY1.RS", "GNE (Real $m s.a.)", "Consumption expenditureReal $m s.a.", "Consumption expenditure", "GNE  (Real $m s.a.)", "NZDm(r) s.a.", "$m", ",d", "qual", "number", "Line", "",</v>
      </c>
    </row>
    <row r="206" spans="1:15" ht="14.25">
      <c r="A206" s="2" t="s">
        <v>486</v>
      </c>
      <c r="B206" s="6" t="s">
        <v>466</v>
      </c>
      <c r="C206" s="5" t="s">
        <v>937</v>
      </c>
      <c r="D206" s="2" t="s">
        <v>830</v>
      </c>
      <c r="E206" s="5" t="s">
        <v>819</v>
      </c>
      <c r="F206" s="5" t="s">
        <v>1129</v>
      </c>
      <c r="G206" s="5" t="s">
        <v>356</v>
      </c>
      <c r="H206" s="5" t="s">
        <v>781</v>
      </c>
      <c r="I206" s="2" t="s">
        <v>731</v>
      </c>
      <c r="J206" s="3" t="s">
        <v>1080</v>
      </c>
      <c r="K206" s="3" t="s">
        <v>892</v>
      </c>
      <c r="L206" s="3" t="s">
        <v>873</v>
      </c>
      <c r="M206" s="3"/>
      <c r="O206" t="str">
        <f t="shared" si="3"/>
        <v>"hm5", "GDE.Q.EY1.rsq", "GNE (Real q/q% s.a.)", "Consumption expenditureReal q/q% s.a.", "Consumption expenditure", "GNE  (Real q/q% s.a.)", "%(r) s.a.", "q/q%", ".2f", "qual", "number", "Line", "",</v>
      </c>
    </row>
    <row r="207" spans="1:15" ht="14.25">
      <c r="A207" s="2" t="s">
        <v>486</v>
      </c>
      <c r="B207" s="6" t="s">
        <v>467</v>
      </c>
      <c r="C207" s="5" t="s">
        <v>938</v>
      </c>
      <c r="D207" s="2" t="s">
        <v>831</v>
      </c>
      <c r="E207" s="5" t="s">
        <v>819</v>
      </c>
      <c r="F207" s="5" t="s">
        <v>1130</v>
      </c>
      <c r="G207" s="5" t="s">
        <v>358</v>
      </c>
      <c r="H207" s="5" t="s">
        <v>782</v>
      </c>
      <c r="I207" s="2" t="s">
        <v>731</v>
      </c>
      <c r="J207" s="3" t="s">
        <v>1080</v>
      </c>
      <c r="K207" s="3" t="s">
        <v>892</v>
      </c>
      <c r="L207" s="3" t="s">
        <v>873</v>
      </c>
      <c r="M207" s="3"/>
      <c r="O207" t="str">
        <f t="shared" si="3"/>
        <v>"hm5", "GDE.Q.EY1.ray", "GNE (Real y/y%)", "Consumption expenditureReal y/y%", "Consumption expenditure", "GNE  (Real y/y%)", "%(r)", "y/y%", ".2f", "qual", "number", "Line", "",</v>
      </c>
    </row>
    <row r="208" spans="1:15" ht="14.25">
      <c r="A208" s="2" t="s">
        <v>486</v>
      </c>
      <c r="B208" s="6" t="s">
        <v>469</v>
      </c>
      <c r="C208" s="5" t="s">
        <v>977</v>
      </c>
      <c r="D208" s="2" t="s">
        <v>978</v>
      </c>
      <c r="E208" s="5" t="s">
        <v>979</v>
      </c>
      <c r="F208" s="5" t="s">
        <v>1131</v>
      </c>
      <c r="G208" s="5" t="s">
        <v>217</v>
      </c>
      <c r="H208" s="5" t="s">
        <v>816</v>
      </c>
      <c r="I208" s="17" t="s">
        <v>921</v>
      </c>
      <c r="J208" s="3" t="s">
        <v>1080</v>
      </c>
      <c r="K208" s="3" t="s">
        <v>892</v>
      </c>
      <c r="L208" s="3" t="s">
        <v>873</v>
      </c>
      <c r="M208" s="3"/>
      <c r="O208" t="str">
        <f t="shared" si="3"/>
        <v>"hm5", "GDE.Q.EX.NA", "Export of G&amp;S (Nominal $m)", "Import/Export of G&amp;SNominal $m", "Import/Export of G&amp;S", "Exports G&amp;S (Nominal $m)", "NZDm", "$m", ",d", "qual", "number", "Line", "",</v>
      </c>
    </row>
    <row r="209" spans="1:15" ht="25.5">
      <c r="A209" s="2" t="s">
        <v>486</v>
      </c>
      <c r="B209" s="6" t="s">
        <v>470</v>
      </c>
      <c r="C209" s="5" t="s">
        <v>980</v>
      </c>
      <c r="D209" s="2" t="s">
        <v>981</v>
      </c>
      <c r="E209" s="5" t="s">
        <v>979</v>
      </c>
      <c r="F209" s="5" t="s">
        <v>1132</v>
      </c>
      <c r="G209" s="5" t="s">
        <v>346</v>
      </c>
      <c r="H209" s="5" t="s">
        <v>816</v>
      </c>
      <c r="I209" s="17" t="s">
        <v>921</v>
      </c>
      <c r="J209" s="3" t="s">
        <v>1080</v>
      </c>
      <c r="K209" s="3" t="s">
        <v>892</v>
      </c>
      <c r="L209" s="3" t="s">
        <v>873</v>
      </c>
      <c r="M209" s="3"/>
      <c r="O209" t="str">
        <f t="shared" si="3"/>
        <v>"hm5", "GDE.Q.EX.NS", "Export of G&amp;S (Nominal $m s.a.)", "Import/Export of G&amp;SNominal $m s.a.", "Import/Export of G&amp;S", "Exports G&amp;S (Nominal $m s.a.)", "NZDm s.a.", "$m", ",d", "qual", "number", "Line", "",</v>
      </c>
    </row>
    <row r="210" spans="1:15" ht="25.5">
      <c r="A210" s="2" t="s">
        <v>486</v>
      </c>
      <c r="B210" s="6" t="s">
        <v>471</v>
      </c>
      <c r="C210" s="5" t="s">
        <v>982</v>
      </c>
      <c r="D210" s="2" t="s">
        <v>983</v>
      </c>
      <c r="E210" s="5" t="s">
        <v>979</v>
      </c>
      <c r="F210" s="5" t="s">
        <v>1133</v>
      </c>
      <c r="G210" s="5" t="s">
        <v>348</v>
      </c>
      <c r="H210" s="5" t="s">
        <v>781</v>
      </c>
      <c r="I210" s="2" t="s">
        <v>731</v>
      </c>
      <c r="J210" s="3" t="s">
        <v>1080</v>
      </c>
      <c r="K210" s="3" t="s">
        <v>892</v>
      </c>
      <c r="L210" s="3" t="s">
        <v>873</v>
      </c>
      <c r="M210" s="3"/>
      <c r="O210" t="str">
        <f t="shared" si="3"/>
        <v>"hm5", "GDE.Q.EX.nsq", "Export of G&amp;S (Nominal q/q% s.a.)", "Import/Export of G&amp;SNominal q/q% s.a.", "Import/Export of G&amp;S", "Exports G&amp;S (Nominal q/q% s.a.)", "% s.a.", "q/q%", ".2f", "qual", "number", "Line", "",</v>
      </c>
    </row>
    <row r="211" spans="1:15" ht="25.5">
      <c r="A211" s="2" t="s">
        <v>486</v>
      </c>
      <c r="B211" s="6" t="s">
        <v>472</v>
      </c>
      <c r="C211" s="5" t="s">
        <v>984</v>
      </c>
      <c r="D211" s="2" t="s">
        <v>985</v>
      </c>
      <c r="E211" s="5" t="s">
        <v>979</v>
      </c>
      <c r="F211" s="5" t="s">
        <v>1134</v>
      </c>
      <c r="G211" s="5" t="s">
        <v>16</v>
      </c>
      <c r="H211" s="5" t="s">
        <v>782</v>
      </c>
      <c r="I211" s="2" t="s">
        <v>731</v>
      </c>
      <c r="J211" s="3" t="s">
        <v>1080</v>
      </c>
      <c r="K211" s="3" t="s">
        <v>892</v>
      </c>
      <c r="L211" s="3" t="s">
        <v>873</v>
      </c>
      <c r="M211" s="3"/>
      <c r="O211" t="str">
        <f t="shared" si="3"/>
        <v>"hm5", "GDE.Q.EX.nay", "Export of G&amp;S (Nominal y/y%)", "Import/Export of G&amp;SNominal y/y%", "Import/Export of G&amp;S", "Exports G&amp;S (Nominal y/y%)", "%", "y/y%", ".2f", "qual", "number", "Line", "",</v>
      </c>
    </row>
    <row r="212" spans="1:15" ht="14.25">
      <c r="A212" s="2" t="s">
        <v>486</v>
      </c>
      <c r="B212" s="6" t="s">
        <v>473</v>
      </c>
      <c r="C212" s="5" t="s">
        <v>986</v>
      </c>
      <c r="D212" s="2" t="s">
        <v>987</v>
      </c>
      <c r="E212" s="5" t="s">
        <v>979</v>
      </c>
      <c r="F212" s="5" t="s">
        <v>1135</v>
      </c>
      <c r="G212" s="5" t="s">
        <v>352</v>
      </c>
      <c r="H212" s="5" t="s">
        <v>816</v>
      </c>
      <c r="I212" s="17" t="s">
        <v>921</v>
      </c>
      <c r="J212" s="3" t="s">
        <v>1080</v>
      </c>
      <c r="K212" s="3" t="s">
        <v>892</v>
      </c>
      <c r="L212" s="3" t="s">
        <v>873</v>
      </c>
      <c r="M212" s="3"/>
      <c r="O212" t="str">
        <f t="shared" si="3"/>
        <v>"hm5", "GDE.Q.EX.RA", "Export of G&amp;S (Real $m)", "Import/Export of G&amp;SReal $m", "Import/Export of G&amp;S", "Exports G&amp;S (Real $m)", "NZDm(r)", "$m", ",d", "qual", "number", "Line", "",</v>
      </c>
    </row>
    <row r="213" spans="1:15" ht="25.5">
      <c r="A213" s="2" t="s">
        <v>486</v>
      </c>
      <c r="B213" s="6" t="s">
        <v>474</v>
      </c>
      <c r="C213" s="5" t="s">
        <v>988</v>
      </c>
      <c r="D213" s="2" t="s">
        <v>989</v>
      </c>
      <c r="E213" s="5" t="s">
        <v>979</v>
      </c>
      <c r="F213" s="5" t="s">
        <v>1136</v>
      </c>
      <c r="G213" s="5" t="s">
        <v>354</v>
      </c>
      <c r="H213" s="5" t="s">
        <v>816</v>
      </c>
      <c r="I213" s="17" t="s">
        <v>921</v>
      </c>
      <c r="J213" s="3" t="s">
        <v>1080</v>
      </c>
      <c r="K213" s="3" t="s">
        <v>892</v>
      </c>
      <c r="L213" s="3" t="s">
        <v>873</v>
      </c>
      <c r="M213" s="3"/>
      <c r="O213" t="str">
        <f t="shared" si="3"/>
        <v>"hm5", "GDE.Q.EX.RS", "Export of G&amp;S (Real $m s.a.)", "Import/Export of G&amp;SReal $m s.a.", "Import/Export of G&amp;S", "Exports G&amp;S (Real $m s.a.)", "NZDm(r) s.a.", "$m", ",d", "qual", "number", "Line", "",</v>
      </c>
    </row>
    <row r="214" spans="1:15" ht="25.5">
      <c r="A214" s="2" t="s">
        <v>486</v>
      </c>
      <c r="B214" s="6" t="s">
        <v>475</v>
      </c>
      <c r="C214" s="5" t="s">
        <v>990</v>
      </c>
      <c r="D214" s="2" t="s">
        <v>991</v>
      </c>
      <c r="E214" s="5" t="s">
        <v>979</v>
      </c>
      <c r="F214" s="5" t="s">
        <v>1137</v>
      </c>
      <c r="G214" s="5" t="s">
        <v>356</v>
      </c>
      <c r="H214" s="5" t="s">
        <v>781</v>
      </c>
      <c r="I214" s="2" t="s">
        <v>731</v>
      </c>
      <c r="J214" s="3" t="s">
        <v>1080</v>
      </c>
      <c r="K214" s="3" t="s">
        <v>892</v>
      </c>
      <c r="L214" s="3" t="s">
        <v>873</v>
      </c>
      <c r="M214" s="3"/>
      <c r="O214" t="str">
        <f t="shared" si="3"/>
        <v>"hm5", "GDE.Q.EX.rsq", "Export of G&amp;S (Real q/q% s.a.)", "Import/Export of G&amp;SReal q/q% s.a.", "Import/Export of G&amp;S", "Exports G&amp;S (Real q/q% s.a.)", "%(r) s.a.", "q/q%", ".2f", "qual", "number", "Line", "",</v>
      </c>
    </row>
    <row r="215" spans="1:15" ht="14.25">
      <c r="A215" s="2" t="s">
        <v>486</v>
      </c>
      <c r="B215" s="6" t="s">
        <v>476</v>
      </c>
      <c r="C215" s="5" t="s">
        <v>992</v>
      </c>
      <c r="D215" s="2" t="s">
        <v>993</v>
      </c>
      <c r="E215" s="5" t="s">
        <v>979</v>
      </c>
      <c r="F215" s="5" t="s">
        <v>1138</v>
      </c>
      <c r="G215" s="5" t="s">
        <v>358</v>
      </c>
      <c r="H215" s="5" t="s">
        <v>782</v>
      </c>
      <c r="I215" s="2" t="s">
        <v>731</v>
      </c>
      <c r="J215" s="3" t="s">
        <v>1080</v>
      </c>
      <c r="K215" s="3" t="s">
        <v>892</v>
      </c>
      <c r="L215" s="3" t="s">
        <v>873</v>
      </c>
      <c r="M215" s="3"/>
      <c r="O215" t="str">
        <f t="shared" si="3"/>
        <v>"hm5", "GDE.Q.EX.ray", "Export of G&amp;S (Real y/y%)", "Import/Export of G&amp;SReal y/y%", "Import/Export of G&amp;S", "Exports G&amp;S (Real y/y%)", "%(r)", "y/y%", ".2f", "qual", "number", "Line", "",</v>
      </c>
    </row>
    <row r="216" spans="1:15" ht="14.25">
      <c r="A216" s="2" t="s">
        <v>486</v>
      </c>
      <c r="B216" s="6" t="s">
        <v>478</v>
      </c>
      <c r="C216" s="5" t="s">
        <v>994</v>
      </c>
      <c r="D216" s="2" t="s">
        <v>978</v>
      </c>
      <c r="E216" s="5" t="s">
        <v>979</v>
      </c>
      <c r="F216" s="5" t="s">
        <v>1139</v>
      </c>
      <c r="G216" s="5" t="s">
        <v>217</v>
      </c>
      <c r="H216" s="5" t="s">
        <v>816</v>
      </c>
      <c r="I216" s="17" t="s">
        <v>921</v>
      </c>
      <c r="J216" s="3" t="s">
        <v>1080</v>
      </c>
      <c r="K216" s="3" t="s">
        <v>892</v>
      </c>
      <c r="L216" s="3" t="s">
        <v>873</v>
      </c>
      <c r="M216" s="3"/>
      <c r="O216" t="str">
        <f t="shared" si="3"/>
        <v>"hm5", "GDE.Q.EM.NA", "Import of G&amp;S (Nominal $m)", "Import/Export of G&amp;SNominal $m", "Import/Export of G&amp;S", "Import G&amp;S (Nominal $m)", "NZDm", "$m", ",d", "qual", "number", "Line", "",</v>
      </c>
    </row>
    <row r="217" spans="1:15" ht="25.5">
      <c r="A217" s="2" t="s">
        <v>486</v>
      </c>
      <c r="B217" s="6" t="s">
        <v>479</v>
      </c>
      <c r="C217" s="5" t="s">
        <v>995</v>
      </c>
      <c r="D217" s="2" t="s">
        <v>981</v>
      </c>
      <c r="E217" s="5" t="s">
        <v>979</v>
      </c>
      <c r="F217" s="5" t="s">
        <v>1140</v>
      </c>
      <c r="G217" s="5" t="s">
        <v>346</v>
      </c>
      <c r="H217" s="5" t="s">
        <v>816</v>
      </c>
      <c r="I217" s="17" t="s">
        <v>921</v>
      </c>
      <c r="J217" s="3" t="s">
        <v>1080</v>
      </c>
      <c r="K217" s="3" t="s">
        <v>892</v>
      </c>
      <c r="L217" s="3" t="s">
        <v>873</v>
      </c>
      <c r="M217" s="3"/>
      <c r="O217" t="str">
        <f t="shared" si="3"/>
        <v>"hm5", "GDE.Q.EM.NS", "Import of G&amp;S (Nominal $m s.a.)", "Import/Export of G&amp;SNominal $m s.a.", "Import/Export of G&amp;S", "Import G&amp;S (Nominal $m s.a.)", "NZDm s.a.", "$m", ",d", "qual", "number", "Line", "",</v>
      </c>
    </row>
    <row r="218" spans="1:15" ht="25.5">
      <c r="A218" s="2" t="s">
        <v>486</v>
      </c>
      <c r="B218" s="6" t="s">
        <v>480</v>
      </c>
      <c r="C218" s="5" t="s">
        <v>996</v>
      </c>
      <c r="D218" s="2" t="s">
        <v>983</v>
      </c>
      <c r="E218" s="5" t="s">
        <v>979</v>
      </c>
      <c r="F218" s="5" t="s">
        <v>1141</v>
      </c>
      <c r="G218" s="5" t="s">
        <v>348</v>
      </c>
      <c r="H218" s="5" t="s">
        <v>781</v>
      </c>
      <c r="I218" s="2" t="s">
        <v>731</v>
      </c>
      <c r="J218" s="3" t="s">
        <v>1080</v>
      </c>
      <c r="K218" s="3" t="s">
        <v>892</v>
      </c>
      <c r="L218" s="3" t="s">
        <v>873</v>
      </c>
      <c r="M218" s="3"/>
      <c r="O218" t="str">
        <f t="shared" si="3"/>
        <v>"hm5", "GDE.Q.EM.nsq", "Import of G&amp;S (Nominal q/q% s.a.)", "Import/Export of G&amp;SNominal q/q% s.a.", "Import/Export of G&amp;S", "Import G&amp;S (Nominal q/q% s.a.)", "% s.a.", "q/q%", ".2f", "qual", "number", "Line", "",</v>
      </c>
    </row>
    <row r="219" spans="1:15" ht="25.5">
      <c r="A219" s="2" t="s">
        <v>486</v>
      </c>
      <c r="B219" s="6" t="s">
        <v>481</v>
      </c>
      <c r="C219" s="5" t="s">
        <v>997</v>
      </c>
      <c r="D219" s="2" t="s">
        <v>985</v>
      </c>
      <c r="E219" s="5" t="s">
        <v>979</v>
      </c>
      <c r="F219" s="5" t="s">
        <v>1142</v>
      </c>
      <c r="G219" s="5" t="s">
        <v>16</v>
      </c>
      <c r="H219" s="5" t="s">
        <v>782</v>
      </c>
      <c r="I219" s="2" t="s">
        <v>731</v>
      </c>
      <c r="J219" s="3" t="s">
        <v>1080</v>
      </c>
      <c r="K219" s="3" t="s">
        <v>892</v>
      </c>
      <c r="L219" s="3" t="s">
        <v>873</v>
      </c>
      <c r="M219" s="3"/>
      <c r="O219" t="str">
        <f t="shared" si="3"/>
        <v>"hm5", "GDE.Q.EM.nay", "Import of G&amp;S (Nominal y/y%)", "Import/Export of G&amp;SNominal y/y%", "Import/Export of G&amp;S", "Import G&amp;S (Nominal y/y%)", "%", "y/y%", ".2f", "qual", "number", "Line", "",</v>
      </c>
    </row>
    <row r="220" spans="1:15" ht="14.25">
      <c r="A220" s="2" t="s">
        <v>486</v>
      </c>
      <c r="B220" s="6" t="s">
        <v>482</v>
      </c>
      <c r="C220" s="5" t="s">
        <v>998</v>
      </c>
      <c r="D220" s="2" t="s">
        <v>987</v>
      </c>
      <c r="E220" s="5" t="s">
        <v>979</v>
      </c>
      <c r="F220" s="5" t="s">
        <v>1143</v>
      </c>
      <c r="G220" s="5" t="s">
        <v>352</v>
      </c>
      <c r="H220" s="5" t="s">
        <v>816</v>
      </c>
      <c r="I220" s="17" t="s">
        <v>921</v>
      </c>
      <c r="J220" s="3" t="s">
        <v>1080</v>
      </c>
      <c r="K220" s="3" t="s">
        <v>892</v>
      </c>
      <c r="L220" s="3" t="s">
        <v>873</v>
      </c>
      <c r="M220" s="3"/>
      <c r="O220" t="str">
        <f t="shared" si="3"/>
        <v>"hm5", "GDE.Q.EM.RA", "Import of G&amp;S (Real $m)", "Import/Export of G&amp;SReal $m", "Import/Export of G&amp;S", "Import G&amp;S (Real $m)", "NZDm(r)", "$m", ",d", "qual", "number", "Line", "",</v>
      </c>
    </row>
    <row r="221" spans="1:15" ht="25.5">
      <c r="A221" s="2" t="s">
        <v>486</v>
      </c>
      <c r="B221" s="6" t="s">
        <v>483</v>
      </c>
      <c r="C221" s="5" t="s">
        <v>999</v>
      </c>
      <c r="D221" s="2" t="s">
        <v>989</v>
      </c>
      <c r="E221" s="5" t="s">
        <v>979</v>
      </c>
      <c r="F221" s="5" t="s">
        <v>1144</v>
      </c>
      <c r="G221" s="5" t="s">
        <v>354</v>
      </c>
      <c r="H221" s="5" t="s">
        <v>816</v>
      </c>
      <c r="I221" s="17" t="s">
        <v>921</v>
      </c>
      <c r="J221" s="3" t="s">
        <v>1080</v>
      </c>
      <c r="K221" s="3" t="s">
        <v>892</v>
      </c>
      <c r="L221" s="3" t="s">
        <v>873</v>
      </c>
      <c r="M221" s="3"/>
      <c r="O221" t="str">
        <f t="shared" si="3"/>
        <v>"hm5", "GDE.Q.EM.RS", "Import of G&amp;S (Real $m s.a.)", "Import/Export of G&amp;SReal $m s.a.", "Import/Export of G&amp;S", "Import G&amp;S (Real $m s.a.)", "NZDm(r) s.a.", "$m", ",d", "qual", "number", "Line", "",</v>
      </c>
    </row>
    <row r="222" spans="1:15" ht="25.5">
      <c r="A222" s="2" t="s">
        <v>486</v>
      </c>
      <c r="B222" s="6" t="s">
        <v>484</v>
      </c>
      <c r="C222" s="5" t="s">
        <v>1000</v>
      </c>
      <c r="D222" s="2" t="s">
        <v>991</v>
      </c>
      <c r="E222" s="5" t="s">
        <v>979</v>
      </c>
      <c r="F222" s="5" t="s">
        <v>1145</v>
      </c>
      <c r="G222" s="5" t="s">
        <v>356</v>
      </c>
      <c r="H222" s="5" t="s">
        <v>781</v>
      </c>
      <c r="I222" s="2" t="s">
        <v>731</v>
      </c>
      <c r="J222" s="3" t="s">
        <v>1080</v>
      </c>
      <c r="K222" s="3" t="s">
        <v>892</v>
      </c>
      <c r="L222" s="3" t="s">
        <v>873</v>
      </c>
      <c r="M222" s="3"/>
      <c r="O222" t="str">
        <f t="shared" si="3"/>
        <v>"hm5", "GDE.Q.EM.rsq", "Import of G&amp;S (Real q/q% s.a.)", "Import/Export of G&amp;SReal q/q% s.a.", "Import/Export of G&amp;S", "Import G&amp;S (Real q/q% s.a.)", "%(r) s.a.", "q/q%", ".2f", "qual", "number", "Line", "",</v>
      </c>
    </row>
    <row r="223" spans="1:15" ht="14.25">
      <c r="A223" s="2" t="s">
        <v>486</v>
      </c>
      <c r="B223" s="6" t="s">
        <v>485</v>
      </c>
      <c r="C223" s="5" t="s">
        <v>1001</v>
      </c>
      <c r="D223" s="2" t="s">
        <v>993</v>
      </c>
      <c r="E223" s="5" t="s">
        <v>979</v>
      </c>
      <c r="F223" s="5" t="s">
        <v>1146</v>
      </c>
      <c r="G223" s="5" t="s">
        <v>358</v>
      </c>
      <c r="H223" s="5" t="s">
        <v>782</v>
      </c>
      <c r="I223" s="2" t="s">
        <v>731</v>
      </c>
      <c r="J223" s="3" t="s">
        <v>1080</v>
      </c>
      <c r="K223" s="3" t="s">
        <v>892</v>
      </c>
      <c r="L223" s="3" t="s">
        <v>873</v>
      </c>
      <c r="M223" s="3"/>
      <c r="O223" t="str">
        <f t="shared" si="3"/>
        <v>"hm5", "GDE.Q.EM.ray", "Import of G&amp;S (Real y/y%)", "Import/Export of G&amp;SReal y/y%", "Import/Export of G&amp;S", "Import G&amp;S (Real y/y%)", "%(r)", "y/y%", ".2f", "qual", "number", "Line", "",</v>
      </c>
    </row>
    <row r="224" spans="1:15" ht="14.25">
      <c r="A224" s="2" t="s">
        <v>507</v>
      </c>
      <c r="B224" s="6" t="s">
        <v>494</v>
      </c>
      <c r="C224" s="5" t="s">
        <v>493</v>
      </c>
      <c r="D224" s="2"/>
      <c r="E224" s="5" t="s">
        <v>493</v>
      </c>
      <c r="F224" s="5"/>
      <c r="G224" s="5" t="s">
        <v>8</v>
      </c>
      <c r="H224" s="5" t="s">
        <v>492</v>
      </c>
      <c r="I224" s="17" t="s">
        <v>921</v>
      </c>
      <c r="J224" s="3" t="s">
        <v>1083</v>
      </c>
      <c r="K224" s="3" t="s">
        <v>53</v>
      </c>
      <c r="L224" s="3" t="s">
        <v>1002</v>
      </c>
      <c r="M224" s="3"/>
      <c r="O224" t="str">
        <f t="shared" si="3"/>
        <v>"hm6", "NATF.Y.D04.na", "National", "", "National", "", "m", "Saving ($m)", ",d", "manual", "teal_dark", "Bar", "",</v>
      </c>
    </row>
    <row r="225" spans="1:15" ht="14.25">
      <c r="A225" s="2" t="s">
        <v>507</v>
      </c>
      <c r="B225" s="6" t="s">
        <v>496</v>
      </c>
      <c r="C225" s="5" t="s">
        <v>495</v>
      </c>
      <c r="D225" s="2"/>
      <c r="E225" s="5" t="s">
        <v>495</v>
      </c>
      <c r="F225" s="5"/>
      <c r="G225" s="5" t="s">
        <v>8</v>
      </c>
      <c r="H225" s="5" t="s">
        <v>492</v>
      </c>
      <c r="I225" s="17" t="s">
        <v>921</v>
      </c>
      <c r="J225" s="3" t="s">
        <v>1083</v>
      </c>
      <c r="K225" s="3" t="s">
        <v>52</v>
      </c>
      <c r="L225" s="3" t="s">
        <v>1002</v>
      </c>
      <c r="M225" s="3"/>
      <c r="O225" t="str">
        <f t="shared" si="3"/>
        <v>"hm6", "ISAA.Y.I12.na", "Businesses", "", "Businesses", "", "m", "Saving ($m)", ",d", "manual", "teal_base", "Bar", "",</v>
      </c>
    </row>
    <row r="226" spans="1:15" ht="14.25">
      <c r="A226" s="2" t="s">
        <v>507</v>
      </c>
      <c r="B226" s="6" t="s">
        <v>498</v>
      </c>
      <c r="C226" s="5" t="s">
        <v>497</v>
      </c>
      <c r="D226" s="2"/>
      <c r="E226" s="5" t="s">
        <v>497</v>
      </c>
      <c r="F226" s="5"/>
      <c r="G226" s="5" t="s">
        <v>8</v>
      </c>
      <c r="H226" s="5" t="s">
        <v>492</v>
      </c>
      <c r="I226" s="17" t="s">
        <v>921</v>
      </c>
      <c r="J226" s="3" t="s">
        <v>1083</v>
      </c>
      <c r="K226" s="3" t="s">
        <v>754</v>
      </c>
      <c r="L226" s="3" t="s">
        <v>1002</v>
      </c>
      <c r="M226" s="3"/>
      <c r="O226" t="str">
        <f t="shared" si="3"/>
        <v>"hm6", "ISAF.Y.I13.na", "Financial intermediaries", "", "Financial intermediaries", "", "m", "Saving ($m)", ",d", "manual", "teal_lite", "Bar", "",</v>
      </c>
    </row>
    <row r="227" spans="1:15" ht="14.25">
      <c r="A227" s="2" t="s">
        <v>507</v>
      </c>
      <c r="B227" s="6" t="s">
        <v>500</v>
      </c>
      <c r="C227" s="5" t="s">
        <v>499</v>
      </c>
      <c r="D227" s="2"/>
      <c r="E227" s="5" t="s">
        <v>499</v>
      </c>
      <c r="F227" s="5"/>
      <c r="G227" s="5" t="s">
        <v>8</v>
      </c>
      <c r="H227" s="5" t="s">
        <v>492</v>
      </c>
      <c r="I227" s="17" t="s">
        <v>921</v>
      </c>
      <c r="J227" s="3" t="s">
        <v>1083</v>
      </c>
      <c r="K227" s="3" t="s">
        <v>757</v>
      </c>
      <c r="L227" s="3" t="s">
        <v>1002</v>
      </c>
      <c r="M227" s="3"/>
      <c r="O227" t="str">
        <f t="shared" si="3"/>
        <v>"hm6", "ISAG.Y.I13.na", "General government", "", "General government", "", "m", "Saving ($m)", ",d", "manual", "gold_lite", "Bar", "",</v>
      </c>
    </row>
    <row r="228" spans="1:15" ht="25.5">
      <c r="A228" s="2" t="s">
        <v>507</v>
      </c>
      <c r="B228" s="6" t="s">
        <v>502</v>
      </c>
      <c r="C228" s="5" t="s">
        <v>501</v>
      </c>
      <c r="D228" s="2"/>
      <c r="E228" s="5" t="s">
        <v>501</v>
      </c>
      <c r="F228" s="5"/>
      <c r="G228" s="5" t="s">
        <v>8</v>
      </c>
      <c r="H228" s="5" t="s">
        <v>492</v>
      </c>
      <c r="I228" s="17" t="s">
        <v>921</v>
      </c>
      <c r="J228" s="3" t="s">
        <v>1083</v>
      </c>
      <c r="K228" s="3" t="s">
        <v>759</v>
      </c>
      <c r="L228" s="3" t="s">
        <v>1002</v>
      </c>
      <c r="M228" s="3"/>
      <c r="O228" t="str">
        <f t="shared" si="3"/>
        <v>"hm6", "ISAJ.Y.I12.na", "Non-profit institutions serving households", "", "Non-profit institutions serving households", "", "m", "Saving ($m)", ",d", "manual", "navy_lite", "Bar", "",</v>
      </c>
    </row>
    <row r="229" spans="1:15" ht="14.25">
      <c r="A229" s="2" t="s">
        <v>507</v>
      </c>
      <c r="B229" s="6" t="s">
        <v>504</v>
      </c>
      <c r="C229" s="5" t="s">
        <v>503</v>
      </c>
      <c r="D229" s="2"/>
      <c r="E229" s="5" t="s">
        <v>503</v>
      </c>
      <c r="F229" s="5"/>
      <c r="G229" s="5" t="s">
        <v>8</v>
      </c>
      <c r="H229" s="5" t="s">
        <v>492</v>
      </c>
      <c r="I229" s="17" t="s">
        <v>921</v>
      </c>
      <c r="J229" s="3" t="s">
        <v>1083</v>
      </c>
      <c r="K229" s="3" t="s">
        <v>760</v>
      </c>
      <c r="L229" s="3" t="s">
        <v>1002</v>
      </c>
      <c r="M229" s="3"/>
      <c r="O229" t="str">
        <f t="shared" si="3"/>
        <v>"hm6", "ISAK.Y.I10.na", "Households", "", "Households", "", "m", "Saving ($m)", ",d", "manual", "navy_base", "Bar", "",</v>
      </c>
    </row>
    <row r="230" spans="1:15" ht="25.5">
      <c r="A230" s="2" t="s">
        <v>507</v>
      </c>
      <c r="B230" s="6" t="s">
        <v>506</v>
      </c>
      <c r="C230" s="5" t="s">
        <v>505</v>
      </c>
      <c r="D230" s="2"/>
      <c r="E230" s="5" t="s">
        <v>503</v>
      </c>
      <c r="F230" s="5"/>
      <c r="G230" s="5" t="s">
        <v>16</v>
      </c>
      <c r="H230" s="5" t="s">
        <v>505</v>
      </c>
      <c r="I230" s="2" t="s">
        <v>731</v>
      </c>
      <c r="J230" s="3" t="s">
        <v>1083</v>
      </c>
      <c r="K230" s="3" t="s">
        <v>758</v>
      </c>
      <c r="L230" s="3" t="s">
        <v>873</v>
      </c>
      <c r="M230" s="3"/>
      <c r="O230" t="str">
        <f t="shared" si="3"/>
        <v>"hm6", "ISAK.Y.I18.na", "Household saving rate (%)", "", "Households", "", "%", "Household saving rate (%)", ".2f", "manual", "ruby_base", "Line", "",</v>
      </c>
    </row>
    <row r="231" spans="1:15" ht="14.25">
      <c r="A231" s="2" t="s">
        <v>534</v>
      </c>
      <c r="B231" s="2" t="s">
        <v>509</v>
      </c>
      <c r="C231" s="2" t="s">
        <v>508</v>
      </c>
      <c r="D231" s="2" t="s">
        <v>905</v>
      </c>
      <c r="E231" s="2" t="s">
        <v>26</v>
      </c>
      <c r="F231" s="2"/>
      <c r="G231" s="2" t="s">
        <v>16</v>
      </c>
      <c r="H231" s="2" t="s">
        <v>16</v>
      </c>
      <c r="I231" s="2" t="s">
        <v>908</v>
      </c>
      <c r="J231" s="3" t="s">
        <v>1080</v>
      </c>
      <c r="K231" s="3" t="s">
        <v>892</v>
      </c>
      <c r="L231" s="3" t="s">
        <v>873</v>
      </c>
      <c r="M231" s="3"/>
      <c r="O231" t="str">
        <f t="shared" si="3"/>
        <v>"hm7", "OTIT.Q.U1T.iaq", "Terms of Trade", "Terms of Trade (q/q%)", "(q/q%)", "", "%", "%", ".1f", "qual", "number", "Line", "",</v>
      </c>
    </row>
    <row r="232" spans="1:15" ht="14.25">
      <c r="A232" s="2" t="s">
        <v>534</v>
      </c>
      <c r="B232" s="2" t="s">
        <v>510</v>
      </c>
      <c r="C232" s="2" t="s">
        <v>508</v>
      </c>
      <c r="D232" s="2" t="s">
        <v>906</v>
      </c>
      <c r="E232" s="2" t="s">
        <v>18</v>
      </c>
      <c r="F232" s="2"/>
      <c r="G232" s="2" t="s">
        <v>16</v>
      </c>
      <c r="H232" s="2" t="s">
        <v>16</v>
      </c>
      <c r="I232" s="2" t="s">
        <v>908</v>
      </c>
      <c r="J232" s="3" t="s">
        <v>1080</v>
      </c>
      <c r="K232" s="3" t="s">
        <v>892</v>
      </c>
      <c r="L232" s="3" t="s">
        <v>873</v>
      </c>
      <c r="M232" s="3"/>
      <c r="O232" t="str">
        <f t="shared" si="3"/>
        <v>"hm7", "OTIT.Q.U1T.iay", "Terms of Trade", "Terms of Trade (y/y%)", "(y/y%)", "", "%", "%", ".1f", "qual", "number", "Line", "",</v>
      </c>
    </row>
    <row r="233" spans="1:15" ht="14.25">
      <c r="A233" s="2" t="s">
        <v>534</v>
      </c>
      <c r="B233" s="2" t="s">
        <v>513</v>
      </c>
      <c r="C233" s="2" t="s">
        <v>512</v>
      </c>
      <c r="D233" s="2" t="s">
        <v>512</v>
      </c>
      <c r="E233" s="2" t="s">
        <v>512</v>
      </c>
      <c r="F233" s="2"/>
      <c r="G233" s="2" t="s">
        <v>16</v>
      </c>
      <c r="H233" s="2" t="s">
        <v>16</v>
      </c>
      <c r="I233" s="2" t="s">
        <v>908</v>
      </c>
      <c r="J233" s="3" t="s">
        <v>1080</v>
      </c>
      <c r="K233" s="3" t="s">
        <v>892</v>
      </c>
      <c r="L233" s="3" t="s">
        <v>873</v>
      </c>
      <c r="M233" s="3"/>
      <c r="O233" t="str">
        <f t="shared" si="3"/>
        <v>"hm7", "BOPR.Q.TJ101.na", "Current account balance to GDP ratio (%)", "Current account balance to GDP ratio (%)", "Current account balance to GDP ratio (%)", "", "%", "%", ".1f", "qual", "number", "Line", "",</v>
      </c>
    </row>
    <row r="234" spans="1:15" ht="14.25">
      <c r="A234" s="2" t="s">
        <v>534</v>
      </c>
      <c r="B234" s="2" t="s">
        <v>516</v>
      </c>
      <c r="C234" s="2" t="s">
        <v>515</v>
      </c>
      <c r="D234" s="2" t="s">
        <v>515</v>
      </c>
      <c r="E234" s="2" t="s">
        <v>514</v>
      </c>
      <c r="F234" s="2"/>
      <c r="G234" s="2" t="s">
        <v>16</v>
      </c>
      <c r="H234" s="2" t="s">
        <v>16</v>
      </c>
      <c r="I234" s="2" t="s">
        <v>908</v>
      </c>
      <c r="J234" s="3" t="s">
        <v>1080</v>
      </c>
      <c r="K234" s="3" t="s">
        <v>892</v>
      </c>
      <c r="L234" s="3" t="s">
        <v>873</v>
      </c>
      <c r="M234" s="3"/>
      <c r="O234" t="str">
        <f t="shared" si="3"/>
        <v>"hm7", "BOPR.Q.TJ102.na", "Net international investment position to GDP ratio (%)", "Net international investment position to GDP ratio (%)", "International Investment Position (NZD millions)", "", "%", "%", ".1f", "qual", "number", "Line", "",</v>
      </c>
    </row>
    <row r="235" spans="1:15" ht="14.25">
      <c r="A235" s="2" t="s">
        <v>534</v>
      </c>
      <c r="B235" s="2" t="s">
        <v>518</v>
      </c>
      <c r="C235" s="2" t="s">
        <v>517</v>
      </c>
      <c r="D235" s="2" t="s">
        <v>1003</v>
      </c>
      <c r="E235" s="2" t="s">
        <v>517</v>
      </c>
      <c r="F235" s="2"/>
      <c r="G235" s="2" t="s">
        <v>217</v>
      </c>
      <c r="H235" s="2" t="s">
        <v>217</v>
      </c>
      <c r="I235" s="17" t="s">
        <v>921</v>
      </c>
      <c r="J235" s="3" t="s">
        <v>1080</v>
      </c>
      <c r="K235" s="3" t="s">
        <v>892</v>
      </c>
      <c r="L235" s="3" t="s">
        <v>1002</v>
      </c>
      <c r="M235" s="3"/>
      <c r="O235" t="str">
        <f t="shared" si="3"/>
        <v>"hm7", "BOP.Q.TB2.na", "Balance on goods", "Balance of Payments", "Balance on goods", "", "NZDm", "NZDm", ",d", "qual", "number", "Bar", "",</v>
      </c>
    </row>
    <row r="236" spans="1:15" ht="14.25">
      <c r="A236" s="2" t="s">
        <v>534</v>
      </c>
      <c r="B236" s="2" t="s">
        <v>520</v>
      </c>
      <c r="C236" s="2" t="s">
        <v>519</v>
      </c>
      <c r="D236" s="2" t="s">
        <v>1003</v>
      </c>
      <c r="E236" s="2" t="s">
        <v>519</v>
      </c>
      <c r="F236" s="2"/>
      <c r="G236" s="2" t="s">
        <v>217</v>
      </c>
      <c r="H236" s="2" t="s">
        <v>217</v>
      </c>
      <c r="I236" s="17" t="s">
        <v>921</v>
      </c>
      <c r="J236" s="3" t="s">
        <v>1080</v>
      </c>
      <c r="K236" s="3" t="s">
        <v>892</v>
      </c>
      <c r="L236" s="3" t="s">
        <v>1002</v>
      </c>
      <c r="M236" s="3"/>
      <c r="O236" t="str">
        <f t="shared" si="3"/>
        <v>"hm7", "BOP.Q.TB3.na", "Balance on services", "Balance of Payments", "Balance on services", "", "NZDm", "NZDm", ",d", "qual", "number", "Bar", "",</v>
      </c>
    </row>
    <row r="237" spans="1:15" ht="14.25">
      <c r="A237" s="2" t="s">
        <v>534</v>
      </c>
      <c r="B237" s="2" t="s">
        <v>522</v>
      </c>
      <c r="C237" s="2" t="s">
        <v>521</v>
      </c>
      <c r="D237" s="2" t="s">
        <v>1003</v>
      </c>
      <c r="E237" s="2" t="s">
        <v>521</v>
      </c>
      <c r="F237" s="2"/>
      <c r="G237" s="2" t="s">
        <v>217</v>
      </c>
      <c r="H237" s="2" t="s">
        <v>217</v>
      </c>
      <c r="I237" s="17" t="s">
        <v>921</v>
      </c>
      <c r="J237" s="3" t="s">
        <v>1080</v>
      </c>
      <c r="K237" s="3" t="s">
        <v>892</v>
      </c>
      <c r="L237" s="3" t="s">
        <v>1002</v>
      </c>
      <c r="M237" s="3"/>
      <c r="O237" t="str">
        <f t="shared" si="3"/>
        <v>"hm7", "BOP.Q.TB5.na", "Balance on primary income", "Balance of Payments", "Balance on primary income", "", "NZDm", "NZDm", ",d", "qual", "number", "Bar", "",</v>
      </c>
    </row>
    <row r="238" spans="1:15" ht="14.25">
      <c r="A238" s="2" t="s">
        <v>534</v>
      </c>
      <c r="B238" s="2" t="s">
        <v>524</v>
      </c>
      <c r="C238" s="2" t="s">
        <v>523</v>
      </c>
      <c r="D238" s="2" t="s">
        <v>1003</v>
      </c>
      <c r="E238" s="2" t="s">
        <v>523</v>
      </c>
      <c r="F238" s="2"/>
      <c r="G238" s="2" t="s">
        <v>217</v>
      </c>
      <c r="H238" s="2" t="s">
        <v>217</v>
      </c>
      <c r="I238" s="17" t="s">
        <v>921</v>
      </c>
      <c r="J238" s="3" t="s">
        <v>1080</v>
      </c>
      <c r="K238" s="3" t="s">
        <v>892</v>
      </c>
      <c r="L238" s="3" t="s">
        <v>1002</v>
      </c>
      <c r="M238" s="3"/>
      <c r="O238" t="str">
        <f t="shared" si="3"/>
        <v>"hm7", "BOP.Q.TB6.na", "Balance on secondary income", "Balance of Payments", "Balance on secondary income", "", "NZDm", "NZDm", ",d", "qual", "number", "Bar", "",</v>
      </c>
    </row>
    <row r="239" spans="1:15" ht="14.25">
      <c r="A239" s="2" t="s">
        <v>534</v>
      </c>
      <c r="B239" s="2" t="s">
        <v>526</v>
      </c>
      <c r="C239" s="2" t="s">
        <v>525</v>
      </c>
      <c r="D239" s="2" t="s">
        <v>1004</v>
      </c>
      <c r="E239" s="2" t="s">
        <v>525</v>
      </c>
      <c r="F239" s="2"/>
      <c r="G239" s="2" t="s">
        <v>217</v>
      </c>
      <c r="H239" s="2" t="s">
        <v>217</v>
      </c>
      <c r="I239" s="17" t="s">
        <v>921</v>
      </c>
      <c r="J239" s="3" t="s">
        <v>1080</v>
      </c>
      <c r="K239" s="3" t="s">
        <v>892</v>
      </c>
      <c r="L239" s="3" t="s">
        <v>1002</v>
      </c>
      <c r="M239" s="3"/>
      <c r="O239" t="str">
        <f t="shared" si="3"/>
        <v>"hm7", "BOP.Q.TB1.na", "Current account balance", "Balance of Payments (Total)", "Current account balance", "", "NZDm", "NZDm", ",d", "qual", "number", "Bar", "",</v>
      </c>
    </row>
    <row r="240" spans="1:15" ht="14.25">
      <c r="A240" s="2" t="s">
        <v>534</v>
      </c>
      <c r="B240" s="2" t="s">
        <v>528</v>
      </c>
      <c r="C240" s="2" t="s">
        <v>527</v>
      </c>
      <c r="D240" s="2" t="s">
        <v>1005</v>
      </c>
      <c r="E240" s="2" t="s">
        <v>527</v>
      </c>
      <c r="F240" s="2"/>
      <c r="G240" s="2" t="s">
        <v>217</v>
      </c>
      <c r="H240" s="2" t="s">
        <v>217</v>
      </c>
      <c r="I240" s="17" t="s">
        <v>921</v>
      </c>
      <c r="J240" s="3" t="s">
        <v>1080</v>
      </c>
      <c r="K240" s="3" t="s">
        <v>892</v>
      </c>
      <c r="L240" s="3" t="s">
        <v>873</v>
      </c>
      <c r="M240" s="3"/>
      <c r="O240" t="str">
        <f t="shared" si="3"/>
        <v>"hm7", "IIPA.Q.AP1.na", "International assets", "International Investment Position", "International assets", "", "NZDm", "NZDm", ",d", "qual", "number", "Line", "",</v>
      </c>
    </row>
    <row r="241" spans="1:15" ht="14.25">
      <c r="A241" s="2" t="s">
        <v>534</v>
      </c>
      <c r="B241" s="2" t="s">
        <v>530</v>
      </c>
      <c r="C241" s="2" t="s">
        <v>529</v>
      </c>
      <c r="D241" s="2" t="s">
        <v>1005</v>
      </c>
      <c r="E241" s="2" t="s">
        <v>529</v>
      </c>
      <c r="F241" s="2"/>
      <c r="G241" s="2" t="s">
        <v>217</v>
      </c>
      <c r="H241" s="2" t="s">
        <v>217</v>
      </c>
      <c r="I241" s="17" t="s">
        <v>921</v>
      </c>
      <c r="J241" s="3" t="s">
        <v>1080</v>
      </c>
      <c r="K241" s="3" t="s">
        <v>892</v>
      </c>
      <c r="L241" s="3" t="s">
        <v>873</v>
      </c>
      <c r="M241" s="3"/>
      <c r="O241" t="str">
        <f t="shared" si="3"/>
        <v>"hm7", "IIPA.Q.LP2.na", "International liabilities", "International Investment Position", "International liabilities", "", "NZDm", "NZDm", ",d", "qual", "number", "Line", "",</v>
      </c>
    </row>
    <row r="242" spans="1:15" ht="14.25">
      <c r="A242" s="2" t="s">
        <v>534</v>
      </c>
      <c r="B242" s="2" t="s">
        <v>532</v>
      </c>
      <c r="C242" s="2" t="s">
        <v>531</v>
      </c>
      <c r="D242" s="2" t="s">
        <v>531</v>
      </c>
      <c r="E242" s="2"/>
      <c r="F242" s="2"/>
      <c r="G242" s="2" t="s">
        <v>217</v>
      </c>
      <c r="H242" s="2" t="s">
        <v>217</v>
      </c>
      <c r="I242" s="17" t="s">
        <v>921</v>
      </c>
      <c r="J242" s="3" t="s">
        <v>1080</v>
      </c>
      <c r="K242" s="3" t="s">
        <v>892</v>
      </c>
      <c r="L242" s="3" t="s">
        <v>873</v>
      </c>
      <c r="M242" s="3"/>
      <c r="O242" t="str">
        <f t="shared" si="3"/>
        <v>"hm7", "IIP.Q.TA.NA", "Net international investment position (IIP)", "Net international investment position (IIP)", "", "", "NZDm", "NZDm", ",d", "qual", "number", "Line", "",</v>
      </c>
    </row>
    <row r="243" spans="1:15" ht="14.25">
      <c r="A243" s="2" t="s">
        <v>534</v>
      </c>
      <c r="B243" s="2" t="s">
        <v>533</v>
      </c>
      <c r="C243" s="2" t="s">
        <v>508</v>
      </c>
      <c r="D243" s="2" t="s">
        <v>1006</v>
      </c>
      <c r="E243" s="2" t="s">
        <v>22</v>
      </c>
      <c r="F243" s="2"/>
      <c r="G243" s="2"/>
      <c r="H243" s="2" t="s">
        <v>58</v>
      </c>
      <c r="I243" s="17" t="s">
        <v>921</v>
      </c>
      <c r="J243" s="3" t="s">
        <v>1080</v>
      </c>
      <c r="K243" s="3" t="s">
        <v>892</v>
      </c>
      <c r="L243" s="3" t="s">
        <v>873</v>
      </c>
      <c r="M243" s="3"/>
      <c r="O243" t="str">
        <f t="shared" si="3"/>
        <v>"hm7", "OTIT.Q.U1T.ia", "Terms of Trade", "Terms of Trade (Index)", "(Index)", "", "", "Index", ",d", "qual", "number", "Line", "",</v>
      </c>
    </row>
    <row r="244" spans="1:15" ht="14.25">
      <c r="A244" s="2" t="s">
        <v>48</v>
      </c>
      <c r="B244" s="2" t="s">
        <v>7</v>
      </c>
      <c r="C244" s="2" t="s">
        <v>1147</v>
      </c>
      <c r="D244" s="2" t="s">
        <v>1148</v>
      </c>
      <c r="E244" s="2" t="s">
        <v>44</v>
      </c>
      <c r="F244" s="2" t="s">
        <v>815</v>
      </c>
      <c r="G244" s="2" t="s">
        <v>8</v>
      </c>
      <c r="H244" s="2" t="s">
        <v>816</v>
      </c>
      <c r="I244" s="17" t="s">
        <v>921</v>
      </c>
      <c r="J244" s="3" t="s">
        <v>1080</v>
      </c>
      <c r="K244" s="3" t="s">
        <v>892</v>
      </c>
      <c r="L244" s="3" t="s">
        <v>873</v>
      </c>
      <c r="M244" s="3"/>
      <c r="O244" t="str">
        <f t="shared" si="3"/>
        <v>"hm8", "OTIX.Q.UA.ns", "Export values $m s.a.", "Values ($m s.a.)", "Export", "$m s.a.", "m", "$m", ",d", "qual", "number", "Line", "",</v>
      </c>
    </row>
    <row r="245" spans="1:15" ht="14.25">
      <c r="A245" s="2" t="s">
        <v>48</v>
      </c>
      <c r="B245" s="2" t="s">
        <v>10</v>
      </c>
      <c r="C245" s="2" t="s">
        <v>1149</v>
      </c>
      <c r="D245" s="2" t="s">
        <v>1148</v>
      </c>
      <c r="E245" s="2" t="s">
        <v>45</v>
      </c>
      <c r="F245" s="2" t="s">
        <v>815</v>
      </c>
      <c r="G245" s="2" t="s">
        <v>8</v>
      </c>
      <c r="H245" s="2" t="s">
        <v>816</v>
      </c>
      <c r="I245" s="2" t="s">
        <v>921</v>
      </c>
      <c r="J245" s="3" t="s">
        <v>1080</v>
      </c>
      <c r="K245" s="3" t="s">
        <v>892</v>
      </c>
      <c r="L245" s="3" t="s">
        <v>873</v>
      </c>
      <c r="M245" s="3"/>
      <c r="O245" t="str">
        <f t="shared" si="3"/>
        <v>"hm8", "OTIM.Q.UA.ns", "Import values $m s.a.", "Values ($m s.a.)", "Import", "$m s.a.", "m", "$m", ",d", "qual", "number", "Line", "",</v>
      </c>
    </row>
    <row r="246" spans="1:15" ht="14.25">
      <c r="A246" s="2" t="s">
        <v>48</v>
      </c>
      <c r="B246" s="2" t="s">
        <v>12</v>
      </c>
      <c r="C246" s="2" t="s">
        <v>1150</v>
      </c>
      <c r="D246" s="2" t="s">
        <v>1151</v>
      </c>
      <c r="E246" s="2" t="s">
        <v>44</v>
      </c>
      <c r="F246" s="2" t="s">
        <v>816</v>
      </c>
      <c r="G246" s="2" t="s">
        <v>8</v>
      </c>
      <c r="H246" s="2" t="s">
        <v>816</v>
      </c>
      <c r="I246" s="2" t="s">
        <v>921</v>
      </c>
      <c r="J246" s="3" t="s">
        <v>1080</v>
      </c>
      <c r="K246" s="3" t="s">
        <v>892</v>
      </c>
      <c r="L246" s="3" t="s">
        <v>873</v>
      </c>
      <c r="M246" s="3"/>
      <c r="O246" t="str">
        <f t="shared" si="3"/>
        <v>"hm8", "OTIX.Q.UA.na", "Export values $m", "Values ($m)", "Export", "$m", "m", "$m", ",d", "qual", "number", "Line", "",</v>
      </c>
    </row>
    <row r="247" spans="1:15" ht="14.25">
      <c r="A247" s="2" t="s">
        <v>48</v>
      </c>
      <c r="B247" s="2" t="s">
        <v>13</v>
      </c>
      <c r="C247" s="2" t="s">
        <v>1152</v>
      </c>
      <c r="D247" s="2" t="s">
        <v>1151</v>
      </c>
      <c r="E247" s="2" t="s">
        <v>45</v>
      </c>
      <c r="F247" s="2" t="s">
        <v>816</v>
      </c>
      <c r="G247" s="2" t="s">
        <v>8</v>
      </c>
      <c r="H247" s="2" t="s">
        <v>816</v>
      </c>
      <c r="I247" s="2" t="s">
        <v>921</v>
      </c>
      <c r="J247" s="3" t="s">
        <v>1080</v>
      </c>
      <c r="K247" s="3" t="s">
        <v>892</v>
      </c>
      <c r="L247" s="3" t="s">
        <v>873</v>
      </c>
      <c r="M247" s="3"/>
      <c r="O247" t="str">
        <f t="shared" si="3"/>
        <v>"hm8", "OTIM.Q.UA.na", "Import values $m", "Values ($m)", "Import", "$m", "m", "$m", ",d", "qual", "number", "Line", "",</v>
      </c>
    </row>
    <row r="248" spans="1:15" ht="14.25">
      <c r="A248" s="2" t="s">
        <v>48</v>
      </c>
      <c r="B248" s="2" t="s">
        <v>15</v>
      </c>
      <c r="C248" s="2" t="s">
        <v>1153</v>
      </c>
      <c r="D248" s="2" t="s">
        <v>1154</v>
      </c>
      <c r="E248" s="2" t="s">
        <v>44</v>
      </c>
      <c r="F248" s="2" t="s">
        <v>817</v>
      </c>
      <c r="G248" s="2" t="s">
        <v>16</v>
      </c>
      <c r="H248" s="2" t="s">
        <v>16</v>
      </c>
      <c r="I248" s="2" t="s">
        <v>908</v>
      </c>
      <c r="J248" s="3" t="s">
        <v>1080</v>
      </c>
      <c r="K248" s="3" t="s">
        <v>892</v>
      </c>
      <c r="L248" s="3" t="s">
        <v>873</v>
      </c>
      <c r="M248" s="3"/>
      <c r="O248" t="str">
        <f t="shared" si="3"/>
        <v>"hm8", "OTIX.Q.UA.nsq", "Export values q/q% s.a.", "Values (q/q% s.a.)", "Export", "q/q% s.a.", "%", "%", ".1f", "qual", "number", "Line", "",</v>
      </c>
    </row>
    <row r="249" spans="1:15" ht="14.25">
      <c r="A249" s="2" t="s">
        <v>48</v>
      </c>
      <c r="B249" s="2" t="s">
        <v>17</v>
      </c>
      <c r="C249" s="2" t="s">
        <v>1155</v>
      </c>
      <c r="D249" s="2" t="s">
        <v>1154</v>
      </c>
      <c r="E249" s="2" t="s">
        <v>45</v>
      </c>
      <c r="F249" s="2" t="s">
        <v>817</v>
      </c>
      <c r="G249" s="2" t="s">
        <v>16</v>
      </c>
      <c r="H249" s="2" t="s">
        <v>16</v>
      </c>
      <c r="I249" s="2" t="s">
        <v>908</v>
      </c>
      <c r="J249" s="3" t="s">
        <v>1080</v>
      </c>
      <c r="K249" s="3" t="s">
        <v>892</v>
      </c>
      <c r="L249" s="3" t="s">
        <v>873</v>
      </c>
      <c r="M249" s="3"/>
      <c r="O249" t="str">
        <f t="shared" si="3"/>
        <v>"hm8", "OTIM.Q.UA.nsq", "Import values q/q% s.a.", "Values (q/q% s.a.)", "Import", "q/q% s.a.", "%", "%", ".1f", "qual", "number", "Line", "",</v>
      </c>
    </row>
    <row r="250" spans="1:15" ht="14.25">
      <c r="A250" s="2" t="s">
        <v>48</v>
      </c>
      <c r="B250" s="2" t="s">
        <v>19</v>
      </c>
      <c r="C250" s="2" t="s">
        <v>1156</v>
      </c>
      <c r="D250" s="2" t="s">
        <v>1157</v>
      </c>
      <c r="E250" s="2" t="s">
        <v>44</v>
      </c>
      <c r="F250" s="2" t="s">
        <v>782</v>
      </c>
      <c r="G250" s="2" t="s">
        <v>16</v>
      </c>
      <c r="H250" s="2" t="s">
        <v>16</v>
      </c>
      <c r="I250" s="2" t="s">
        <v>908</v>
      </c>
      <c r="J250" s="3" t="s">
        <v>1080</v>
      </c>
      <c r="K250" s="3" t="s">
        <v>892</v>
      </c>
      <c r="L250" s="3" t="s">
        <v>873</v>
      </c>
      <c r="M250" s="3"/>
      <c r="O250" t="str">
        <f t="shared" si="3"/>
        <v>"hm8", "OTIX.Q.UA.nay", "Export values y/y%", "Values (y/y%)", "Export", "y/y%", "%", "%", ".1f", "qual", "number", "Line", "",</v>
      </c>
    </row>
    <row r="251" spans="1:15" ht="14.25">
      <c r="A251" s="2" t="s">
        <v>48</v>
      </c>
      <c r="B251" s="2" t="s">
        <v>20</v>
      </c>
      <c r="C251" s="2" t="s">
        <v>1158</v>
      </c>
      <c r="D251" s="2" t="s">
        <v>1157</v>
      </c>
      <c r="E251" s="2" t="s">
        <v>45</v>
      </c>
      <c r="F251" s="2" t="s">
        <v>782</v>
      </c>
      <c r="G251" s="2" t="s">
        <v>16</v>
      </c>
      <c r="H251" s="2" t="s">
        <v>16</v>
      </c>
      <c r="I251" s="2" t="s">
        <v>908</v>
      </c>
      <c r="J251" s="3" t="s">
        <v>1080</v>
      </c>
      <c r="K251" s="3" t="s">
        <v>892</v>
      </c>
      <c r="L251" s="3" t="s">
        <v>873</v>
      </c>
      <c r="M251" s="3"/>
      <c r="O251" t="str">
        <f t="shared" si="3"/>
        <v>"hm8", "OTIM.Q.UA.nay", "Import values y/y%", "Values (y/y%)", "Import", "y/y%", "%", "%", ".1f", "qual", "number", "Line", "",</v>
      </c>
    </row>
    <row r="252" spans="1:15" ht="14.25">
      <c r="A252" s="2" t="s">
        <v>48</v>
      </c>
      <c r="B252" s="2" t="s">
        <v>23</v>
      </c>
      <c r="C252" s="2" t="s">
        <v>1159</v>
      </c>
      <c r="D252" s="2" t="s">
        <v>1160</v>
      </c>
      <c r="E252" s="2" t="s">
        <v>44</v>
      </c>
      <c r="F252" s="2" t="s">
        <v>58</v>
      </c>
      <c r="G252" s="2"/>
      <c r="H252" s="2" t="s">
        <v>58</v>
      </c>
      <c r="I252" s="2" t="s">
        <v>921</v>
      </c>
      <c r="J252" s="3" t="s">
        <v>1080</v>
      </c>
      <c r="K252" s="3" t="s">
        <v>892</v>
      </c>
      <c r="L252" s="3" t="s">
        <v>873</v>
      </c>
      <c r="M252" s="3"/>
      <c r="O252" t="str">
        <f t="shared" si="3"/>
        <v>"hm8", "OTIX.Q.U1A.ia", "Export prices Index", "Prices (Index)", "Export", "Index", "", "Index", ",d", "qual", "number", "Line", "",</v>
      </c>
    </row>
    <row r="253" spans="1:15" ht="14.25">
      <c r="A253" s="2" t="s">
        <v>48</v>
      </c>
      <c r="B253" s="2" t="s">
        <v>25</v>
      </c>
      <c r="C253" s="2" t="s">
        <v>1161</v>
      </c>
      <c r="D253" s="2" t="s">
        <v>1160</v>
      </c>
      <c r="E253" s="2" t="s">
        <v>45</v>
      </c>
      <c r="F253" s="2" t="s">
        <v>58</v>
      </c>
      <c r="G253" s="2"/>
      <c r="H253" s="2" t="s">
        <v>58</v>
      </c>
      <c r="I253" s="2" t="s">
        <v>921</v>
      </c>
      <c r="J253" s="3" t="s">
        <v>1080</v>
      </c>
      <c r="K253" s="3" t="s">
        <v>892</v>
      </c>
      <c r="L253" s="3" t="s">
        <v>873</v>
      </c>
      <c r="M253" s="3"/>
      <c r="O253" t="str">
        <f t="shared" si="3"/>
        <v>"hm8", "OTIM.Q.U1A.ia", "Import prices Index", "Prices (Index)", "Import", "Index", "", "Index", ",d", "qual", "number", "Line", "",</v>
      </c>
    </row>
    <row r="254" spans="1:15" ht="14.25">
      <c r="A254" s="2" t="s">
        <v>48</v>
      </c>
      <c r="B254" s="2" t="s">
        <v>27</v>
      </c>
      <c r="C254" s="2" t="s">
        <v>1162</v>
      </c>
      <c r="D254" s="2" t="s">
        <v>1163</v>
      </c>
      <c r="E254" s="2" t="s">
        <v>44</v>
      </c>
      <c r="F254" s="2" t="s">
        <v>781</v>
      </c>
      <c r="G254" s="2" t="s">
        <v>16</v>
      </c>
      <c r="H254" s="2" t="s">
        <v>16</v>
      </c>
      <c r="I254" s="2" t="s">
        <v>908</v>
      </c>
      <c r="J254" s="3" t="s">
        <v>1080</v>
      </c>
      <c r="K254" s="3" t="s">
        <v>892</v>
      </c>
      <c r="L254" s="3" t="s">
        <v>873</v>
      </c>
      <c r="M254" s="3"/>
      <c r="O254" t="str">
        <f t="shared" si="3"/>
        <v>"hm8", "OTIX.Q.U1A.iaq", "Export prices q/q%", "Prices (q/q%)", "Export", "q/q%", "%", "%", ".1f", "qual", "number", "Line", "",</v>
      </c>
    </row>
    <row r="255" spans="1:15" ht="14.25">
      <c r="A255" s="2" t="s">
        <v>48</v>
      </c>
      <c r="B255" s="2" t="s">
        <v>28</v>
      </c>
      <c r="C255" s="2" t="s">
        <v>1164</v>
      </c>
      <c r="D255" s="2" t="s">
        <v>1163</v>
      </c>
      <c r="E255" s="2" t="s">
        <v>45</v>
      </c>
      <c r="F255" s="2" t="s">
        <v>781</v>
      </c>
      <c r="G255" s="2" t="s">
        <v>16</v>
      </c>
      <c r="H255" s="2" t="s">
        <v>16</v>
      </c>
      <c r="I255" s="2" t="s">
        <v>908</v>
      </c>
      <c r="J255" s="3" t="s">
        <v>1080</v>
      </c>
      <c r="K255" s="3" t="s">
        <v>892</v>
      </c>
      <c r="L255" s="3" t="s">
        <v>873</v>
      </c>
      <c r="M255" s="3"/>
      <c r="O255" t="str">
        <f t="shared" si="3"/>
        <v>"hm8", "OTIM.Q.U1A.iaq", "Import prices q/q%", "Prices (q/q%)", "Import", "q/q%", "%", "%", ".1f", "qual", "number", "Line", "",</v>
      </c>
    </row>
    <row r="256" spans="1:15" ht="14.25">
      <c r="A256" s="2" t="s">
        <v>48</v>
      </c>
      <c r="B256" s="2" t="s">
        <v>29</v>
      </c>
      <c r="C256" s="2" t="s">
        <v>1165</v>
      </c>
      <c r="D256" s="2" t="s">
        <v>1166</v>
      </c>
      <c r="E256" s="2" t="s">
        <v>44</v>
      </c>
      <c r="F256" s="2" t="s">
        <v>782</v>
      </c>
      <c r="G256" s="2" t="s">
        <v>16</v>
      </c>
      <c r="H256" s="2" t="s">
        <v>16</v>
      </c>
      <c r="I256" s="2" t="s">
        <v>908</v>
      </c>
      <c r="J256" s="3" t="s">
        <v>1080</v>
      </c>
      <c r="K256" s="3" t="s">
        <v>892</v>
      </c>
      <c r="L256" s="3" t="s">
        <v>873</v>
      </c>
      <c r="M256" s="3"/>
      <c r="O256" t="str">
        <f t="shared" si="3"/>
        <v>"hm8", "OTIX.Q.U1A.iay", "Export prices y/y%", "Prices (y/y%)", "Export", "y/y%", "%", "%", ".1f", "qual", "number", "Line", "",</v>
      </c>
    </row>
    <row r="257" spans="1:15" ht="14.25">
      <c r="A257" s="2" t="s">
        <v>48</v>
      </c>
      <c r="B257" s="2" t="s">
        <v>30</v>
      </c>
      <c r="C257" s="2" t="s">
        <v>1167</v>
      </c>
      <c r="D257" s="2" t="s">
        <v>1166</v>
      </c>
      <c r="E257" s="2" t="s">
        <v>45</v>
      </c>
      <c r="F257" s="2" t="s">
        <v>782</v>
      </c>
      <c r="G257" s="2" t="s">
        <v>16</v>
      </c>
      <c r="H257" s="2" t="s">
        <v>16</v>
      </c>
      <c r="I257" s="2" t="s">
        <v>908</v>
      </c>
      <c r="J257" s="3" t="s">
        <v>1080</v>
      </c>
      <c r="K257" s="3" t="s">
        <v>892</v>
      </c>
      <c r="L257" s="3" t="s">
        <v>873</v>
      </c>
      <c r="M257" s="3"/>
      <c r="O257" t="str">
        <f t="shared" si="3"/>
        <v>"hm8", "OTIM.Q.U1A.iay", "Import prices y/y%", "Prices (y/y%)", "Import", "y/y%", "%", "%", ".1f", "qual", "number", "Line", "",</v>
      </c>
    </row>
    <row r="258" spans="1:15" ht="14.25">
      <c r="A258" s="2" t="s">
        <v>48</v>
      </c>
      <c r="B258" s="2" t="s">
        <v>32</v>
      </c>
      <c r="C258" s="2" t="s">
        <v>1168</v>
      </c>
      <c r="D258" s="2" t="s">
        <v>1169</v>
      </c>
      <c r="E258" s="2" t="s">
        <v>44</v>
      </c>
      <c r="F258" s="2" t="s">
        <v>58</v>
      </c>
      <c r="G258" s="2"/>
      <c r="H258" s="2" t="s">
        <v>58</v>
      </c>
      <c r="I258" s="2" t="s">
        <v>921</v>
      </c>
      <c r="J258" s="3" t="s">
        <v>1080</v>
      </c>
      <c r="K258" s="3" t="s">
        <v>892</v>
      </c>
      <c r="L258" s="3" t="s">
        <v>873</v>
      </c>
      <c r="M258" s="3"/>
      <c r="O258" t="str">
        <f t="shared" si="3"/>
        <v>"hm8", "OTIX.Q.U2A.ia", "Export volumes Index", "Volumes (Index)", "Export", "Index", "", "Index", ",d", "qual", "number", "Line", "",</v>
      </c>
    </row>
    <row r="259" spans="1:15" ht="14.25">
      <c r="A259" s="2" t="s">
        <v>48</v>
      </c>
      <c r="B259" s="2" t="s">
        <v>34</v>
      </c>
      <c r="C259" s="2" t="s">
        <v>1170</v>
      </c>
      <c r="D259" s="2" t="s">
        <v>1169</v>
      </c>
      <c r="E259" s="2" t="s">
        <v>45</v>
      </c>
      <c r="F259" s="2" t="s">
        <v>58</v>
      </c>
      <c r="G259" s="2"/>
      <c r="H259" s="2" t="s">
        <v>58</v>
      </c>
      <c r="I259" s="2" t="s">
        <v>921</v>
      </c>
      <c r="J259" s="3" t="s">
        <v>1080</v>
      </c>
      <c r="K259" s="3" t="s">
        <v>892</v>
      </c>
      <c r="L259" s="3" t="s">
        <v>873</v>
      </c>
      <c r="M259" s="3"/>
      <c r="O259" t="str">
        <f t="shared" ref="O259:O322" si="4">""""&amp;_xlfn.TEXTJOIN(""", """,FALSE,A259:M259)&amp;""""&amp;","</f>
        <v>"hm8", "OTIM.Q.U2A.ia", "Import volumes Index", "Volumes (Index)", "Import", "Index", "", "Index", ",d", "qual", "number", "Line", "",</v>
      </c>
    </row>
    <row r="260" spans="1:15" ht="14.25">
      <c r="A260" s="2" t="s">
        <v>48</v>
      </c>
      <c r="B260" s="2" t="s">
        <v>35</v>
      </c>
      <c r="C260" s="2" t="s">
        <v>1171</v>
      </c>
      <c r="D260" s="2" t="s">
        <v>1172</v>
      </c>
      <c r="E260" s="2" t="s">
        <v>44</v>
      </c>
      <c r="F260" s="2" t="s">
        <v>817</v>
      </c>
      <c r="G260" s="2" t="s">
        <v>16</v>
      </c>
      <c r="H260" s="2" t="s">
        <v>16</v>
      </c>
      <c r="I260" s="2" t="s">
        <v>908</v>
      </c>
      <c r="J260" s="3" t="s">
        <v>1080</v>
      </c>
      <c r="K260" s="3" t="s">
        <v>892</v>
      </c>
      <c r="L260" s="3" t="s">
        <v>873</v>
      </c>
      <c r="M260" s="3"/>
      <c r="O260" t="str">
        <f t="shared" si="4"/>
        <v>"hm8", "OTIX.Q.U2A.isq", "Export volumes q/q% s.a.", "Volumes (q/q% s.a.)", "Export", "q/q% s.a.", "%", "%", ".1f", "qual", "number", "Line", "",</v>
      </c>
    </row>
    <row r="261" spans="1:15" ht="14.25">
      <c r="A261" s="2" t="s">
        <v>48</v>
      </c>
      <c r="B261" s="2" t="s">
        <v>36</v>
      </c>
      <c r="C261" s="2" t="s">
        <v>1173</v>
      </c>
      <c r="D261" s="2" t="s">
        <v>1172</v>
      </c>
      <c r="E261" s="2" t="s">
        <v>45</v>
      </c>
      <c r="F261" s="2" t="s">
        <v>817</v>
      </c>
      <c r="G261" s="2" t="s">
        <v>16</v>
      </c>
      <c r="H261" s="2" t="s">
        <v>16</v>
      </c>
      <c r="I261" s="2" t="s">
        <v>908</v>
      </c>
      <c r="J261" s="3" t="s">
        <v>1080</v>
      </c>
      <c r="K261" s="3" t="s">
        <v>892</v>
      </c>
      <c r="L261" s="3" t="s">
        <v>873</v>
      </c>
      <c r="M261" s="3"/>
      <c r="O261" t="str">
        <f t="shared" si="4"/>
        <v>"hm8", "OTIM.Q.U2A.isq", "Import volumes q/q% s.a.", "Volumes (q/q% s.a.)", "Import", "q/q% s.a.", "%", "%", ".1f", "qual", "number", "Line", "",</v>
      </c>
    </row>
    <row r="262" spans="1:15" ht="14.25">
      <c r="A262" s="2" t="s">
        <v>48</v>
      </c>
      <c r="B262" s="2" t="s">
        <v>37</v>
      </c>
      <c r="C262" s="2" t="s">
        <v>1174</v>
      </c>
      <c r="D262" s="2" t="s">
        <v>1175</v>
      </c>
      <c r="E262" s="2" t="s">
        <v>44</v>
      </c>
      <c r="F262" s="2" t="s">
        <v>782</v>
      </c>
      <c r="G262" s="2" t="s">
        <v>16</v>
      </c>
      <c r="H262" s="2" t="s">
        <v>16</v>
      </c>
      <c r="I262" s="2" t="s">
        <v>908</v>
      </c>
      <c r="J262" s="3" t="s">
        <v>1080</v>
      </c>
      <c r="K262" s="3" t="s">
        <v>892</v>
      </c>
      <c r="L262" s="3" t="s">
        <v>873</v>
      </c>
      <c r="M262" s="3"/>
      <c r="O262" t="str">
        <f t="shared" si="4"/>
        <v>"hm8", "OTIX.Q.U2A.iay", "Export volumes y/y%", "Volumes (y/y%)", "Export", "y/y%", "%", "%", ".1f", "qual", "number", "Line", "",</v>
      </c>
    </row>
    <row r="263" spans="1:15" ht="14.25">
      <c r="A263" s="2" t="s">
        <v>48</v>
      </c>
      <c r="B263" s="2" t="s">
        <v>38</v>
      </c>
      <c r="C263" s="2" t="s">
        <v>1176</v>
      </c>
      <c r="D263" s="2" t="s">
        <v>1175</v>
      </c>
      <c r="E263" s="2" t="s">
        <v>45</v>
      </c>
      <c r="F263" s="2" t="s">
        <v>782</v>
      </c>
      <c r="G263" s="2" t="s">
        <v>16</v>
      </c>
      <c r="H263" s="2" t="s">
        <v>16</v>
      </c>
      <c r="I263" s="2" t="s">
        <v>908</v>
      </c>
      <c r="J263" s="3" t="s">
        <v>1080</v>
      </c>
      <c r="K263" s="3" t="s">
        <v>892</v>
      </c>
      <c r="L263" s="3" t="s">
        <v>873</v>
      </c>
      <c r="M263" s="3"/>
      <c r="O263" t="str">
        <f t="shared" si="4"/>
        <v>"hm8", "OTIM.Q.U2A.iay", "Import volumes y/y%", "Volumes (y/y%)", "Import", "y/y%", "%", "%", ".1f", "qual", "number", "Line", "",</v>
      </c>
    </row>
    <row r="264" spans="1:15" ht="14.25">
      <c r="A264" s="2" t="s">
        <v>48</v>
      </c>
      <c r="B264" s="2" t="s">
        <v>40</v>
      </c>
      <c r="C264" s="2" t="s">
        <v>1177</v>
      </c>
      <c r="D264" s="2" t="s">
        <v>1178</v>
      </c>
      <c r="E264" s="2" t="s">
        <v>44</v>
      </c>
      <c r="F264" s="2" t="s">
        <v>857</v>
      </c>
      <c r="G264" s="2"/>
      <c r="H264" s="2" t="s">
        <v>58</v>
      </c>
      <c r="I264" s="2" t="s">
        <v>921</v>
      </c>
      <c r="J264" s="3" t="s">
        <v>1080</v>
      </c>
      <c r="K264" s="3" t="s">
        <v>892</v>
      </c>
      <c r="L264" s="3" t="s">
        <v>873</v>
      </c>
      <c r="M264" s="3"/>
      <c r="O264" t="str">
        <f t="shared" si="4"/>
        <v>"hm8", "OTIX.Q.U2A.is", "Export volumes Index s.a.", "Volumes (Index s.a.)", "Export", "Index s.a.", "", "Index", ",d", "qual", "number", "Line", "",</v>
      </c>
    </row>
    <row r="265" spans="1:15" ht="14.25">
      <c r="A265" s="2" t="s">
        <v>48</v>
      </c>
      <c r="B265" s="2" t="s">
        <v>41</v>
      </c>
      <c r="C265" s="2" t="s">
        <v>1179</v>
      </c>
      <c r="D265" s="2" t="s">
        <v>1178</v>
      </c>
      <c r="E265" s="2" t="s">
        <v>45</v>
      </c>
      <c r="F265" s="2" t="s">
        <v>857</v>
      </c>
      <c r="G265" s="2"/>
      <c r="H265" s="2" t="s">
        <v>58</v>
      </c>
      <c r="I265" s="2" t="s">
        <v>921</v>
      </c>
      <c r="J265" s="3" t="s">
        <v>1080</v>
      </c>
      <c r="K265" s="3" t="s">
        <v>892</v>
      </c>
      <c r="L265" s="3" t="s">
        <v>873</v>
      </c>
      <c r="M265" s="3"/>
      <c r="O265" t="str">
        <f t="shared" si="4"/>
        <v>"hm8", "OTIM.Q.U2A.is", "Import volumes Index s.a.", "Volumes (Index s.a.)", "Import", "Index s.a.", "", "Index", ",d", "qual", "number", "Line", "",</v>
      </c>
    </row>
    <row r="266" spans="1:15" ht="14.25">
      <c r="A266" s="2" t="s">
        <v>577</v>
      </c>
      <c r="B266" s="2" t="s">
        <v>537</v>
      </c>
      <c r="C266" s="2" t="s">
        <v>1180</v>
      </c>
      <c r="D266" s="2" t="s">
        <v>1007</v>
      </c>
      <c r="E266" s="2" t="s">
        <v>535</v>
      </c>
      <c r="F266" s="2" t="s">
        <v>348</v>
      </c>
      <c r="G266" s="2" t="s">
        <v>16</v>
      </c>
      <c r="H266" s="2" t="s">
        <v>1025</v>
      </c>
      <c r="I266" s="2" t="s">
        <v>908</v>
      </c>
      <c r="J266" s="3" t="s">
        <v>1080</v>
      </c>
      <c r="K266" s="3" t="s">
        <v>892</v>
      </c>
      <c r="L266" s="3" t="s">
        <v>873</v>
      </c>
      <c r="M266" s="3"/>
      <c r="O266" t="str">
        <f t="shared" si="4"/>
        <v>"hm9", "HLFS.Q.L05G001.ns", "Labour force participation rate	 - % s.a.", "Labour Force % s.a.", "Labour force participation rate	", "% s.a.", "%", "Total %", ".1f", "qual", "number", "Line", "",</v>
      </c>
    </row>
    <row r="267" spans="1:15" ht="14.25">
      <c r="A267" s="2" t="s">
        <v>577</v>
      </c>
      <c r="B267" s="2" t="s">
        <v>539</v>
      </c>
      <c r="C267" s="2" t="s">
        <v>1181</v>
      </c>
      <c r="D267" s="2" t="s">
        <v>1008</v>
      </c>
      <c r="E267" s="2" t="s">
        <v>538</v>
      </c>
      <c r="F267" s="2" t="s">
        <v>348</v>
      </c>
      <c r="G267" s="2" t="s">
        <v>16</v>
      </c>
      <c r="H267" s="2" t="s">
        <v>1025</v>
      </c>
      <c r="I267" s="2" t="s">
        <v>908</v>
      </c>
      <c r="J267" s="3" t="s">
        <v>1080</v>
      </c>
      <c r="K267" s="3" t="s">
        <v>892</v>
      </c>
      <c r="L267" s="3" t="s">
        <v>873</v>
      </c>
      <c r="M267" s="3"/>
      <c r="O267" t="str">
        <f t="shared" si="4"/>
        <v>"hm9", "HLFS.Q.L06G001.ns", "Unemployment rate	 - % s.a.", "Unemployment % s.a.", "Unemployment rate	", "% s.a.", "%", "Total %", ".1f", "qual", "number", "Line", "",</v>
      </c>
    </row>
    <row r="268" spans="1:15" ht="14.25">
      <c r="A268" s="2" t="s">
        <v>577</v>
      </c>
      <c r="B268" s="2" t="s">
        <v>542</v>
      </c>
      <c r="C268" s="2" t="s">
        <v>1182</v>
      </c>
      <c r="D268" s="2" t="s">
        <v>540</v>
      </c>
      <c r="E268" s="2" t="s">
        <v>540</v>
      </c>
      <c r="F268" s="2" t="s">
        <v>858</v>
      </c>
      <c r="G268" s="2" t="s">
        <v>543</v>
      </c>
      <c r="H268" s="2" t="s">
        <v>860</v>
      </c>
      <c r="I268" s="2" t="s">
        <v>921</v>
      </c>
      <c r="J268" s="3" t="s">
        <v>1080</v>
      </c>
      <c r="K268" s="3" t="s">
        <v>892</v>
      </c>
      <c r="L268" s="3" t="s">
        <v>873</v>
      </c>
      <c r="M268" s="3"/>
      <c r="O268" t="str">
        <f t="shared" si="4"/>
        <v>"hm9", "HLFS.Q.L04G001.ns", "Not in labour force - 000s s.a.", "Not in labour force", "Not in labour force", "000s s.a.", "000s", "000's", ",d", "qual", "number", "Line", "",</v>
      </c>
    </row>
    <row r="269" spans="1:15" ht="14.25">
      <c r="A269" s="2" t="s">
        <v>577</v>
      </c>
      <c r="B269" s="2" t="s">
        <v>545</v>
      </c>
      <c r="C269" s="2" t="s">
        <v>1183</v>
      </c>
      <c r="D269" s="2" t="s">
        <v>544</v>
      </c>
      <c r="E269" s="2" t="s">
        <v>544</v>
      </c>
      <c r="F269" s="2" t="s">
        <v>858</v>
      </c>
      <c r="G269" s="2" t="s">
        <v>543</v>
      </c>
      <c r="H269" s="2" t="s">
        <v>860</v>
      </c>
      <c r="I269" s="2" t="s">
        <v>921</v>
      </c>
      <c r="J269" s="3" t="s">
        <v>1080</v>
      </c>
      <c r="K269" s="3" t="s">
        <v>892</v>
      </c>
      <c r="L269" s="3" t="s">
        <v>873</v>
      </c>
      <c r="M269" s="3"/>
      <c r="O269" t="str">
        <f t="shared" si="4"/>
        <v>"hm9", "HLFS.Q.L07G001.ns", "Working-age population - 000s s.a.", "Working-age population", "Working-age population", "000s s.a.", "000s", "000's", ",d", "qual", "number", "Line", "",</v>
      </c>
    </row>
    <row r="270" spans="1:15" ht="14.25">
      <c r="A270" s="2" t="s">
        <v>577</v>
      </c>
      <c r="B270" s="2" t="s">
        <v>547</v>
      </c>
      <c r="C270" s="2" t="s">
        <v>1184</v>
      </c>
      <c r="D270" s="2" t="s">
        <v>1009</v>
      </c>
      <c r="E270" s="2" t="s">
        <v>546</v>
      </c>
      <c r="F270" s="2" t="s">
        <v>58</v>
      </c>
      <c r="G270" s="2" t="s">
        <v>58</v>
      </c>
      <c r="H270" s="2" t="s">
        <v>58</v>
      </c>
      <c r="I270" s="2" t="s">
        <v>921</v>
      </c>
      <c r="J270" s="3" t="s">
        <v>1080</v>
      </c>
      <c r="K270" s="3" t="s">
        <v>892</v>
      </c>
      <c r="L270" s="3" t="s">
        <v>873</v>
      </c>
      <c r="M270" s="3"/>
      <c r="O270" t="str">
        <f t="shared" si="4"/>
        <v>"hm9", "LCI.Q.W1S0T0.ia", "Labour cost index (LCI) - Index", "LCI Index", "Labour cost index (LCI)", "Index", "Index", "Index", ",d", "qual", "number", "Line", "",</v>
      </c>
    </row>
    <row r="271" spans="1:15" ht="14.25">
      <c r="A271" s="2" t="s">
        <v>577</v>
      </c>
      <c r="B271" s="2" t="s">
        <v>548</v>
      </c>
      <c r="C271" s="2" t="s">
        <v>1023</v>
      </c>
      <c r="D271" s="2" t="s">
        <v>1010</v>
      </c>
      <c r="E271" s="2" t="s">
        <v>546</v>
      </c>
      <c r="F271" s="2" t="s">
        <v>782</v>
      </c>
      <c r="G271" s="2" t="s">
        <v>16</v>
      </c>
      <c r="H271" s="2" t="s">
        <v>16</v>
      </c>
      <c r="I271" s="2" t="s">
        <v>908</v>
      </c>
      <c r="J271" s="3" t="s">
        <v>1080</v>
      </c>
      <c r="K271" s="3" t="s">
        <v>892</v>
      </c>
      <c r="L271" s="3" t="s">
        <v>873</v>
      </c>
      <c r="M271" s="3"/>
      <c r="O271" t="str">
        <f t="shared" si="4"/>
        <v>"hm9", "LCI.Q.W1S0T0.iay", "Labour cost index (LCI) - y/y%", "LCI y/y%", "Labour cost index (LCI)", "y/y%", "%", "%", ".1f", "qual", "number", "Line", "",</v>
      </c>
    </row>
    <row r="272" spans="1:15" ht="14.25">
      <c r="A272" s="2" t="s">
        <v>577</v>
      </c>
      <c r="B272" s="2" t="s">
        <v>549</v>
      </c>
      <c r="C272" s="2" t="s">
        <v>1185</v>
      </c>
      <c r="D272" s="2" t="s">
        <v>1011</v>
      </c>
      <c r="E272" s="2" t="s">
        <v>540</v>
      </c>
      <c r="F272" s="2" t="s">
        <v>782</v>
      </c>
      <c r="G272" s="2" t="s">
        <v>16</v>
      </c>
      <c r="H272" s="2" t="s">
        <v>1024</v>
      </c>
      <c r="I272" s="2" t="s">
        <v>908</v>
      </c>
      <c r="J272" s="3" t="s">
        <v>1080</v>
      </c>
      <c r="K272" s="3" t="s">
        <v>892</v>
      </c>
      <c r="L272" s="3" t="s">
        <v>873</v>
      </c>
      <c r="M272" s="3"/>
      <c r="O272" t="str">
        <f t="shared" si="4"/>
        <v>"hm9", "HLFS.Q.L04G001.nay", "Not in labour force - y/y%", "Not in Labour Force y/y%", "Not in labour force", "y/y%", "%", "% ", ".1f", "qual", "number", "Line", "",</v>
      </c>
    </row>
    <row r="273" spans="1:15" ht="14.25">
      <c r="A273" s="2" t="s">
        <v>577</v>
      </c>
      <c r="B273" s="2" t="s">
        <v>550</v>
      </c>
      <c r="C273" s="2" t="s">
        <v>1186</v>
      </c>
      <c r="D273" s="2" t="s">
        <v>1012</v>
      </c>
      <c r="E273" s="2" t="s">
        <v>544</v>
      </c>
      <c r="F273" s="2" t="s">
        <v>782</v>
      </c>
      <c r="G273" s="2" t="s">
        <v>16</v>
      </c>
      <c r="H273" s="2" t="s">
        <v>1025</v>
      </c>
      <c r="I273" s="2" t="s">
        <v>908</v>
      </c>
      <c r="J273" s="3" t="s">
        <v>1080</v>
      </c>
      <c r="K273" s="3" t="s">
        <v>892</v>
      </c>
      <c r="L273" s="3" t="s">
        <v>873</v>
      </c>
      <c r="M273" s="3"/>
      <c r="O273" t="str">
        <f t="shared" si="4"/>
        <v>"hm9", "HLFS.Q.L07G001.nay", "Working-age population - y/y%", "Working-age population %", "Working-age population", "y/y%", "%", "Total %", ".1f", "qual", "number", "Line", "",</v>
      </c>
    </row>
    <row r="274" spans="1:15" ht="14.25">
      <c r="A274" s="2" t="s">
        <v>577</v>
      </c>
      <c r="B274" s="2" t="s">
        <v>553</v>
      </c>
      <c r="C274" s="2" t="s">
        <v>1187</v>
      </c>
      <c r="D274" s="2" t="s">
        <v>552</v>
      </c>
      <c r="E274" s="2" t="s">
        <v>551</v>
      </c>
      <c r="F274" s="2" t="s">
        <v>552</v>
      </c>
      <c r="G274" s="2" t="s">
        <v>16</v>
      </c>
      <c r="H274" s="2" t="s">
        <v>1025</v>
      </c>
      <c r="I274" s="2" t="s">
        <v>908</v>
      </c>
      <c r="J274" s="3" t="s">
        <v>1080</v>
      </c>
      <c r="K274" s="3" t="s">
        <v>892</v>
      </c>
      <c r="L274" s="3" t="s">
        <v>873</v>
      </c>
      <c r="M274" s="3"/>
      <c r="O274" t="str">
        <f t="shared" si="4"/>
        <v>"hm9", "HLFS.Q.L01G001.nay", "Labour force - Employed (y/y%)", "Employed (y/y%)", "Labour force", "Employed (y/y%)", "%", "Total %", ".1f", "qual", "number", "Line", "",</v>
      </c>
    </row>
    <row r="275" spans="1:15" ht="14.25">
      <c r="A275" s="2" t="s">
        <v>577</v>
      </c>
      <c r="B275" s="2" t="s">
        <v>555</v>
      </c>
      <c r="C275" s="2" t="s">
        <v>1188</v>
      </c>
      <c r="D275" s="2" t="s">
        <v>554</v>
      </c>
      <c r="E275" s="2" t="s">
        <v>551</v>
      </c>
      <c r="F275" s="2" t="s">
        <v>554</v>
      </c>
      <c r="G275" s="2" t="s">
        <v>16</v>
      </c>
      <c r="H275" s="2" t="s">
        <v>1025</v>
      </c>
      <c r="I275" s="2" t="s">
        <v>908</v>
      </c>
      <c r="J275" s="3" t="s">
        <v>1080</v>
      </c>
      <c r="K275" s="3" t="s">
        <v>892</v>
      </c>
      <c r="L275" s="3" t="s">
        <v>873</v>
      </c>
      <c r="M275" s="3"/>
      <c r="O275" t="str">
        <f t="shared" si="4"/>
        <v>"hm9", "HLFS.Q.L02G001.nay", "Labour force - Unemployed (y/y%)", "Unemployed (y/y%)", "Labour force", "Unemployed (y/y%)", "%", "Total %", ".1f", "qual", "number", "Line", "",</v>
      </c>
    </row>
    <row r="276" spans="1:15" ht="14.25">
      <c r="A276" s="2" t="s">
        <v>577</v>
      </c>
      <c r="B276" s="2" t="s">
        <v>557</v>
      </c>
      <c r="C276" s="2" t="s">
        <v>1189</v>
      </c>
      <c r="D276" s="2" t="s">
        <v>556</v>
      </c>
      <c r="E276" s="2" t="s">
        <v>551</v>
      </c>
      <c r="F276" s="2" t="s">
        <v>556</v>
      </c>
      <c r="G276" s="2" t="s">
        <v>16</v>
      </c>
      <c r="H276" s="2" t="s">
        <v>1025</v>
      </c>
      <c r="I276" s="2" t="s">
        <v>908</v>
      </c>
      <c r="J276" s="3" t="s">
        <v>1080</v>
      </c>
      <c r="K276" s="3" t="s">
        <v>892</v>
      </c>
      <c r="L276" s="3" t="s">
        <v>873</v>
      </c>
      <c r="M276" s="3"/>
      <c r="O276" t="str">
        <f t="shared" si="4"/>
        <v>"hm9", "HLFS.Q.L03G001.nay", "Labour force - Total (y/y%)", "Total (y/y%)", "Labour force", "Total (y/y%)", "%", "Total %", ".1f", "qual", "number", "Line", "",</v>
      </c>
    </row>
    <row r="277" spans="1:15" ht="14.25">
      <c r="A277" s="2" t="s">
        <v>577</v>
      </c>
      <c r="B277" s="2" t="s">
        <v>559</v>
      </c>
      <c r="C277" s="2" t="s">
        <v>1190</v>
      </c>
      <c r="D277" s="2" t="s">
        <v>558</v>
      </c>
      <c r="E277" s="2" t="s">
        <v>551</v>
      </c>
      <c r="F277" s="2" t="s">
        <v>558</v>
      </c>
      <c r="G277" s="2" t="s">
        <v>543</v>
      </c>
      <c r="H277" s="2" t="s">
        <v>860</v>
      </c>
      <c r="I277" s="2" t="s">
        <v>921</v>
      </c>
      <c r="J277" s="3" t="s">
        <v>1080</v>
      </c>
      <c r="K277" s="3" t="s">
        <v>892</v>
      </c>
      <c r="L277" s="3" t="s">
        <v>873</v>
      </c>
      <c r="M277" s="3"/>
      <c r="O277" t="str">
        <f t="shared" si="4"/>
        <v>"hm9", "HLFS.Q.L01G001.ns", "Labour force - Employed (000s s.a.)", "Employed (000s s.a.)", "Labour force", "Employed (000s s.a.)", "000s", "000's", ",d", "qual", "number", "Line", "",</v>
      </c>
    </row>
    <row r="278" spans="1:15" ht="14.25">
      <c r="A278" s="2" t="s">
        <v>577</v>
      </c>
      <c r="B278" s="2" t="s">
        <v>561</v>
      </c>
      <c r="C278" s="2" t="s">
        <v>1191</v>
      </c>
      <c r="D278" s="2" t="s">
        <v>560</v>
      </c>
      <c r="E278" s="2" t="s">
        <v>551</v>
      </c>
      <c r="F278" s="2" t="s">
        <v>560</v>
      </c>
      <c r="G278" s="2" t="s">
        <v>543</v>
      </c>
      <c r="H278" s="2" t="s">
        <v>860</v>
      </c>
      <c r="I278" s="2" t="s">
        <v>921</v>
      </c>
      <c r="J278" s="3" t="s">
        <v>1080</v>
      </c>
      <c r="K278" s="3" t="s">
        <v>892</v>
      </c>
      <c r="L278" s="3" t="s">
        <v>873</v>
      </c>
      <c r="M278" s="3"/>
      <c r="O278" t="str">
        <f t="shared" si="4"/>
        <v>"hm9", "HLFS.Q.L02G001.ns", "Labour force - Unemployed (000s s.a.)", "Unemployed (000s s.a.)", "Labour force", "Unemployed (000s s.a.)", "000s", "000's", ",d", "qual", "number", "Line", "",</v>
      </c>
    </row>
    <row r="279" spans="1:15" ht="14.25">
      <c r="A279" s="2" t="s">
        <v>577</v>
      </c>
      <c r="B279" s="2" t="s">
        <v>563</v>
      </c>
      <c r="C279" s="2" t="s">
        <v>1192</v>
      </c>
      <c r="D279" s="2" t="s">
        <v>1022</v>
      </c>
      <c r="E279" s="2" t="s">
        <v>551</v>
      </c>
      <c r="F279" s="2" t="s">
        <v>562</v>
      </c>
      <c r="G279" s="2" t="s">
        <v>543</v>
      </c>
      <c r="H279" s="2" t="s">
        <v>860</v>
      </c>
      <c r="I279" s="2" t="s">
        <v>921</v>
      </c>
      <c r="J279" s="3" t="s">
        <v>1080</v>
      </c>
      <c r="K279" s="3" t="s">
        <v>892</v>
      </c>
      <c r="L279" s="3" t="s">
        <v>873</v>
      </c>
      <c r="M279" s="3"/>
      <c r="O279" t="str">
        <f t="shared" si="4"/>
        <v>"hm9", "HLFS.Q.L03G001.ns", "Labour force - Total (000s s.a.)", "Labour Force (000s s.a.)", "Labour force", "Total (000s s.a.)", "000s", "000's", ",d", "qual", "number", "Line", "",</v>
      </c>
    </row>
    <row r="280" spans="1:15" ht="14.25">
      <c r="A280" s="2" t="s">
        <v>577</v>
      </c>
      <c r="B280" s="2" t="s">
        <v>566</v>
      </c>
      <c r="C280" s="2" t="s">
        <v>1193</v>
      </c>
      <c r="D280" s="2" t="s">
        <v>1013</v>
      </c>
      <c r="E280" s="2" t="s">
        <v>564</v>
      </c>
      <c r="F280" s="2" t="s">
        <v>859</v>
      </c>
      <c r="G280" s="2"/>
      <c r="H280" s="2" t="s">
        <v>859</v>
      </c>
      <c r="I280" s="2" t="s">
        <v>921</v>
      </c>
      <c r="J280" s="3" t="s">
        <v>1080</v>
      </c>
      <c r="K280" s="3" t="s">
        <v>892</v>
      </c>
      <c r="L280" s="3" t="s">
        <v>873</v>
      </c>
      <c r="M280" s="3"/>
      <c r="O280" t="str">
        <f t="shared" si="4"/>
        <v>"hm9", "QESS21.Q.E03S2.na", "Private sector wages - $", "Private sector wages $", "Private sector wages", "$", "", "$", ",d", "qual", "number", "Line", "",</v>
      </c>
    </row>
    <row r="281" spans="1:15" ht="14.25">
      <c r="A281" s="2" t="s">
        <v>577</v>
      </c>
      <c r="B281" s="2" t="s">
        <v>567</v>
      </c>
      <c r="C281" s="2" t="s">
        <v>1014</v>
      </c>
      <c r="D281" s="2" t="s">
        <v>1014</v>
      </c>
      <c r="E281" s="2" t="s">
        <v>564</v>
      </c>
      <c r="F281" s="2" t="s">
        <v>781</v>
      </c>
      <c r="G281" s="2" t="s">
        <v>16</v>
      </c>
      <c r="H281" s="2" t="s">
        <v>16</v>
      </c>
      <c r="I281" s="2" t="s">
        <v>908</v>
      </c>
      <c r="J281" s="3" t="s">
        <v>1080</v>
      </c>
      <c r="K281" s="3" t="s">
        <v>892</v>
      </c>
      <c r="L281" s="3" t="s">
        <v>873</v>
      </c>
      <c r="M281" s="3"/>
      <c r="O281" t="str">
        <f t="shared" si="4"/>
        <v>"hm9", "QESS21.Q.E03S2.naq", "Private sector wages - q/q%", "Private sector wages - q/q%", "Private sector wages", "q/q%", "%", "%", ".1f", "qual", "number", "Line", "",</v>
      </c>
    </row>
    <row r="282" spans="1:15" ht="14.25">
      <c r="A282" s="2" t="s">
        <v>577</v>
      </c>
      <c r="B282" s="2" t="s">
        <v>568</v>
      </c>
      <c r="C282" s="2" t="s">
        <v>1015</v>
      </c>
      <c r="D282" s="2" t="s">
        <v>1015</v>
      </c>
      <c r="E282" s="2" t="s">
        <v>564</v>
      </c>
      <c r="F282" s="2" t="s">
        <v>782</v>
      </c>
      <c r="G282" s="2" t="s">
        <v>16</v>
      </c>
      <c r="H282" s="2" t="s">
        <v>16</v>
      </c>
      <c r="I282" s="2" t="s">
        <v>908</v>
      </c>
      <c r="J282" s="3" t="s">
        <v>1080</v>
      </c>
      <c r="K282" s="3" t="s">
        <v>892</v>
      </c>
      <c r="L282" s="3" t="s">
        <v>873</v>
      </c>
      <c r="M282" s="3"/>
      <c r="O282" t="str">
        <f t="shared" si="4"/>
        <v>"hm9", "QESS21.Q.E03S2.nay", "Private sector wages - y/y%", "Private sector wages - y/y%", "Private sector wages", "y/y%", "%", "%", ".1f", "qual", "number", "Line", "",</v>
      </c>
    </row>
    <row r="283" spans="1:15" ht="14.25">
      <c r="A283" s="2" t="s">
        <v>577</v>
      </c>
      <c r="B283" s="2" t="s">
        <v>570</v>
      </c>
      <c r="C283" s="2" t="s">
        <v>1016</v>
      </c>
      <c r="D283" s="2" t="s">
        <v>1016</v>
      </c>
      <c r="E283" s="2" t="s">
        <v>569</v>
      </c>
      <c r="F283" s="2" t="s">
        <v>859</v>
      </c>
      <c r="G283" s="2"/>
      <c r="H283" s="2" t="s">
        <v>859</v>
      </c>
      <c r="I283" s="2" t="s">
        <v>921</v>
      </c>
      <c r="J283" s="3" t="s">
        <v>1080</v>
      </c>
      <c r="K283" s="3" t="s">
        <v>892</v>
      </c>
      <c r="L283" s="3" t="s">
        <v>873</v>
      </c>
      <c r="M283" s="3"/>
      <c r="O283" t="str">
        <f t="shared" si="4"/>
        <v>"hm9", "QESS21.Q.E03S1.na", "Public sector wages - $", "Public sector wages - $", "Public sector wages", "$", "", "$", ",d", "qual", "number", "Line", "",</v>
      </c>
    </row>
    <row r="284" spans="1:15" ht="14.25">
      <c r="A284" s="2" t="s">
        <v>577</v>
      </c>
      <c r="B284" s="2" t="s">
        <v>571</v>
      </c>
      <c r="C284" s="2" t="s">
        <v>1017</v>
      </c>
      <c r="D284" s="2" t="s">
        <v>1017</v>
      </c>
      <c r="E284" s="2" t="s">
        <v>569</v>
      </c>
      <c r="F284" s="2" t="s">
        <v>781</v>
      </c>
      <c r="G284" s="2" t="s">
        <v>16</v>
      </c>
      <c r="H284" s="2" t="s">
        <v>16</v>
      </c>
      <c r="I284" s="2" t="s">
        <v>908</v>
      </c>
      <c r="J284" s="3" t="s">
        <v>1080</v>
      </c>
      <c r="K284" s="3" t="s">
        <v>892</v>
      </c>
      <c r="L284" s="3" t="s">
        <v>873</v>
      </c>
      <c r="M284" s="3"/>
      <c r="O284" t="str">
        <f t="shared" si="4"/>
        <v>"hm9", "QESS21.Q.E03S1.naq", "Public sector wages - q/q%", "Public sector wages - q/q%", "Public sector wages", "q/q%", "%", "%", ".1f", "qual", "number", "Line", "",</v>
      </c>
    </row>
    <row r="285" spans="1:15" ht="14.25">
      <c r="A285" s="2" t="s">
        <v>577</v>
      </c>
      <c r="B285" s="2" t="s">
        <v>572</v>
      </c>
      <c r="C285" s="2" t="s">
        <v>1018</v>
      </c>
      <c r="D285" s="2" t="s">
        <v>1018</v>
      </c>
      <c r="E285" s="2" t="s">
        <v>569</v>
      </c>
      <c r="F285" s="2" t="s">
        <v>782</v>
      </c>
      <c r="G285" s="2" t="s">
        <v>16</v>
      </c>
      <c r="H285" s="2" t="s">
        <v>16</v>
      </c>
      <c r="I285" s="2" t="s">
        <v>908</v>
      </c>
      <c r="J285" s="3" t="s">
        <v>1080</v>
      </c>
      <c r="K285" s="3" t="s">
        <v>892</v>
      </c>
      <c r="L285" s="3" t="s">
        <v>873</v>
      </c>
      <c r="M285" s="3"/>
      <c r="O285" t="str">
        <f t="shared" si="4"/>
        <v>"hm9", "QESS21.Q.E03S1.nay", "Public sector wages - y/y%", "Public sector wages - y/y%", "Public sector wages", "y/y%", "%", "%", ".1f", "qual", "number", "Line", "",</v>
      </c>
    </row>
    <row r="286" spans="1:15" ht="14.25">
      <c r="A286" s="2" t="s">
        <v>577</v>
      </c>
      <c r="B286" s="2" t="s">
        <v>574</v>
      </c>
      <c r="C286" s="2" t="s">
        <v>1194</v>
      </c>
      <c r="D286" s="2" t="s">
        <v>1019</v>
      </c>
      <c r="E286" s="2" t="s">
        <v>573</v>
      </c>
      <c r="F286" s="2" t="s">
        <v>859</v>
      </c>
      <c r="G286" s="2"/>
      <c r="H286" s="2" t="s">
        <v>859</v>
      </c>
      <c r="I286" s="2" t="s">
        <v>921</v>
      </c>
      <c r="J286" s="3" t="s">
        <v>1080</v>
      </c>
      <c r="K286" s="3" t="s">
        <v>892</v>
      </c>
      <c r="L286" s="3" t="s">
        <v>873</v>
      </c>
      <c r="M286" s="3"/>
      <c r="O286" t="str">
        <f t="shared" si="4"/>
        <v>"hm9", "QESS21.Q.E03S0.na", "Average hourly earnings (ordinary time and overtime)	 - $", "Hourly Earnings $", "Average hourly earnings (ordinary time and overtime)	", "$", "", "$", ",d", "qual", "number", "Line", "",</v>
      </c>
    </row>
    <row r="287" spans="1:15" ht="14.25">
      <c r="A287" s="2" t="s">
        <v>577</v>
      </c>
      <c r="B287" s="2" t="s">
        <v>575</v>
      </c>
      <c r="C287" s="2" t="s">
        <v>1195</v>
      </c>
      <c r="D287" s="2" t="s">
        <v>1020</v>
      </c>
      <c r="E287" s="2" t="s">
        <v>573</v>
      </c>
      <c r="F287" s="2" t="s">
        <v>781</v>
      </c>
      <c r="G287" s="2" t="s">
        <v>16</v>
      </c>
      <c r="H287" s="2" t="s">
        <v>16</v>
      </c>
      <c r="I287" s="2" t="s">
        <v>908</v>
      </c>
      <c r="J287" s="3" t="s">
        <v>1080</v>
      </c>
      <c r="K287" s="3" t="s">
        <v>892</v>
      </c>
      <c r="L287" s="3" t="s">
        <v>873</v>
      </c>
      <c r="M287" s="3"/>
      <c r="O287" t="str">
        <f t="shared" si="4"/>
        <v>"hm9", "QESS21.Q.E03S0.naq", "Average hourly earnings (ordinary time and overtime)	 - q/q%", "Hourly Earnings q/q%", "Average hourly earnings (ordinary time and overtime)	", "q/q%", "%", "%", ".1f", "qual", "number", "Line", "",</v>
      </c>
    </row>
    <row r="288" spans="1:15" ht="14.25">
      <c r="A288" s="2" t="s">
        <v>577</v>
      </c>
      <c r="B288" s="2" t="s">
        <v>576</v>
      </c>
      <c r="C288" s="2" t="s">
        <v>1196</v>
      </c>
      <c r="D288" s="2" t="s">
        <v>1021</v>
      </c>
      <c r="E288" s="2" t="s">
        <v>573</v>
      </c>
      <c r="F288" s="2" t="s">
        <v>782</v>
      </c>
      <c r="G288" s="2" t="s">
        <v>16</v>
      </c>
      <c r="H288" s="2" t="s">
        <v>16</v>
      </c>
      <c r="I288" s="2" t="s">
        <v>908</v>
      </c>
      <c r="J288" s="3" t="s">
        <v>1080</v>
      </c>
      <c r="K288" s="3" t="s">
        <v>892</v>
      </c>
      <c r="L288" s="3" t="s">
        <v>873</v>
      </c>
      <c r="M288" s="3"/>
      <c r="O288" t="str">
        <f t="shared" si="4"/>
        <v>"hm9", "QESS21.Q.E03S0.nay", "Average hourly earnings (ordinary time and overtime)	 - y/y%", "Hourly Earnings y/y%", "Average hourly earnings (ordinary time and overtime)	", "y/y%", "%", "%", ".1f", "qual", "number", "Line", "",</v>
      </c>
    </row>
    <row r="289" spans="1:15" ht="14.25">
      <c r="A289" s="2" t="s">
        <v>586</v>
      </c>
      <c r="B289" s="2" t="s">
        <v>580</v>
      </c>
      <c r="C289" s="2" t="s">
        <v>578</v>
      </c>
      <c r="D289" s="2"/>
      <c r="E289" s="2" t="s">
        <v>578</v>
      </c>
      <c r="F289" s="2"/>
      <c r="G289" s="2" t="s">
        <v>581</v>
      </c>
      <c r="H289" s="2" t="s">
        <v>581</v>
      </c>
      <c r="I289" s="2" t="s">
        <v>921</v>
      </c>
      <c r="J289" s="3" t="s">
        <v>1080</v>
      </c>
      <c r="K289" s="3" t="s">
        <v>909</v>
      </c>
      <c r="L289" s="3" t="s">
        <v>873</v>
      </c>
      <c r="M289" s="3"/>
      <c r="O289" t="str">
        <f t="shared" si="4"/>
        <v>"hm10", "QVB.Q.MR0H01.na", "House sales", "", "House sales", "", "no", "no", ",d", "qual", "navyspread", "Line", "",</v>
      </c>
    </row>
    <row r="290" spans="1:15" ht="14.25">
      <c r="A290" s="2" t="s">
        <v>586</v>
      </c>
      <c r="B290" s="2" t="s">
        <v>326</v>
      </c>
      <c r="C290" s="2" t="s">
        <v>582</v>
      </c>
      <c r="D290" s="2"/>
      <c r="E290" s="2" t="s">
        <v>582</v>
      </c>
      <c r="F290" s="2"/>
      <c r="G290" s="2" t="s">
        <v>58</v>
      </c>
      <c r="H290" s="2" t="s">
        <v>58</v>
      </c>
      <c r="I290" s="2" t="s">
        <v>921</v>
      </c>
      <c r="J290" s="3" t="s">
        <v>1080</v>
      </c>
      <c r="K290" s="3" t="s">
        <v>909</v>
      </c>
      <c r="L290" s="3" t="s">
        <v>873</v>
      </c>
      <c r="M290" s="3"/>
      <c r="O290" t="str">
        <f t="shared" si="4"/>
        <v>"hm10", "HPI.Q.H01T0.ia", "House price index (HPI)", "", "House price index (HPI)", "", "Index", "Index", ",d", "qual", "navyspread", "Line", "",</v>
      </c>
    </row>
    <row r="291" spans="1:15" ht="14.25">
      <c r="A291" s="2" t="s">
        <v>586</v>
      </c>
      <c r="B291" s="2" t="s">
        <v>584</v>
      </c>
      <c r="C291" s="2" t="s">
        <v>583</v>
      </c>
      <c r="D291" s="2"/>
      <c r="E291" s="2" t="s">
        <v>583</v>
      </c>
      <c r="F291" s="2"/>
      <c r="G291" s="2" t="s">
        <v>217</v>
      </c>
      <c r="H291" s="2" t="s">
        <v>217</v>
      </c>
      <c r="I291" s="2" t="s">
        <v>921</v>
      </c>
      <c r="J291" s="3" t="s">
        <v>1080</v>
      </c>
      <c r="K291" s="3" t="s">
        <v>909</v>
      </c>
      <c r="L291" s="3" t="s">
        <v>873</v>
      </c>
      <c r="M291" s="3"/>
      <c r="O291" t="str">
        <f t="shared" si="4"/>
        <v>"hm10", "HHAL.QC1", "Total value of housing stock", "", "Total value of housing stock", "", "NZDm", "NZDm", ",d", "qual", "navyspread", "Line", "",</v>
      </c>
    </row>
    <row r="292" spans="1:15" ht="14.25">
      <c r="A292" s="2" t="s">
        <v>586</v>
      </c>
      <c r="B292" s="2" t="s">
        <v>380</v>
      </c>
      <c r="C292" s="2" t="s">
        <v>585</v>
      </c>
      <c r="D292" s="2"/>
      <c r="E292" s="2" t="s">
        <v>585</v>
      </c>
      <c r="F292" s="2"/>
      <c r="G292" s="2" t="s">
        <v>352</v>
      </c>
      <c r="H292" s="2" t="s">
        <v>868</v>
      </c>
      <c r="I292" s="2" t="s">
        <v>921</v>
      </c>
      <c r="J292" s="3" t="s">
        <v>1080</v>
      </c>
      <c r="K292" s="3" t="s">
        <v>909</v>
      </c>
      <c r="L292" s="3" t="s">
        <v>873</v>
      </c>
      <c r="M292" s="3"/>
      <c r="O292" t="str">
        <f t="shared" si="4"/>
        <v>"hm10", "GDE.Q.EI24.RA", "Residential investment (GDP)", "", "Residential investment (GDP)", "", "NZDm(r)", "NZDm (r.)", ",d", "qual", "navyspread", "Line", "",</v>
      </c>
    </row>
    <row r="293" spans="1:15" ht="25.5">
      <c r="A293" s="2" t="s">
        <v>646</v>
      </c>
      <c r="B293" s="6" t="s">
        <v>589</v>
      </c>
      <c r="C293" s="2" t="s">
        <v>1029</v>
      </c>
      <c r="D293" s="2" t="s">
        <v>1029</v>
      </c>
      <c r="E293" s="5" t="s">
        <v>587</v>
      </c>
      <c r="F293" s="2"/>
      <c r="G293" s="5" t="s">
        <v>16</v>
      </c>
      <c r="H293" s="2" t="s">
        <v>1025</v>
      </c>
      <c r="I293" s="2" t="s">
        <v>731</v>
      </c>
      <c r="J293" s="3" t="s">
        <v>1080</v>
      </c>
      <c r="K293" s="3" t="s">
        <v>909</v>
      </c>
      <c r="L293" s="3" t="s">
        <v>873</v>
      </c>
      <c r="M293" s="3"/>
      <c r="O293" t="str">
        <f t="shared" si="4"/>
        <v>"hm14", "SOE.Q.E100.na", "Perception of monetary conditions (net) - End of current quarter", "Perception of monetary conditions (net) - End of current quarter", "Perception of monetary conditions (net)", "", "%", "Total %", ".2f", "qual", "navyspread", "Line", "",</v>
      </c>
    </row>
    <row r="294" spans="1:15" ht="25.5">
      <c r="A294" s="2" t="s">
        <v>646</v>
      </c>
      <c r="B294" s="6" t="s">
        <v>591</v>
      </c>
      <c r="C294" s="2" t="s">
        <v>1030</v>
      </c>
      <c r="D294" s="2" t="s">
        <v>1030</v>
      </c>
      <c r="E294" s="5" t="s">
        <v>587</v>
      </c>
      <c r="F294" s="2"/>
      <c r="G294" s="5" t="s">
        <v>16</v>
      </c>
      <c r="H294" s="2" t="s">
        <v>1025</v>
      </c>
      <c r="I294" s="2" t="s">
        <v>731</v>
      </c>
      <c r="J294" s="3" t="s">
        <v>1080</v>
      </c>
      <c r="K294" s="3" t="s">
        <v>909</v>
      </c>
      <c r="L294" s="3" t="s">
        <v>873</v>
      </c>
      <c r="M294" s="3"/>
      <c r="O294" t="str">
        <f t="shared" si="4"/>
        <v>"hm14", "SOE.Q.E101.na", "Perception of monetary conditions (net) - Next quarter", "Perception of monetary conditions (net) - Next quarter", "Perception of monetary conditions (net)", "", "%", "Total %", ".2f", "qual", "navyspread", "Line", "",</v>
      </c>
    </row>
    <row r="295" spans="1:15" ht="25.5">
      <c r="A295" s="2" t="s">
        <v>646</v>
      </c>
      <c r="B295" s="6" t="s">
        <v>593</v>
      </c>
      <c r="C295" s="2" t="s">
        <v>1028</v>
      </c>
      <c r="D295" s="2" t="s">
        <v>1028</v>
      </c>
      <c r="E295" s="5" t="s">
        <v>587</v>
      </c>
      <c r="F295" s="2"/>
      <c r="G295" s="5" t="s">
        <v>16</v>
      </c>
      <c r="H295" s="2" t="s">
        <v>1025</v>
      </c>
      <c r="I295" s="2" t="s">
        <v>731</v>
      </c>
      <c r="J295" s="3" t="s">
        <v>1080</v>
      </c>
      <c r="K295" s="3" t="s">
        <v>909</v>
      </c>
      <c r="L295" s="3" t="s">
        <v>873</v>
      </c>
      <c r="M295" s="3"/>
      <c r="O295" t="str">
        <f t="shared" si="4"/>
        <v>"hm14", "SOE.Q.E102.na", "Perception of monetary conditions (net) - 1 year out", "Perception of monetary conditions (net) - 1 year out", "Perception of monetary conditions (net)", "", "%", "Total %", ".2f", "qual", "navyspread", "Line", "",</v>
      </c>
    </row>
    <row r="296" spans="1:15" ht="14.25">
      <c r="A296" s="2" t="s">
        <v>646</v>
      </c>
      <c r="B296" s="6" t="s">
        <v>596</v>
      </c>
      <c r="C296" s="2" t="s">
        <v>1027</v>
      </c>
      <c r="D296" s="2" t="s">
        <v>1027</v>
      </c>
      <c r="E296" s="5" t="s">
        <v>594</v>
      </c>
      <c r="F296" s="2"/>
      <c r="G296" s="5" t="s">
        <v>16</v>
      </c>
      <c r="H296" s="2" t="s">
        <v>16</v>
      </c>
      <c r="I296" s="2" t="s">
        <v>731</v>
      </c>
      <c r="J296" s="3" t="s">
        <v>1080</v>
      </c>
      <c r="K296" s="3" t="s">
        <v>909</v>
      </c>
      <c r="L296" s="14" t="s">
        <v>873</v>
      </c>
      <c r="M296" s="14"/>
      <c r="O296" t="str">
        <f t="shared" si="4"/>
        <v>"hm14", "SOE.Q.E210.na", "Annual CPI growth - 1 year out", "Annual CPI growth - 1 year out", "Annual CPI growth", "", "%", "%", ".2f", "qual", "navyspread", "Line", "",</v>
      </c>
    </row>
    <row r="297" spans="1:15" ht="14.25">
      <c r="A297" s="2" t="s">
        <v>646</v>
      </c>
      <c r="B297" s="6" t="s">
        <v>598</v>
      </c>
      <c r="C297" s="2" t="s">
        <v>1031</v>
      </c>
      <c r="D297" s="2" t="s">
        <v>1031</v>
      </c>
      <c r="E297" s="5" t="s">
        <v>594</v>
      </c>
      <c r="F297" s="2"/>
      <c r="G297" s="5" t="s">
        <v>16</v>
      </c>
      <c r="H297" s="2" t="s">
        <v>16</v>
      </c>
      <c r="I297" s="2" t="s">
        <v>731</v>
      </c>
      <c r="J297" s="3" t="s">
        <v>1080</v>
      </c>
      <c r="K297" s="3" t="s">
        <v>909</v>
      </c>
      <c r="L297" s="14" t="s">
        <v>873</v>
      </c>
      <c r="M297" s="14"/>
      <c r="O297" t="str">
        <f t="shared" si="4"/>
        <v>"hm14", "SOE.Q.E215.na", "Annual CPI growth - 2 years out", "Annual CPI growth - 2 years out", "Annual CPI growth", "", "%", "%", ".2f", "qual", "navyspread", "Line", "",</v>
      </c>
    </row>
    <row r="298" spans="1:15" ht="14.25">
      <c r="A298" s="2" t="s">
        <v>646</v>
      </c>
      <c r="B298" s="6" t="s">
        <v>600</v>
      </c>
      <c r="C298" s="2" t="s">
        <v>1032</v>
      </c>
      <c r="D298" s="2" t="s">
        <v>1032</v>
      </c>
      <c r="E298" s="5" t="s">
        <v>594</v>
      </c>
      <c r="F298" s="2"/>
      <c r="G298" s="5" t="s">
        <v>16</v>
      </c>
      <c r="H298" s="2" t="s">
        <v>16</v>
      </c>
      <c r="I298" s="2" t="s">
        <v>731</v>
      </c>
      <c r="J298" s="3" t="s">
        <v>1080</v>
      </c>
      <c r="K298" s="3" t="s">
        <v>909</v>
      </c>
      <c r="L298" s="14" t="s">
        <v>873</v>
      </c>
      <c r="M298" s="14"/>
      <c r="O298" t="str">
        <f t="shared" si="4"/>
        <v>"hm14", "SOE.Q.E220.na", "Annual CPI growth - 5 years out", "Annual CPI growth - 5 years out", "Annual CPI growth", "", "%", "%", ".2f", "qual", "navyspread", "Line", "",</v>
      </c>
    </row>
    <row r="299" spans="1:15" ht="14.25">
      <c r="A299" s="2" t="s">
        <v>646</v>
      </c>
      <c r="B299" s="6" t="s">
        <v>602</v>
      </c>
      <c r="C299" s="2" t="s">
        <v>1033</v>
      </c>
      <c r="D299" s="2" t="s">
        <v>1033</v>
      </c>
      <c r="E299" s="5" t="s">
        <v>594</v>
      </c>
      <c r="F299" s="2"/>
      <c r="G299" s="5" t="s">
        <v>16</v>
      </c>
      <c r="H299" s="2" t="s">
        <v>16</v>
      </c>
      <c r="I299" s="2" t="s">
        <v>731</v>
      </c>
      <c r="J299" s="3" t="s">
        <v>1080</v>
      </c>
      <c r="K299" s="3" t="s">
        <v>909</v>
      </c>
      <c r="L299" s="14" t="s">
        <v>873</v>
      </c>
      <c r="M299" s="14"/>
      <c r="O299" t="str">
        <f t="shared" si="4"/>
        <v>"hm14", "SOE.Q.E230.na", "Annual CPI growth - 10 years out", "Annual CPI growth - 10 years out", "Annual CPI growth", "", "%", "%", ".2f", "qual", "navyspread", "Line", "",</v>
      </c>
    </row>
    <row r="300" spans="1:15" ht="14.25">
      <c r="A300" s="2" t="s">
        <v>646</v>
      </c>
      <c r="B300" s="6" t="s">
        <v>604</v>
      </c>
      <c r="C300" s="2" t="s">
        <v>1034</v>
      </c>
      <c r="D300" s="2" t="s">
        <v>1034</v>
      </c>
      <c r="E300" s="5" t="s">
        <v>119</v>
      </c>
      <c r="F300" s="2"/>
      <c r="G300" s="5" t="s">
        <v>121</v>
      </c>
      <c r="H300" s="2" t="s">
        <v>16</v>
      </c>
      <c r="I300" s="2" t="s">
        <v>731</v>
      </c>
      <c r="J300" s="3" t="s">
        <v>1080</v>
      </c>
      <c r="K300" s="3" t="s">
        <v>909</v>
      </c>
      <c r="L300" s="10" t="s">
        <v>873</v>
      </c>
      <c r="M300" s="10"/>
      <c r="O300" t="str">
        <f t="shared" si="4"/>
        <v>"hm14", "SOE.Q.E350.na", "Official Cash Rate (OCR) - End of current quarter", "Official Cash Rate (OCR) - End of current quarter", "Official Cash Rate (OCR)", "", "%pa", "%", ".2f", "qual", "navyspread", "Line", "",</v>
      </c>
    </row>
    <row r="301" spans="1:15" ht="14.25">
      <c r="A301" s="2" t="s">
        <v>646</v>
      </c>
      <c r="B301" s="6" t="s">
        <v>606</v>
      </c>
      <c r="C301" s="2" t="s">
        <v>1035</v>
      </c>
      <c r="D301" s="2" t="s">
        <v>1035</v>
      </c>
      <c r="E301" s="5" t="s">
        <v>119</v>
      </c>
      <c r="F301" s="2"/>
      <c r="G301" s="5" t="s">
        <v>121</v>
      </c>
      <c r="H301" s="2" t="s">
        <v>16</v>
      </c>
      <c r="I301" s="2" t="s">
        <v>731</v>
      </c>
      <c r="J301" s="3" t="s">
        <v>1080</v>
      </c>
      <c r="K301" s="3" t="s">
        <v>909</v>
      </c>
      <c r="L301" s="10" t="s">
        <v>873</v>
      </c>
      <c r="M301" s="10"/>
      <c r="O301" t="str">
        <f t="shared" si="4"/>
        <v>"hm14", "SOE.Q.E351.na", "Official Cash Rate (OCR) - 1 year out", "Official Cash Rate (OCR) - 1 year out", "Official Cash Rate (OCR)", "", "%pa", "%", ".2f", "qual", "navyspread", "Line", "",</v>
      </c>
    </row>
    <row r="302" spans="1:15" ht="14.25">
      <c r="A302" s="2" t="s">
        <v>646</v>
      </c>
      <c r="B302" s="6" t="s">
        <v>608</v>
      </c>
      <c r="C302" s="2" t="s">
        <v>1036</v>
      </c>
      <c r="D302" s="2" t="s">
        <v>1036</v>
      </c>
      <c r="E302" s="5" t="s">
        <v>119</v>
      </c>
      <c r="F302" s="2"/>
      <c r="G302" s="5" t="s">
        <v>121</v>
      </c>
      <c r="H302" s="2" t="s">
        <v>16</v>
      </c>
      <c r="I302" s="2" t="s">
        <v>731</v>
      </c>
      <c r="J302" s="3" t="s">
        <v>1080</v>
      </c>
      <c r="K302" s="3" t="s">
        <v>909</v>
      </c>
      <c r="L302" s="10" t="s">
        <v>873</v>
      </c>
      <c r="M302" s="10"/>
      <c r="O302" t="str">
        <f t="shared" si="4"/>
        <v>"hm14", "SOE.Q.E353.na", "Official Cash Rate (OCR) - 10 years out", "Official Cash Rate (OCR) - 10 years out", "Official Cash Rate (OCR)", "", "%pa", "%", ".2f", "qual", "navyspread", "Line", "",</v>
      </c>
    </row>
    <row r="303" spans="1:15" ht="14.25">
      <c r="A303" s="2" t="s">
        <v>646</v>
      </c>
      <c r="B303" s="6" t="s">
        <v>610</v>
      </c>
      <c r="C303" s="2" t="s">
        <v>1037</v>
      </c>
      <c r="D303" s="2" t="s">
        <v>1037</v>
      </c>
      <c r="E303" s="5" t="s">
        <v>119</v>
      </c>
      <c r="F303" s="2"/>
      <c r="G303" s="5" t="s">
        <v>121</v>
      </c>
      <c r="H303" s="2" t="s">
        <v>16</v>
      </c>
      <c r="I303" s="2" t="s">
        <v>731</v>
      </c>
      <c r="J303" s="3" t="s">
        <v>1080</v>
      </c>
      <c r="K303" s="3" t="s">
        <v>909</v>
      </c>
      <c r="L303" s="10" t="s">
        <v>873</v>
      </c>
      <c r="M303" s="10"/>
      <c r="O303" t="str">
        <f t="shared" si="4"/>
        <v>"hm14", "SOE.Q.E356.na", "Official Cash Rate (OCR) - 10 year average", "Official Cash Rate (OCR) - 10 year average", "Official Cash Rate (OCR)", "", "%pa", "%", ".2f", "qual", "navyspread", "Line", "",</v>
      </c>
    </row>
    <row r="304" spans="1:15" ht="14.25">
      <c r="A304" s="2" t="s">
        <v>646</v>
      </c>
      <c r="B304" s="6" t="s">
        <v>613</v>
      </c>
      <c r="C304" s="2" t="s">
        <v>1038</v>
      </c>
      <c r="D304" s="2" t="s">
        <v>1038</v>
      </c>
      <c r="E304" s="5" t="s">
        <v>611</v>
      </c>
      <c r="F304" s="2"/>
      <c r="G304" s="5" t="s">
        <v>121</v>
      </c>
      <c r="H304" s="2" t="s">
        <v>16</v>
      </c>
      <c r="I304" s="2" t="s">
        <v>731</v>
      </c>
      <c r="J304" s="3" t="s">
        <v>1080</v>
      </c>
      <c r="K304" s="3" t="s">
        <v>909</v>
      </c>
      <c r="L304" s="13" t="s">
        <v>873</v>
      </c>
      <c r="M304" s="13"/>
      <c r="O304" t="str">
        <f t="shared" si="4"/>
        <v>"hm14", "SOE.Q.E310.na", "10 year government bond yields - End of current quarter", "10 year government bond yields - End of current quarter", "10 year government bond yields", "", "%pa", "%", ".2f", "qual", "navyspread", "Line", "",</v>
      </c>
    </row>
    <row r="305" spans="1:15" ht="14.25">
      <c r="A305" s="2" t="s">
        <v>646</v>
      </c>
      <c r="B305" s="6" t="s">
        <v>615</v>
      </c>
      <c r="C305" s="2" t="s">
        <v>1039</v>
      </c>
      <c r="D305" s="2" t="s">
        <v>1039</v>
      </c>
      <c r="E305" s="5" t="s">
        <v>611</v>
      </c>
      <c r="F305" s="2"/>
      <c r="G305" s="5" t="s">
        <v>121</v>
      </c>
      <c r="H305" s="2" t="s">
        <v>16</v>
      </c>
      <c r="I305" s="2" t="s">
        <v>731</v>
      </c>
      <c r="J305" s="3" t="s">
        <v>1080</v>
      </c>
      <c r="K305" s="3" t="s">
        <v>909</v>
      </c>
      <c r="L305" s="13" t="s">
        <v>873</v>
      </c>
      <c r="M305" s="13"/>
      <c r="O305" t="str">
        <f t="shared" si="4"/>
        <v>"hm14", "SOE.Q.E311.na", "10 year government bond yields - 1 year out", "10 year government bond yields - 1 year out", "10 year government bond yields", "", "%pa", "%", ".2f", "qual", "navyspread", "Line", "",</v>
      </c>
    </row>
    <row r="306" spans="1:15" ht="14.25">
      <c r="A306" s="2" t="s">
        <v>646</v>
      </c>
      <c r="B306" s="6" t="s">
        <v>618</v>
      </c>
      <c r="C306" s="2" t="s">
        <v>1040</v>
      </c>
      <c r="D306" s="2" t="s">
        <v>1040</v>
      </c>
      <c r="E306" s="5" t="s">
        <v>616</v>
      </c>
      <c r="F306" s="2"/>
      <c r="G306" s="5" t="s">
        <v>16</v>
      </c>
      <c r="H306" s="2" t="s">
        <v>16</v>
      </c>
      <c r="I306" s="2" t="s">
        <v>731</v>
      </c>
      <c r="J306" s="3" t="s">
        <v>1080</v>
      </c>
      <c r="K306" s="3" t="s">
        <v>909</v>
      </c>
      <c r="L306" s="10" t="s">
        <v>873</v>
      </c>
      <c r="M306" s="10"/>
      <c r="O306" t="str">
        <f t="shared" si="4"/>
        <v>"hm14", "SOE.Q.E402.ra", "Annual GDP growth - 1 year out", "Annual GDP growth - 1 year out", "Annual GDP growth", "", "%", "%", ".2f", "qual", "navyspread", "Line", "",</v>
      </c>
    </row>
    <row r="307" spans="1:15" ht="14.25">
      <c r="A307" s="2" t="s">
        <v>646</v>
      </c>
      <c r="B307" s="6" t="s">
        <v>620</v>
      </c>
      <c r="C307" s="2" t="s">
        <v>1026</v>
      </c>
      <c r="D307" s="2" t="s">
        <v>1026</v>
      </c>
      <c r="E307" s="5" t="s">
        <v>616</v>
      </c>
      <c r="F307" s="2"/>
      <c r="G307" s="5" t="s">
        <v>16</v>
      </c>
      <c r="H307" s="2" t="s">
        <v>16</v>
      </c>
      <c r="I307" s="2" t="s">
        <v>731</v>
      </c>
      <c r="J307" s="3" t="s">
        <v>1080</v>
      </c>
      <c r="K307" s="3" t="s">
        <v>909</v>
      </c>
      <c r="L307" s="10" t="s">
        <v>873</v>
      </c>
      <c r="M307" s="10"/>
      <c r="O307" t="str">
        <f t="shared" si="4"/>
        <v>"hm14", "SOE.Q.E403.ra", "Annual GDP growth - 2 years out", "Annual GDP growth - 2 years out", "Annual GDP growth", "", "%", "%", ".2f", "qual", "navyspread", "Line", "",</v>
      </c>
    </row>
    <row r="308" spans="1:15" ht="14.25">
      <c r="A308" s="2" t="s">
        <v>646</v>
      </c>
      <c r="B308" s="6" t="s">
        <v>623</v>
      </c>
      <c r="C308" s="2" t="s">
        <v>1041</v>
      </c>
      <c r="D308" s="2" t="s">
        <v>1041</v>
      </c>
      <c r="E308" s="5" t="s">
        <v>621</v>
      </c>
      <c r="F308" s="2"/>
      <c r="G308" s="5" t="s">
        <v>16</v>
      </c>
      <c r="H308" s="2" t="s">
        <v>16</v>
      </c>
      <c r="I308" s="2" t="s">
        <v>731</v>
      </c>
      <c r="J308" s="3" t="s">
        <v>1080</v>
      </c>
      <c r="K308" s="3" t="s">
        <v>909</v>
      </c>
      <c r="L308" s="11" t="s">
        <v>873</v>
      </c>
      <c r="M308" s="11"/>
      <c r="O308" t="str">
        <f t="shared" si="4"/>
        <v>"hm14", "SOE.Q.E460.na", "Annual hourly wage growth - 1 year out", "Annual hourly wage growth - 1 year out", "Annual hourly wage growth", "", "%", "%", ".2f", "qual", "navyspread", "Line", "",</v>
      </c>
    </row>
    <row r="309" spans="1:15" ht="14.25">
      <c r="A309" s="2" t="s">
        <v>646</v>
      </c>
      <c r="B309" s="6" t="s">
        <v>625</v>
      </c>
      <c r="C309" s="2" t="s">
        <v>1042</v>
      </c>
      <c r="D309" s="2" t="s">
        <v>1042</v>
      </c>
      <c r="E309" s="5" t="s">
        <v>621</v>
      </c>
      <c r="F309" s="2"/>
      <c r="G309" s="5" t="s">
        <v>16</v>
      </c>
      <c r="H309" s="2" t="s">
        <v>16</v>
      </c>
      <c r="I309" s="2" t="s">
        <v>731</v>
      </c>
      <c r="J309" s="3" t="s">
        <v>1080</v>
      </c>
      <c r="K309" s="3" t="s">
        <v>909</v>
      </c>
      <c r="L309" s="11" t="s">
        <v>873</v>
      </c>
      <c r="M309" s="11"/>
      <c r="O309" t="str">
        <f t="shared" si="4"/>
        <v>"hm14", "SOE.Q.E461.na", "Annual hourly wage growth - 2 years out", "Annual hourly wage growth - 2 years out", "Annual hourly wage growth", "", "%", "%", ".2f", "qual", "navyspread", "Line", "",</v>
      </c>
    </row>
    <row r="310" spans="1:15" ht="14.25">
      <c r="A310" s="2" t="s">
        <v>646</v>
      </c>
      <c r="B310" s="6" t="s">
        <v>628</v>
      </c>
      <c r="C310" s="2" t="s">
        <v>1043</v>
      </c>
      <c r="D310" s="2" t="s">
        <v>1043</v>
      </c>
      <c r="E310" s="5" t="s">
        <v>626</v>
      </c>
      <c r="F310" s="2"/>
      <c r="G310" s="5" t="s">
        <v>16</v>
      </c>
      <c r="H310" s="2" t="s">
        <v>1025</v>
      </c>
      <c r="I310" s="2" t="s">
        <v>731</v>
      </c>
      <c r="J310" s="3" t="s">
        <v>1080</v>
      </c>
      <c r="K310" s="3" t="s">
        <v>909</v>
      </c>
      <c r="L310" s="12" t="s">
        <v>873</v>
      </c>
      <c r="M310" s="12"/>
      <c r="O310" t="str">
        <f t="shared" si="4"/>
        <v>"hm14", "SOE.Q.E470.na", "Unemployment rate - 1 year out", "Unemployment rate - 1 year out", "Unemployment rate", "", "%", "Total %", ".2f", "qual", "navyspread", "Line", "",</v>
      </c>
    </row>
    <row r="311" spans="1:15" ht="14.25">
      <c r="A311" s="2" t="s">
        <v>646</v>
      </c>
      <c r="B311" s="6" t="s">
        <v>630</v>
      </c>
      <c r="C311" s="2" t="s">
        <v>1044</v>
      </c>
      <c r="D311" s="2" t="s">
        <v>1044</v>
      </c>
      <c r="E311" s="5" t="s">
        <v>626</v>
      </c>
      <c r="F311" s="2"/>
      <c r="G311" s="5" t="s">
        <v>16</v>
      </c>
      <c r="H311" s="2" t="s">
        <v>1025</v>
      </c>
      <c r="I311" s="2" t="s">
        <v>731</v>
      </c>
      <c r="J311" s="3" t="s">
        <v>1080</v>
      </c>
      <c r="K311" s="3" t="s">
        <v>909</v>
      </c>
      <c r="L311" s="12" t="s">
        <v>873</v>
      </c>
      <c r="M311" s="12"/>
      <c r="O311" t="str">
        <f t="shared" si="4"/>
        <v>"hm14", "SOE.Q.E471.na", "Unemployment rate - 2 years out", "Unemployment rate - 2 years out", "Unemployment rate", "", "%", "Total %", ".2f", "qual", "navyspread", "Line", "",</v>
      </c>
    </row>
    <row r="312" spans="1:15" ht="14.25">
      <c r="A312" s="2" t="s">
        <v>646</v>
      </c>
      <c r="B312" s="6" t="s">
        <v>633</v>
      </c>
      <c r="C312" s="2" t="s">
        <v>1045</v>
      </c>
      <c r="D312" s="2" t="s">
        <v>1045</v>
      </c>
      <c r="E312" s="5" t="s">
        <v>631</v>
      </c>
      <c r="F312" s="2"/>
      <c r="G312" s="5" t="s">
        <v>62</v>
      </c>
      <c r="H312" s="2" t="s">
        <v>62</v>
      </c>
      <c r="I312" s="2" t="s">
        <v>731</v>
      </c>
      <c r="J312" s="3" t="s">
        <v>1080</v>
      </c>
      <c r="K312" s="3" t="s">
        <v>909</v>
      </c>
      <c r="L312" s="14" t="s">
        <v>873</v>
      </c>
      <c r="M312" s="14"/>
      <c r="O312" t="str">
        <f t="shared" si="4"/>
        <v>"hm14", "SOE.Q.E320.na", "US dollar exchange rate - Next quarter", "US dollar exchange rate - Next quarter", "US dollar exchange rate", "", "NZD/USD", "NZD/USD", ".2f", "qual", "navyspread", "Line", "",</v>
      </c>
    </row>
    <row r="313" spans="1:15" ht="14.25">
      <c r="A313" s="2" t="s">
        <v>646</v>
      </c>
      <c r="B313" s="6" t="s">
        <v>635</v>
      </c>
      <c r="C313" s="2" t="s">
        <v>1046</v>
      </c>
      <c r="D313" s="2" t="s">
        <v>1046</v>
      </c>
      <c r="E313" s="5" t="s">
        <v>631</v>
      </c>
      <c r="F313" s="2"/>
      <c r="G313" s="5" t="s">
        <v>62</v>
      </c>
      <c r="H313" s="2" t="s">
        <v>62</v>
      </c>
      <c r="I313" s="2" t="s">
        <v>731</v>
      </c>
      <c r="J313" s="3" t="s">
        <v>1080</v>
      </c>
      <c r="K313" s="3" t="s">
        <v>909</v>
      </c>
      <c r="L313" s="14" t="s">
        <v>873</v>
      </c>
      <c r="M313" s="14"/>
      <c r="O313" t="str">
        <f t="shared" si="4"/>
        <v>"hm14", "SOE.Q.E321.na", "US dollar exchange rate - 1 year out", "US dollar exchange rate - 1 year out", "US dollar exchange rate", "", "NZD/USD", "NZD/USD", ".2f", "qual", "navyspread", "Line", "",</v>
      </c>
    </row>
    <row r="314" spans="1:15" ht="14.25">
      <c r="A314" s="2" t="s">
        <v>646</v>
      </c>
      <c r="B314" s="6" t="s">
        <v>638</v>
      </c>
      <c r="C314" s="2" t="s">
        <v>1047</v>
      </c>
      <c r="D314" s="2" t="s">
        <v>1047</v>
      </c>
      <c r="E314" s="5" t="s">
        <v>636</v>
      </c>
      <c r="F314" s="2"/>
      <c r="G314" s="5" t="s">
        <v>68</v>
      </c>
      <c r="H314" s="2" t="s">
        <v>68</v>
      </c>
      <c r="I314" s="2" t="s">
        <v>731</v>
      </c>
      <c r="J314" s="3" t="s">
        <v>1080</v>
      </c>
      <c r="K314" s="3" t="s">
        <v>909</v>
      </c>
      <c r="L314" s="10" t="s">
        <v>873</v>
      </c>
      <c r="M314" s="10"/>
      <c r="O314" t="str">
        <f t="shared" si="4"/>
        <v>"hm14", "SOE.Q.E330.na", "Australian dollar exchange rate - Next quarter", "Australian dollar exchange rate - Next quarter", "Australian dollar exchange rate", "", "NZD/AUD", "NZD/AUD", ".2f", "qual", "navyspread", "Line", "",</v>
      </c>
    </row>
    <row r="315" spans="1:15" ht="14.25">
      <c r="A315" s="2" t="s">
        <v>646</v>
      </c>
      <c r="B315" s="6" t="s">
        <v>640</v>
      </c>
      <c r="C315" s="2" t="s">
        <v>1048</v>
      </c>
      <c r="D315" s="2" t="s">
        <v>1048</v>
      </c>
      <c r="E315" s="5" t="s">
        <v>636</v>
      </c>
      <c r="F315" s="2"/>
      <c r="G315" s="5" t="s">
        <v>68</v>
      </c>
      <c r="H315" s="2" t="s">
        <v>68</v>
      </c>
      <c r="I315" s="2" t="s">
        <v>731</v>
      </c>
      <c r="J315" s="3" t="s">
        <v>1080</v>
      </c>
      <c r="K315" s="3" t="s">
        <v>909</v>
      </c>
      <c r="L315" s="10" t="s">
        <v>873</v>
      </c>
      <c r="M315" s="10"/>
      <c r="O315" t="str">
        <f t="shared" si="4"/>
        <v>"hm14", "SOE.Q.E331.na", "Australian dollar exchange rate - 1 year out", "Australian dollar exchange rate - 1 year out", "Australian dollar exchange rate", "", "NZD/AUD", "NZD/AUD", ".2f", "qual", "navyspread", "Line", "",</v>
      </c>
    </row>
    <row r="316" spans="1:15" ht="14.25">
      <c r="A316" s="2" t="s">
        <v>646</v>
      </c>
      <c r="B316" s="6" t="s">
        <v>643</v>
      </c>
      <c r="C316" s="2" t="s">
        <v>1049</v>
      </c>
      <c r="D316" s="2" t="s">
        <v>1049</v>
      </c>
      <c r="E316" s="5" t="s">
        <v>641</v>
      </c>
      <c r="F316" s="2"/>
      <c r="G316" s="5" t="s">
        <v>16</v>
      </c>
      <c r="H316" s="2" t="s">
        <v>16</v>
      </c>
      <c r="I316" s="2" t="s">
        <v>731</v>
      </c>
      <c r="J316" s="3" t="s">
        <v>1080</v>
      </c>
      <c r="K316" s="3" t="s">
        <v>909</v>
      </c>
      <c r="L316" s="10" t="s">
        <v>873</v>
      </c>
      <c r="M316" s="10"/>
      <c r="O316" t="str">
        <f t="shared" si="4"/>
        <v>"hm14", "SOE.Q.E480.na", "House price index - 1 year out", "House price index - 1 year out", "House price index", "", "%", "%", ".2f", "qual", "navyspread", "Line", "",</v>
      </c>
    </row>
    <row r="317" spans="1:15" ht="14.25">
      <c r="A317" s="2" t="s">
        <v>646</v>
      </c>
      <c r="B317" s="6" t="s">
        <v>645</v>
      </c>
      <c r="C317" s="2" t="s">
        <v>1050</v>
      </c>
      <c r="D317" s="2" t="s">
        <v>1050</v>
      </c>
      <c r="E317" s="5" t="s">
        <v>641</v>
      </c>
      <c r="F317" s="2"/>
      <c r="G317" s="5" t="s">
        <v>16</v>
      </c>
      <c r="H317" s="2" t="s">
        <v>16</v>
      </c>
      <c r="I317" s="2" t="s">
        <v>731</v>
      </c>
      <c r="J317" s="3" t="s">
        <v>1080</v>
      </c>
      <c r="K317" s="3" t="s">
        <v>909</v>
      </c>
      <c r="L317" s="10" t="s">
        <v>873</v>
      </c>
      <c r="M317" s="10"/>
      <c r="O317" t="str">
        <f t="shared" si="4"/>
        <v>"hm14", "SOE.Q.E481.na", "House price index - 2 years out", "House price index - 2 years out", "House price index", "", "%", "%", ".2f", "qual", "navyspread", "Line", "",</v>
      </c>
    </row>
    <row r="318" spans="1:15" ht="25.5">
      <c r="A318" s="2" t="s">
        <v>727</v>
      </c>
      <c r="B318" s="6" t="s">
        <v>652</v>
      </c>
      <c r="C318" s="5" t="s">
        <v>650</v>
      </c>
      <c r="D318" s="5" t="s">
        <v>650</v>
      </c>
      <c r="E318" s="2" t="s">
        <v>861</v>
      </c>
      <c r="F318" s="2" t="s">
        <v>1055</v>
      </c>
      <c r="G318" s="5" t="s">
        <v>217</v>
      </c>
      <c r="H318" s="2" t="s">
        <v>217</v>
      </c>
      <c r="I318" s="2" t="s">
        <v>921</v>
      </c>
      <c r="J318" s="3" t="s">
        <v>1080</v>
      </c>
      <c r="K318" s="3" t="s">
        <v>53</v>
      </c>
      <c r="L318" s="3" t="s">
        <v>872</v>
      </c>
      <c r="M318" s="3"/>
      <c r="O318" t="str">
        <f t="shared" si="4"/>
        <v>"hs32", "BSPA.MAM2A4.P1", "Owner occupier property use", "Owner occupier property use", "Total", "Use", "NZDm", "NZDm", ",d", "qual", "teal_dark", "Fill", "",</v>
      </c>
    </row>
    <row r="319" spans="1:15" ht="25.5">
      <c r="A319" s="2" t="s">
        <v>727</v>
      </c>
      <c r="B319" s="6" t="s">
        <v>654</v>
      </c>
      <c r="C319" s="2" t="s">
        <v>1051</v>
      </c>
      <c r="D319" s="5" t="s">
        <v>650</v>
      </c>
      <c r="E319" s="2" t="s">
        <v>1051</v>
      </c>
      <c r="F319" s="2" t="s">
        <v>1056</v>
      </c>
      <c r="G319" s="5" t="s">
        <v>217</v>
      </c>
      <c r="H319" s="2" t="s">
        <v>217</v>
      </c>
      <c r="I319" s="2" t="s">
        <v>921</v>
      </c>
      <c r="J319" s="3" t="s">
        <v>1080</v>
      </c>
      <c r="K319" s="3" t="s">
        <v>53</v>
      </c>
      <c r="L319" s="3" t="s">
        <v>872</v>
      </c>
      <c r="M319" s="3"/>
      <c r="O319" t="str">
        <f t="shared" si="4"/>
        <v>"hs32", "BSPA.MAM2A4.P1H1", "Interest only", "Owner occupier property use", "Interest only", "Type", "NZDm", "NZDm", ",d", "qual", "teal_dark", "Fill", "",</v>
      </c>
    </row>
    <row r="320" spans="1:15" ht="25.5">
      <c r="A320" s="2" t="s">
        <v>727</v>
      </c>
      <c r="B320" s="6" t="s">
        <v>656</v>
      </c>
      <c r="C320" s="2" t="s">
        <v>1052</v>
      </c>
      <c r="D320" s="5" t="s">
        <v>650</v>
      </c>
      <c r="E320" s="2" t="s">
        <v>1052</v>
      </c>
      <c r="F320" s="2" t="s">
        <v>1056</v>
      </c>
      <c r="G320" s="5" t="s">
        <v>217</v>
      </c>
      <c r="H320" s="2" t="s">
        <v>217</v>
      </c>
      <c r="I320" s="2" t="s">
        <v>921</v>
      </c>
      <c r="J320" s="3" t="s">
        <v>1080</v>
      </c>
      <c r="K320" s="3" t="s">
        <v>53</v>
      </c>
      <c r="L320" s="3" t="s">
        <v>872</v>
      </c>
      <c r="M320" s="3"/>
      <c r="O320" t="str">
        <f t="shared" si="4"/>
        <v>"hs32", "BSPA.MAM2A4.P1H2", "Revolving credit", "Owner occupier property use", "Revolving credit", "Type", "NZDm", "NZDm", ",d", "qual", "teal_dark", "Fill", "",</v>
      </c>
    </row>
    <row r="321" spans="1:15" ht="25.5">
      <c r="A321" s="2" t="s">
        <v>727</v>
      </c>
      <c r="B321" s="6" t="s">
        <v>658</v>
      </c>
      <c r="C321" s="2" t="s">
        <v>1053</v>
      </c>
      <c r="D321" s="5" t="s">
        <v>650</v>
      </c>
      <c r="E321" s="2" t="s">
        <v>1053</v>
      </c>
      <c r="F321" s="2" t="s">
        <v>1056</v>
      </c>
      <c r="G321" s="5" t="s">
        <v>217</v>
      </c>
      <c r="H321" s="2" t="s">
        <v>217</v>
      </c>
      <c r="I321" s="2" t="s">
        <v>921</v>
      </c>
      <c r="J321" s="3" t="s">
        <v>1080</v>
      </c>
      <c r="K321" s="3" t="s">
        <v>53</v>
      </c>
      <c r="L321" s="3" t="s">
        <v>872</v>
      </c>
      <c r="M321" s="3"/>
      <c r="O321" t="str">
        <f t="shared" si="4"/>
        <v>"hs32", "BSPA.MAM2A4.P1H3", "Principal &amp; interest", "Owner occupier property use", "Principal &amp; interest", "Type", "NZDm", "NZDm", ",d", "qual", "teal_dark", "Fill", "",</v>
      </c>
    </row>
    <row r="322" spans="1:15" ht="25.5">
      <c r="A322" s="2" t="s">
        <v>727</v>
      </c>
      <c r="B322" s="6" t="s">
        <v>660</v>
      </c>
      <c r="C322" s="2" t="s">
        <v>1054</v>
      </c>
      <c r="D322" s="5" t="s">
        <v>650</v>
      </c>
      <c r="E322" s="2" t="s">
        <v>1054</v>
      </c>
      <c r="F322" s="2" t="s">
        <v>1056</v>
      </c>
      <c r="G322" s="5" t="s">
        <v>217</v>
      </c>
      <c r="H322" s="2" t="s">
        <v>217</v>
      </c>
      <c r="I322" s="2" t="s">
        <v>921</v>
      </c>
      <c r="J322" s="3" t="s">
        <v>1080</v>
      </c>
      <c r="K322" s="3" t="s">
        <v>53</v>
      </c>
      <c r="L322" s="3" t="s">
        <v>872</v>
      </c>
      <c r="M322" s="3"/>
      <c r="O322" t="str">
        <f t="shared" si="4"/>
        <v>"hs32", "BSPA.MAM2A4.P1H6", "Other", "Owner occupier property use", "Other", "Type", "NZDm", "NZDm", ",d", "qual", "teal_dark", "Fill", "",</v>
      </c>
    </row>
    <row r="323" spans="1:15" ht="25.5">
      <c r="A323" s="2" t="s">
        <v>727</v>
      </c>
      <c r="B323" s="6" t="s">
        <v>663</v>
      </c>
      <c r="C323" s="5" t="s">
        <v>661</v>
      </c>
      <c r="D323" s="5" t="s">
        <v>661</v>
      </c>
      <c r="E323" s="2" t="s">
        <v>861</v>
      </c>
      <c r="F323" s="2" t="s">
        <v>1055</v>
      </c>
      <c r="G323" s="5" t="s">
        <v>217</v>
      </c>
      <c r="H323" s="2" t="s">
        <v>217</v>
      </c>
      <c r="I323" s="2" t="s">
        <v>921</v>
      </c>
      <c r="J323" s="3" t="s">
        <v>1080</v>
      </c>
      <c r="K323" s="3" t="s">
        <v>53</v>
      </c>
      <c r="L323" s="3" t="s">
        <v>872</v>
      </c>
      <c r="M323" s="3"/>
      <c r="O323" t="str">
        <f t="shared" ref="O323:O381" si="5">""""&amp;_xlfn.TEXTJOIN(""", """,FALSE,A323:M323)&amp;""""&amp;","</f>
        <v>"hs32", "BSPA.MAM3A4.P1", "Residential investor property use", "Residential investor property use", "Total", "Use", "NZDm", "NZDm", ",d", "qual", "teal_dark", "Fill", "",</v>
      </c>
    </row>
    <row r="324" spans="1:15" ht="25.5">
      <c r="A324" s="2" t="s">
        <v>727</v>
      </c>
      <c r="B324" s="6" t="s">
        <v>665</v>
      </c>
      <c r="C324" s="2" t="s">
        <v>1051</v>
      </c>
      <c r="D324" s="5" t="s">
        <v>661</v>
      </c>
      <c r="E324" s="2" t="s">
        <v>1051</v>
      </c>
      <c r="F324" s="2" t="s">
        <v>1056</v>
      </c>
      <c r="G324" s="5" t="s">
        <v>217</v>
      </c>
      <c r="H324" s="2" t="s">
        <v>217</v>
      </c>
      <c r="I324" s="2" t="s">
        <v>921</v>
      </c>
      <c r="J324" s="3" t="s">
        <v>1080</v>
      </c>
      <c r="K324" s="3" t="s">
        <v>53</v>
      </c>
      <c r="L324" s="3" t="s">
        <v>872</v>
      </c>
      <c r="M324" s="3"/>
      <c r="O324" t="str">
        <f t="shared" si="5"/>
        <v>"hs32", "BSPA.MAM3A4.P1N1", "Interest only", "Residential investor property use", "Interest only", "Type", "NZDm", "NZDm", ",d", "qual", "teal_dark", "Fill", "",</v>
      </c>
    </row>
    <row r="325" spans="1:15" ht="25.5">
      <c r="A325" s="2" t="s">
        <v>727</v>
      </c>
      <c r="B325" s="6" t="s">
        <v>667</v>
      </c>
      <c r="C325" s="2" t="s">
        <v>1052</v>
      </c>
      <c r="D325" s="5" t="s">
        <v>661</v>
      </c>
      <c r="E325" s="2" t="s">
        <v>1052</v>
      </c>
      <c r="F325" s="2" t="s">
        <v>1056</v>
      </c>
      <c r="G325" s="5" t="s">
        <v>217</v>
      </c>
      <c r="H325" s="2" t="s">
        <v>217</v>
      </c>
      <c r="I325" s="2" t="s">
        <v>921</v>
      </c>
      <c r="J325" s="3" t="s">
        <v>1080</v>
      </c>
      <c r="K325" s="3" t="s">
        <v>53</v>
      </c>
      <c r="L325" s="3" t="s">
        <v>872</v>
      </c>
      <c r="M325" s="3"/>
      <c r="O325" t="str">
        <f t="shared" si="5"/>
        <v>"hs32", "BSPA.MAM3A4.P1N2", "Revolving credit", "Residential investor property use", "Revolving credit", "Type", "NZDm", "NZDm", ",d", "qual", "teal_dark", "Fill", "",</v>
      </c>
    </row>
    <row r="326" spans="1:15" ht="25.5">
      <c r="A326" s="2" t="s">
        <v>727</v>
      </c>
      <c r="B326" s="6" t="s">
        <v>669</v>
      </c>
      <c r="C326" s="2" t="s">
        <v>1053</v>
      </c>
      <c r="D326" s="5" t="s">
        <v>661</v>
      </c>
      <c r="E326" s="2" t="s">
        <v>1053</v>
      </c>
      <c r="F326" s="2" t="s">
        <v>1056</v>
      </c>
      <c r="G326" s="5" t="s">
        <v>217</v>
      </c>
      <c r="H326" s="2" t="s">
        <v>217</v>
      </c>
      <c r="I326" s="2" t="s">
        <v>921</v>
      </c>
      <c r="J326" s="3" t="s">
        <v>1080</v>
      </c>
      <c r="K326" s="3" t="s">
        <v>53</v>
      </c>
      <c r="L326" s="3" t="s">
        <v>872</v>
      </c>
      <c r="M326" s="3"/>
      <c r="O326" t="str">
        <f t="shared" si="5"/>
        <v>"hs32", "BSPA.MAM3A4.P1N3", "Principal &amp; interest", "Residential investor property use", "Principal &amp; interest", "Type", "NZDm", "NZDm", ",d", "qual", "teal_dark", "Fill", "",</v>
      </c>
    </row>
    <row r="327" spans="1:15" ht="25.5">
      <c r="A327" s="2" t="s">
        <v>727</v>
      </c>
      <c r="B327" s="6" t="s">
        <v>671</v>
      </c>
      <c r="C327" s="2" t="s">
        <v>1054</v>
      </c>
      <c r="D327" s="5" t="s">
        <v>661</v>
      </c>
      <c r="E327" s="2" t="s">
        <v>1054</v>
      </c>
      <c r="F327" s="2" t="s">
        <v>1056</v>
      </c>
      <c r="G327" s="5" t="s">
        <v>217</v>
      </c>
      <c r="H327" s="2" t="s">
        <v>217</v>
      </c>
      <c r="I327" s="2" t="s">
        <v>921</v>
      </c>
      <c r="J327" s="3" t="s">
        <v>1080</v>
      </c>
      <c r="K327" s="3" t="s">
        <v>53</v>
      </c>
      <c r="L327" s="3" t="s">
        <v>872</v>
      </c>
      <c r="M327" s="3"/>
      <c r="O327" t="str">
        <f t="shared" si="5"/>
        <v>"hs32", "BSPA.MAM3A4.P1N9", "Other", "Residential investor property use", "Other", "Type", "NZDm", "NZDm", ",d", "qual", "teal_dark", "Fill", "",</v>
      </c>
    </row>
    <row r="328" spans="1:15" ht="14.25">
      <c r="A328" s="2" t="s">
        <v>727</v>
      </c>
      <c r="B328" s="6" t="s">
        <v>674</v>
      </c>
      <c r="C328" s="5" t="s">
        <v>672</v>
      </c>
      <c r="D328" s="5" t="s">
        <v>672</v>
      </c>
      <c r="E328" s="2" t="s">
        <v>861</v>
      </c>
      <c r="F328" s="2" t="s">
        <v>1055</v>
      </c>
      <c r="G328" s="5" t="s">
        <v>217</v>
      </c>
      <c r="H328" s="2" t="s">
        <v>217</v>
      </c>
      <c r="I328" s="2" t="s">
        <v>921</v>
      </c>
      <c r="J328" s="3" t="s">
        <v>1080</v>
      </c>
      <c r="K328" s="3" t="s">
        <v>53</v>
      </c>
      <c r="L328" s="3" t="s">
        <v>872</v>
      </c>
      <c r="M328" s="3"/>
      <c r="O328" t="str">
        <f t="shared" si="5"/>
        <v>"hs32", "BSPAS.MAN1A4.P2", "Personal consumer loans", "Personal consumer loans", "Total", "Use", "NZDm", "NZDm", ",d", "qual", "teal_dark", "Fill", "",</v>
      </c>
    </row>
    <row r="329" spans="1:15" ht="14.25">
      <c r="A329" s="2" t="s">
        <v>727</v>
      </c>
      <c r="B329" s="6" t="s">
        <v>676</v>
      </c>
      <c r="C329" s="2" t="s">
        <v>1051</v>
      </c>
      <c r="D329" s="5" t="s">
        <v>672</v>
      </c>
      <c r="E329" s="2" t="s">
        <v>1197</v>
      </c>
      <c r="F329" s="2" t="s">
        <v>1056</v>
      </c>
      <c r="G329" s="5" t="s">
        <v>217</v>
      </c>
      <c r="H329" s="2" t="s">
        <v>217</v>
      </c>
      <c r="I329" s="2" t="s">
        <v>921</v>
      </c>
      <c r="J329" s="3" t="s">
        <v>1080</v>
      </c>
      <c r="K329" s="3" t="s">
        <v>53</v>
      </c>
      <c r="L329" s="3" t="s">
        <v>872</v>
      </c>
      <c r="M329" s="3"/>
      <c r="O329" t="str">
        <f t="shared" si="5"/>
        <v>"hs32", "BSPA.MAN1A4.P2C1", "Interest only", "Personal consumer loans", "Overdrafts", "Type", "NZDm", "NZDm", ",d", "qual", "teal_dark", "Fill", "",</v>
      </c>
    </row>
    <row r="330" spans="1:15" ht="14.25">
      <c r="A330" s="2" t="s">
        <v>727</v>
      </c>
      <c r="B330" s="6" t="s">
        <v>678</v>
      </c>
      <c r="C330" s="2" t="s">
        <v>1052</v>
      </c>
      <c r="D330" s="5" t="s">
        <v>672</v>
      </c>
      <c r="E330" s="2" t="s">
        <v>1198</v>
      </c>
      <c r="F330" s="2" t="s">
        <v>1056</v>
      </c>
      <c r="G330" s="5" t="s">
        <v>217</v>
      </c>
      <c r="H330" s="2" t="s">
        <v>217</v>
      </c>
      <c r="I330" s="2" t="s">
        <v>921</v>
      </c>
      <c r="J330" s="3" t="s">
        <v>1080</v>
      </c>
      <c r="K330" s="3" t="s">
        <v>53</v>
      </c>
      <c r="L330" s="3" t="s">
        <v>872</v>
      </c>
      <c r="M330" s="3"/>
      <c r="O330" t="str">
        <f t="shared" si="5"/>
        <v>"hs32", "BSPA.MAN1A4.P2C2", "Revolving credit", "Personal consumer loans", "Credit cards", "Type", "NZDm", "NZDm", ",d", "qual", "teal_dark", "Fill", "",</v>
      </c>
    </row>
    <row r="331" spans="1:15" ht="14.25">
      <c r="A331" s="2" t="s">
        <v>727</v>
      </c>
      <c r="B331" s="6" t="s">
        <v>680</v>
      </c>
      <c r="C331" s="2" t="s">
        <v>1053</v>
      </c>
      <c r="D331" s="5" t="s">
        <v>672</v>
      </c>
      <c r="E331" s="2" t="s">
        <v>1199</v>
      </c>
      <c r="F331" s="2" t="s">
        <v>1056</v>
      </c>
      <c r="G331" s="5" t="s">
        <v>217</v>
      </c>
      <c r="H331" s="2" t="s">
        <v>217</v>
      </c>
      <c r="I331" s="2" t="s">
        <v>921</v>
      </c>
      <c r="J331" s="3" t="s">
        <v>1080</v>
      </c>
      <c r="K331" s="3" t="s">
        <v>53</v>
      </c>
      <c r="L331" s="3" t="s">
        <v>872</v>
      </c>
      <c r="M331" s="3"/>
      <c r="O331" t="str">
        <f t="shared" si="5"/>
        <v>"hs32", "BSPA.MAN1A4.P2C3", "Principal &amp; interest", "Personal consumer loans", "Term loans", "Type", "NZDm", "NZDm", ",d", "qual", "teal_dark", "Fill", "",</v>
      </c>
    </row>
    <row r="332" spans="1:15" ht="14.25">
      <c r="A332" s="2" t="s">
        <v>727</v>
      </c>
      <c r="B332" s="6" t="s">
        <v>682</v>
      </c>
      <c r="C332" s="2" t="s">
        <v>1054</v>
      </c>
      <c r="D332" s="5" t="s">
        <v>672</v>
      </c>
      <c r="E332" s="2" t="s">
        <v>1054</v>
      </c>
      <c r="F332" s="2" t="s">
        <v>1056</v>
      </c>
      <c r="G332" s="5" t="s">
        <v>217</v>
      </c>
      <c r="H332" s="2" t="s">
        <v>217</v>
      </c>
      <c r="I332" s="2" t="s">
        <v>921</v>
      </c>
      <c r="J332" s="3" t="s">
        <v>1080</v>
      </c>
      <c r="K332" s="3" t="s">
        <v>53</v>
      </c>
      <c r="L332" s="3" t="s">
        <v>872</v>
      </c>
      <c r="M332" s="3"/>
      <c r="O332" t="str">
        <f t="shared" si="5"/>
        <v>"hs32", "BSPA.MAN1A4.P2C9", "Other", "Personal consumer loans", "Other", "Type", "NZDm", "NZDm", ",d", "qual", "teal_dark", "Fill", "",</v>
      </c>
    </row>
    <row r="333" spans="1:15" ht="14.25">
      <c r="A333" s="2" t="s">
        <v>727</v>
      </c>
      <c r="B333" s="6" t="s">
        <v>685</v>
      </c>
      <c r="C333" s="5" t="s">
        <v>683</v>
      </c>
      <c r="D333" s="5" t="s">
        <v>683</v>
      </c>
      <c r="E333" s="2" t="s">
        <v>861</v>
      </c>
      <c r="F333" s="2" t="s">
        <v>1055</v>
      </c>
      <c r="G333" s="5" t="s">
        <v>217</v>
      </c>
      <c r="H333" s="2" t="s">
        <v>217</v>
      </c>
      <c r="I333" s="2" t="s">
        <v>921</v>
      </c>
      <c r="J333" s="3" t="s">
        <v>1080</v>
      </c>
      <c r="K333" s="3" t="s">
        <v>53</v>
      </c>
      <c r="L333" s="3" t="s">
        <v>872</v>
      </c>
      <c r="M333" s="3"/>
      <c r="O333" t="str">
        <f t="shared" si="5"/>
        <v>"hs32", "BSPAS.MALA4.P3", "Business loans", "Business loans", "Total", "Use", "NZDm", "NZDm", ",d", "qual", "teal_dark", "Fill", "",</v>
      </c>
    </row>
    <row r="334" spans="1:15" ht="14.25">
      <c r="A334" s="2" t="s">
        <v>727</v>
      </c>
      <c r="B334" s="6" t="s">
        <v>687</v>
      </c>
      <c r="C334" s="2" t="s">
        <v>1051</v>
      </c>
      <c r="D334" s="5" t="s">
        <v>683</v>
      </c>
      <c r="E334" s="2" t="s">
        <v>1051</v>
      </c>
      <c r="F334" s="2" t="s">
        <v>1056</v>
      </c>
      <c r="G334" s="5" t="s">
        <v>217</v>
      </c>
      <c r="H334" s="2" t="s">
        <v>217</v>
      </c>
      <c r="I334" s="2" t="s">
        <v>921</v>
      </c>
      <c r="J334" s="3" t="s">
        <v>1080</v>
      </c>
      <c r="K334" s="3" t="s">
        <v>53</v>
      </c>
      <c r="L334" s="3" t="s">
        <v>872</v>
      </c>
      <c r="M334" s="3"/>
      <c r="O334" t="str">
        <f t="shared" si="5"/>
        <v>"hs32", "BSPA.MALA4.P3N1", "Interest only", "Business loans", "Interest only", "Type", "NZDm", "NZDm", ",d", "qual", "teal_dark", "Fill", "",</v>
      </c>
    </row>
    <row r="335" spans="1:15" ht="14.25">
      <c r="A335" s="2" t="s">
        <v>727</v>
      </c>
      <c r="B335" s="6" t="s">
        <v>689</v>
      </c>
      <c r="C335" s="2" t="s">
        <v>1052</v>
      </c>
      <c r="D335" s="5" t="s">
        <v>683</v>
      </c>
      <c r="E335" s="2" t="s">
        <v>1052</v>
      </c>
      <c r="F335" s="2" t="s">
        <v>1056</v>
      </c>
      <c r="G335" s="5" t="s">
        <v>217</v>
      </c>
      <c r="H335" s="2" t="s">
        <v>217</v>
      </c>
      <c r="I335" s="2" t="s">
        <v>921</v>
      </c>
      <c r="J335" s="3" t="s">
        <v>1080</v>
      </c>
      <c r="K335" s="3" t="s">
        <v>53</v>
      </c>
      <c r="L335" s="3" t="s">
        <v>872</v>
      </c>
      <c r="M335" s="3"/>
      <c r="O335" t="str">
        <f t="shared" si="5"/>
        <v>"hs32", "BSPA.MALA4.P3N2", "Revolving credit", "Business loans", "Revolving credit", "Type", "NZDm", "NZDm", ",d", "qual", "teal_dark", "Fill", "",</v>
      </c>
    </row>
    <row r="336" spans="1:15" ht="14.25">
      <c r="A336" s="2" t="s">
        <v>727</v>
      </c>
      <c r="B336" s="6" t="s">
        <v>691</v>
      </c>
      <c r="C336" s="2" t="s">
        <v>1053</v>
      </c>
      <c r="D336" s="5" t="s">
        <v>683</v>
      </c>
      <c r="E336" s="2" t="s">
        <v>1053</v>
      </c>
      <c r="F336" s="2" t="s">
        <v>1056</v>
      </c>
      <c r="G336" s="5" t="s">
        <v>217</v>
      </c>
      <c r="H336" s="2" t="s">
        <v>217</v>
      </c>
      <c r="I336" s="2" t="s">
        <v>921</v>
      </c>
      <c r="J336" s="3" t="s">
        <v>1080</v>
      </c>
      <c r="K336" s="3" t="s">
        <v>53</v>
      </c>
      <c r="L336" s="3" t="s">
        <v>872</v>
      </c>
      <c r="M336" s="3"/>
      <c r="O336" t="str">
        <f t="shared" si="5"/>
        <v>"hs32", "BSPA.MALA4.P3N3", "Principal &amp; interest", "Business loans", "Principal &amp; interest", "Type", "NZDm", "NZDm", ",d", "qual", "teal_dark", "Fill", "",</v>
      </c>
    </row>
    <row r="337" spans="1:15" ht="14.25">
      <c r="A337" s="2" t="s">
        <v>727</v>
      </c>
      <c r="B337" s="6" t="s">
        <v>693</v>
      </c>
      <c r="C337" s="2" t="s">
        <v>1054</v>
      </c>
      <c r="D337" s="5" t="s">
        <v>683</v>
      </c>
      <c r="E337" s="2" t="s">
        <v>1054</v>
      </c>
      <c r="F337" s="2" t="s">
        <v>1056</v>
      </c>
      <c r="G337" s="5" t="s">
        <v>217</v>
      </c>
      <c r="H337" s="2" t="s">
        <v>217</v>
      </c>
      <c r="I337" s="2" t="s">
        <v>921</v>
      </c>
      <c r="J337" s="3" t="s">
        <v>1080</v>
      </c>
      <c r="K337" s="3" t="s">
        <v>53</v>
      </c>
      <c r="L337" s="3" t="s">
        <v>872</v>
      </c>
      <c r="M337" s="3"/>
      <c r="O337" t="str">
        <f t="shared" si="5"/>
        <v>"hs32", "BSPA.MALA4.P3N6", "Other", "Business loans", "Other", "Type", "NZDm", "NZDm", ",d", "qual", "teal_dark", "Fill", "",</v>
      </c>
    </row>
    <row r="338" spans="1:15" ht="14.25">
      <c r="A338" s="2" t="s">
        <v>727</v>
      </c>
      <c r="B338" s="6" t="s">
        <v>696</v>
      </c>
      <c r="C338" s="5" t="s">
        <v>694</v>
      </c>
      <c r="D338" s="5" t="s">
        <v>694</v>
      </c>
      <c r="E338" s="2" t="s">
        <v>861</v>
      </c>
      <c r="F338" s="2" t="s">
        <v>1055</v>
      </c>
      <c r="G338" s="5" t="s">
        <v>217</v>
      </c>
      <c r="H338" s="2" t="s">
        <v>217</v>
      </c>
      <c r="I338" s="2" t="s">
        <v>921</v>
      </c>
      <c r="J338" s="3" t="s">
        <v>1080</v>
      </c>
      <c r="K338" s="3" t="s">
        <v>53</v>
      </c>
      <c r="L338" s="3" t="s">
        <v>872</v>
      </c>
      <c r="M338" s="3"/>
      <c r="O338" t="str">
        <f t="shared" si="5"/>
        <v>"hs32", "BSPAS.MALA4.P4ZA", "Agriculture loans", "Agriculture loans", "Total", "Use", "NZDm", "NZDm", ",d", "qual", "teal_dark", "Fill", "",</v>
      </c>
    </row>
    <row r="339" spans="1:15" ht="14.25">
      <c r="A339" s="2" t="s">
        <v>727</v>
      </c>
      <c r="B339" s="6" t="s">
        <v>698</v>
      </c>
      <c r="C339" s="2" t="s">
        <v>1051</v>
      </c>
      <c r="D339" s="5" t="s">
        <v>694</v>
      </c>
      <c r="E339" s="2" t="s">
        <v>1051</v>
      </c>
      <c r="F339" s="2" t="s">
        <v>1056</v>
      </c>
      <c r="G339" s="5" t="s">
        <v>217</v>
      </c>
      <c r="H339" s="2" t="s">
        <v>217</v>
      </c>
      <c r="I339" s="2" t="s">
        <v>921</v>
      </c>
      <c r="J339" s="3" t="s">
        <v>1080</v>
      </c>
      <c r="K339" s="3" t="s">
        <v>53</v>
      </c>
      <c r="L339" s="3" t="s">
        <v>872</v>
      </c>
      <c r="M339" s="3"/>
      <c r="O339" t="str">
        <f t="shared" si="5"/>
        <v>"hs32", "BSPA.MALA4.P4N1A", "Interest only", "Agriculture loans", "Interest only", "Type", "NZDm", "NZDm", ",d", "qual", "teal_dark", "Fill", "",</v>
      </c>
    </row>
    <row r="340" spans="1:15" ht="14.25">
      <c r="A340" s="2" t="s">
        <v>727</v>
      </c>
      <c r="B340" s="6" t="s">
        <v>700</v>
      </c>
      <c r="C340" s="2" t="s">
        <v>1052</v>
      </c>
      <c r="D340" s="5" t="s">
        <v>694</v>
      </c>
      <c r="E340" s="2" t="s">
        <v>1052</v>
      </c>
      <c r="F340" s="2" t="s">
        <v>1056</v>
      </c>
      <c r="G340" s="5" t="s">
        <v>217</v>
      </c>
      <c r="H340" s="2" t="s">
        <v>217</v>
      </c>
      <c r="I340" s="2" t="s">
        <v>921</v>
      </c>
      <c r="J340" s="3" t="s">
        <v>1080</v>
      </c>
      <c r="K340" s="3" t="s">
        <v>53</v>
      </c>
      <c r="L340" s="3" t="s">
        <v>872</v>
      </c>
      <c r="M340" s="3"/>
      <c r="O340" t="str">
        <f t="shared" si="5"/>
        <v>"hs32", "BSPA.MALA4.P4N2A", "Revolving credit", "Agriculture loans", "Revolving credit", "Type", "NZDm", "NZDm", ",d", "qual", "teal_dark", "Fill", "",</v>
      </c>
    </row>
    <row r="341" spans="1:15" ht="14.25">
      <c r="A341" s="2" t="s">
        <v>727</v>
      </c>
      <c r="B341" s="6" t="s">
        <v>702</v>
      </c>
      <c r="C341" s="2" t="s">
        <v>1053</v>
      </c>
      <c r="D341" s="5" t="s">
        <v>694</v>
      </c>
      <c r="E341" s="2" t="s">
        <v>1053</v>
      </c>
      <c r="F341" s="2" t="s">
        <v>1056</v>
      </c>
      <c r="G341" s="5" t="s">
        <v>217</v>
      </c>
      <c r="H341" s="2" t="s">
        <v>217</v>
      </c>
      <c r="I341" s="2" t="s">
        <v>921</v>
      </c>
      <c r="J341" s="3" t="s">
        <v>1080</v>
      </c>
      <c r="K341" s="3" t="s">
        <v>53</v>
      </c>
      <c r="L341" s="3" t="s">
        <v>872</v>
      </c>
      <c r="M341" s="3"/>
      <c r="O341" t="str">
        <f t="shared" si="5"/>
        <v>"hs32", "BSPA.MALA4.P4N3A", "Principal &amp; interest", "Agriculture loans", "Principal &amp; interest", "Type", "NZDm", "NZDm", ",d", "qual", "teal_dark", "Fill", "",</v>
      </c>
    </row>
    <row r="342" spans="1:15" ht="14.25">
      <c r="A342" s="2" t="s">
        <v>727</v>
      </c>
      <c r="B342" s="6" t="s">
        <v>704</v>
      </c>
      <c r="C342" s="2" t="s">
        <v>1054</v>
      </c>
      <c r="D342" s="5" t="s">
        <v>694</v>
      </c>
      <c r="E342" s="2" t="s">
        <v>1054</v>
      </c>
      <c r="F342" s="2" t="s">
        <v>1056</v>
      </c>
      <c r="G342" s="5" t="s">
        <v>217</v>
      </c>
      <c r="H342" s="2" t="s">
        <v>217</v>
      </c>
      <c r="I342" s="2" t="s">
        <v>921</v>
      </c>
      <c r="J342" s="3" t="s">
        <v>1080</v>
      </c>
      <c r="K342" s="3" t="s">
        <v>53</v>
      </c>
      <c r="L342" s="3" t="s">
        <v>872</v>
      </c>
      <c r="M342" s="3"/>
      <c r="O342" t="str">
        <f t="shared" si="5"/>
        <v>"hs32", "BSPA.MALA4.P4N6A", "Other", "Agriculture loans", "Other", "Type", "NZDm", "NZDm", ",d", "qual", "teal_dark", "Fill", "",</v>
      </c>
    </row>
    <row r="343" spans="1:15" ht="25.5">
      <c r="A343" s="2" t="s">
        <v>727</v>
      </c>
      <c r="B343" s="6" t="s">
        <v>707</v>
      </c>
      <c r="C343" s="5" t="s">
        <v>705</v>
      </c>
      <c r="D343" s="5" t="s">
        <v>705</v>
      </c>
      <c r="E343" s="2" t="s">
        <v>861</v>
      </c>
      <c r="F343" s="2" t="s">
        <v>1055</v>
      </c>
      <c r="G343" s="5" t="s">
        <v>217</v>
      </c>
      <c r="H343" s="2" t="s">
        <v>217</v>
      </c>
      <c r="I343" s="2" t="s">
        <v>921</v>
      </c>
      <c r="J343" s="3" t="s">
        <v>1080</v>
      </c>
      <c r="K343" s="3" t="s">
        <v>53</v>
      </c>
      <c r="L343" s="3" t="s">
        <v>872</v>
      </c>
      <c r="M343" s="3"/>
      <c r="O343" t="str">
        <f t="shared" si="5"/>
        <v>"hs32", "BSPA.MALA4.P5", "Financial institutions loans", "Financial institutions loans", "Total", "Use", "NZDm", "NZDm", ",d", "qual", "teal_dark", "Fill", "",</v>
      </c>
    </row>
    <row r="344" spans="1:15" ht="25.5">
      <c r="A344" s="2" t="s">
        <v>727</v>
      </c>
      <c r="B344" s="6" t="s">
        <v>709</v>
      </c>
      <c r="C344" s="2" t="s">
        <v>1051</v>
      </c>
      <c r="D344" s="5" t="s">
        <v>705</v>
      </c>
      <c r="E344" s="2" t="s">
        <v>1051</v>
      </c>
      <c r="F344" s="2" t="s">
        <v>1056</v>
      </c>
      <c r="G344" s="5" t="s">
        <v>217</v>
      </c>
      <c r="H344" s="2" t="s">
        <v>217</v>
      </c>
      <c r="I344" s="2" t="s">
        <v>921</v>
      </c>
      <c r="J344" s="3" t="s">
        <v>1080</v>
      </c>
      <c r="K344" s="3" t="s">
        <v>53</v>
      </c>
      <c r="L344" s="3" t="s">
        <v>872</v>
      </c>
      <c r="M344" s="3"/>
      <c r="O344" t="str">
        <f t="shared" si="5"/>
        <v>"hs32", "BSPA.MALA4.P5N1", "Interest only", "Financial institutions loans", "Interest only", "Type", "NZDm", "NZDm", ",d", "qual", "teal_dark", "Fill", "",</v>
      </c>
    </row>
    <row r="345" spans="1:15" ht="25.5">
      <c r="A345" s="2" t="s">
        <v>727</v>
      </c>
      <c r="B345" s="6" t="s">
        <v>711</v>
      </c>
      <c r="C345" s="2" t="s">
        <v>1052</v>
      </c>
      <c r="D345" s="5" t="s">
        <v>705</v>
      </c>
      <c r="E345" s="2" t="s">
        <v>1052</v>
      </c>
      <c r="F345" s="2" t="s">
        <v>1056</v>
      </c>
      <c r="G345" s="5" t="s">
        <v>217</v>
      </c>
      <c r="H345" s="2" t="s">
        <v>217</v>
      </c>
      <c r="I345" s="2" t="s">
        <v>921</v>
      </c>
      <c r="J345" s="3" t="s">
        <v>1080</v>
      </c>
      <c r="K345" s="3" t="s">
        <v>53</v>
      </c>
      <c r="L345" s="3" t="s">
        <v>872</v>
      </c>
      <c r="M345" s="3"/>
      <c r="O345" t="str">
        <f t="shared" si="5"/>
        <v>"hs32", "BSPA.MALA4.P5N2", "Revolving credit", "Financial institutions loans", "Revolving credit", "Type", "NZDm", "NZDm", ",d", "qual", "teal_dark", "Fill", "",</v>
      </c>
    </row>
    <row r="346" spans="1:15" ht="25.5">
      <c r="A346" s="2" t="s">
        <v>727</v>
      </c>
      <c r="B346" s="6" t="s">
        <v>713</v>
      </c>
      <c r="C346" s="2" t="s">
        <v>1053</v>
      </c>
      <c r="D346" s="5" t="s">
        <v>705</v>
      </c>
      <c r="E346" s="2" t="s">
        <v>1053</v>
      </c>
      <c r="F346" s="2" t="s">
        <v>1056</v>
      </c>
      <c r="G346" s="5" t="s">
        <v>217</v>
      </c>
      <c r="H346" s="2" t="s">
        <v>217</v>
      </c>
      <c r="I346" s="2" t="s">
        <v>921</v>
      </c>
      <c r="J346" s="3" t="s">
        <v>1080</v>
      </c>
      <c r="K346" s="3" t="s">
        <v>53</v>
      </c>
      <c r="L346" s="3" t="s">
        <v>872</v>
      </c>
      <c r="M346" s="3"/>
      <c r="O346" t="str">
        <f t="shared" si="5"/>
        <v>"hs32", "BSPA.MALA4.P5N3", "Principal &amp; interest", "Financial institutions loans", "Principal &amp; interest", "Type", "NZDm", "NZDm", ",d", "qual", "teal_dark", "Fill", "",</v>
      </c>
    </row>
    <row r="347" spans="1:15" ht="25.5">
      <c r="A347" s="2" t="s">
        <v>727</v>
      </c>
      <c r="B347" s="6" t="s">
        <v>715</v>
      </c>
      <c r="C347" s="2" t="s">
        <v>1054</v>
      </c>
      <c r="D347" s="5" t="s">
        <v>705</v>
      </c>
      <c r="E347" s="2" t="s">
        <v>1054</v>
      </c>
      <c r="F347" s="2" t="s">
        <v>1056</v>
      </c>
      <c r="G347" s="5" t="s">
        <v>217</v>
      </c>
      <c r="H347" s="2" t="s">
        <v>217</v>
      </c>
      <c r="I347" s="2" t="s">
        <v>921</v>
      </c>
      <c r="J347" s="3" t="s">
        <v>1080</v>
      </c>
      <c r="K347" s="3" t="s">
        <v>53</v>
      </c>
      <c r="L347" s="3" t="s">
        <v>872</v>
      </c>
      <c r="M347" s="3"/>
      <c r="O347" t="str">
        <f t="shared" si="5"/>
        <v>"hs32", "BSPA.MALA4.P5N6", "Other", "Financial institutions loans", "Other", "Type", "NZDm", "NZDm", ",d", "qual", "teal_dark", "Fill", "",</v>
      </c>
    </row>
    <row r="348" spans="1:15" ht="14.25">
      <c r="A348" s="2" t="s">
        <v>727</v>
      </c>
      <c r="B348" s="6" t="s">
        <v>718</v>
      </c>
      <c r="C348" s="5" t="s">
        <v>716</v>
      </c>
      <c r="D348" s="5" t="s">
        <v>716</v>
      </c>
      <c r="E348" s="2" t="s">
        <v>861</v>
      </c>
      <c r="F348" s="2" t="s">
        <v>1055</v>
      </c>
      <c r="G348" s="5" t="s">
        <v>217</v>
      </c>
      <c r="H348" s="2" t="s">
        <v>217</v>
      </c>
      <c r="I348" s="2" t="s">
        <v>921</v>
      </c>
      <c r="J348" s="3" t="s">
        <v>1080</v>
      </c>
      <c r="K348" s="3" t="s">
        <v>53</v>
      </c>
      <c r="L348" s="3" t="s">
        <v>872</v>
      </c>
      <c r="M348" s="3"/>
      <c r="O348" t="str">
        <f t="shared" si="5"/>
        <v>"hs32", "BSPA.MALA4.P9", "Other loans", "Other loans", "Total", "Use", "NZDm", "NZDm", ",d", "qual", "teal_dark", "Fill", "",</v>
      </c>
    </row>
    <row r="349" spans="1:15" ht="14.25">
      <c r="A349" s="2" t="s">
        <v>727</v>
      </c>
      <c r="B349" s="6" t="s">
        <v>720</v>
      </c>
      <c r="C349" s="2" t="s">
        <v>1051</v>
      </c>
      <c r="D349" s="5" t="s">
        <v>716</v>
      </c>
      <c r="E349" s="2" t="s">
        <v>1051</v>
      </c>
      <c r="F349" s="2" t="s">
        <v>1056</v>
      </c>
      <c r="G349" s="5" t="s">
        <v>217</v>
      </c>
      <c r="H349" s="2" t="s">
        <v>217</v>
      </c>
      <c r="I349" s="2" t="s">
        <v>921</v>
      </c>
      <c r="J349" s="3" t="s">
        <v>1080</v>
      </c>
      <c r="K349" s="3" t="s">
        <v>53</v>
      </c>
      <c r="L349" s="3" t="s">
        <v>872</v>
      </c>
      <c r="M349" s="3"/>
      <c r="O349" t="str">
        <f t="shared" si="5"/>
        <v>"hs32", "BSPA.MALA4.P9N1", "Interest only", "Other loans", "Interest only", "Type", "NZDm", "NZDm", ",d", "qual", "teal_dark", "Fill", "",</v>
      </c>
    </row>
    <row r="350" spans="1:15" ht="14.25">
      <c r="A350" s="2" t="s">
        <v>727</v>
      </c>
      <c r="B350" s="6" t="s">
        <v>722</v>
      </c>
      <c r="C350" s="2" t="s">
        <v>1052</v>
      </c>
      <c r="D350" s="5" t="s">
        <v>716</v>
      </c>
      <c r="E350" s="2" t="s">
        <v>1052</v>
      </c>
      <c r="F350" s="2" t="s">
        <v>1056</v>
      </c>
      <c r="G350" s="5" t="s">
        <v>217</v>
      </c>
      <c r="H350" s="2" t="s">
        <v>217</v>
      </c>
      <c r="I350" s="2" t="s">
        <v>921</v>
      </c>
      <c r="J350" s="3" t="s">
        <v>1080</v>
      </c>
      <c r="K350" s="3" t="s">
        <v>53</v>
      </c>
      <c r="L350" s="3" t="s">
        <v>872</v>
      </c>
      <c r="M350" s="3"/>
      <c r="O350" t="str">
        <f t="shared" si="5"/>
        <v>"hs32", "BSPA.MALA4.P9N2", "Revolving credit", "Other loans", "Revolving credit", "Type", "NZDm", "NZDm", ",d", "qual", "teal_dark", "Fill", "",</v>
      </c>
    </row>
    <row r="351" spans="1:15" ht="14.25">
      <c r="A351" s="2" t="s">
        <v>727</v>
      </c>
      <c r="B351" s="6" t="s">
        <v>724</v>
      </c>
      <c r="C351" s="2" t="s">
        <v>1053</v>
      </c>
      <c r="D351" s="5" t="s">
        <v>716</v>
      </c>
      <c r="E351" s="2" t="s">
        <v>1053</v>
      </c>
      <c r="F351" s="2" t="s">
        <v>1056</v>
      </c>
      <c r="G351" s="5" t="s">
        <v>217</v>
      </c>
      <c r="H351" s="2" t="s">
        <v>217</v>
      </c>
      <c r="I351" s="2" t="s">
        <v>921</v>
      </c>
      <c r="J351" s="3" t="s">
        <v>1080</v>
      </c>
      <c r="K351" s="3" t="s">
        <v>53</v>
      </c>
      <c r="L351" s="3" t="s">
        <v>872</v>
      </c>
      <c r="M351" s="3"/>
      <c r="O351" t="str">
        <f t="shared" si="5"/>
        <v>"hs32", "BSPA.MALA4.P9N3", "Principal &amp; interest", "Other loans", "Principal &amp; interest", "Type", "NZDm", "NZDm", ",d", "qual", "teal_dark", "Fill", "",</v>
      </c>
    </row>
    <row r="352" spans="1:15" ht="14.25">
      <c r="A352" s="2" t="s">
        <v>727</v>
      </c>
      <c r="B352" s="6" t="s">
        <v>726</v>
      </c>
      <c r="C352" s="2" t="s">
        <v>1054</v>
      </c>
      <c r="D352" s="5" t="s">
        <v>716</v>
      </c>
      <c r="E352" s="2" t="s">
        <v>1054</v>
      </c>
      <c r="F352" s="2" t="s">
        <v>1056</v>
      </c>
      <c r="G352" s="5" t="s">
        <v>217</v>
      </c>
      <c r="H352" s="2" t="s">
        <v>217</v>
      </c>
      <c r="I352" s="2" t="s">
        <v>921</v>
      </c>
      <c r="J352" s="3" t="s">
        <v>1080</v>
      </c>
      <c r="K352" s="3" t="s">
        <v>53</v>
      </c>
      <c r="L352" s="3" t="s">
        <v>872</v>
      </c>
      <c r="M352" s="3"/>
      <c r="O352" t="str">
        <f t="shared" si="5"/>
        <v>"hs32", "BSPA.MALA4.P9N6", "Other", "Other loans", "Other", "Type", "NZDm", "NZDm", ",d", "qual", "teal_dark", "Fill", "",</v>
      </c>
    </row>
    <row r="353" spans="1:15" ht="14.25">
      <c r="A353" s="2" t="s">
        <v>907</v>
      </c>
      <c r="B353" s="2" t="s">
        <v>1057</v>
      </c>
      <c r="C353" s="2" t="s">
        <v>1057</v>
      </c>
      <c r="D353" s="2"/>
      <c r="E353" s="2" t="s">
        <v>1057</v>
      </c>
      <c r="F353" s="2"/>
      <c r="G353" s="2"/>
      <c r="H353" s="2" t="s">
        <v>859</v>
      </c>
      <c r="I353" s="2" t="s">
        <v>921</v>
      </c>
      <c r="J353" s="3" t="s">
        <v>1080</v>
      </c>
      <c r="K353" s="3" t="s">
        <v>53</v>
      </c>
      <c r="L353" s="3" t="s">
        <v>873</v>
      </c>
      <c r="M353" s="2"/>
      <c r="O353" t="str">
        <f t="shared" si="5"/>
        <v>"fuel", "USD per Barrel", "USD per Barrel", "", "USD per Barrel", "", "", "$", ",d", "qual", "teal_dark", "Line", "",</v>
      </c>
    </row>
    <row r="354" spans="1:15" ht="14.25">
      <c r="A354" s="2" t="s">
        <v>907</v>
      </c>
      <c r="B354" s="2" t="s">
        <v>1058</v>
      </c>
      <c r="C354" s="2" t="s">
        <v>1058</v>
      </c>
      <c r="D354" s="2"/>
      <c r="E354" s="2" t="s">
        <v>1058</v>
      </c>
      <c r="F354" s="2"/>
      <c r="G354" s="2"/>
      <c r="H354" s="2" t="s">
        <v>859</v>
      </c>
      <c r="I354" s="2" t="s">
        <v>921</v>
      </c>
      <c r="J354" s="3" t="s">
        <v>1080</v>
      </c>
      <c r="K354" s="3" t="s">
        <v>53</v>
      </c>
      <c r="L354" s="3" t="s">
        <v>873</v>
      </c>
      <c r="M354" s="2"/>
      <c r="O354" t="str">
        <f t="shared" si="5"/>
        <v>"fuel", "NZD per Barrel", "NZD per Barrel", "", "NZD per Barrel", "", "", "$", ",d", "qual", "teal_dark", "Line", "",</v>
      </c>
    </row>
    <row r="355" spans="1:15" ht="14.25">
      <c r="A355" s="2" t="s">
        <v>1077</v>
      </c>
      <c r="B355" s="2" t="s">
        <v>1059</v>
      </c>
      <c r="C355" s="2" t="s">
        <v>1059</v>
      </c>
      <c r="D355" s="19"/>
      <c r="E355" s="2"/>
      <c r="F355" s="2"/>
      <c r="G355" s="2"/>
      <c r="H355" s="2"/>
      <c r="I355" s="2" t="s">
        <v>921</v>
      </c>
      <c r="J355" s="3" t="s">
        <v>1080</v>
      </c>
      <c r="K355" s="3" t="s">
        <v>903</v>
      </c>
      <c r="L355" s="3" t="s">
        <v>1002</v>
      </c>
      <c r="M355" s="2"/>
      <c r="O355" t="str">
        <f t="shared" si="5"/>
        <v>"adp", "Available monthly stay unit capacity", "Available monthly stay unit capacity", "", "", "", "", "", ",d", "qual", "black", "Bar", "",</v>
      </c>
    </row>
    <row r="356" spans="1:15" ht="14.25">
      <c r="A356" s="2" t="s">
        <v>1077</v>
      </c>
      <c r="B356" s="2" t="s">
        <v>1060</v>
      </c>
      <c r="C356" s="2" t="s">
        <v>1060</v>
      </c>
      <c r="D356" s="19"/>
      <c r="E356" s="2"/>
      <c r="F356" s="2"/>
      <c r="G356" s="2"/>
      <c r="H356" s="2"/>
      <c r="I356" s="2" t="s">
        <v>921</v>
      </c>
      <c r="J356" s="3" t="s">
        <v>1080</v>
      </c>
      <c r="K356" s="3" t="s">
        <v>903</v>
      </c>
      <c r="L356" s="3" t="s">
        <v>1002</v>
      </c>
      <c r="M356" s="2"/>
      <c r="O356" t="str">
        <f t="shared" si="5"/>
        <v>"adp", "Average guests per stay unit night", "Average guests per stay unit night", "", "", "", "", "", ",d", "qual", "black", "Bar", "",</v>
      </c>
    </row>
    <row r="357" spans="1:15" ht="14.25">
      <c r="A357" s="2" t="s">
        <v>1077</v>
      </c>
      <c r="B357" s="2" t="s">
        <v>1061</v>
      </c>
      <c r="C357" s="2" t="s">
        <v>1061</v>
      </c>
      <c r="D357" s="19"/>
      <c r="E357" s="2"/>
      <c r="F357" s="2"/>
      <c r="G357" s="2"/>
      <c r="H357" s="2"/>
      <c r="I357" s="2" t="s">
        <v>921</v>
      </c>
      <c r="J357" s="3" t="s">
        <v>1080</v>
      </c>
      <c r="K357" s="3" t="s">
        <v>903</v>
      </c>
      <c r="L357" s="3" t="s">
        <v>1002</v>
      </c>
      <c r="M357" s="2"/>
      <c r="O357" t="str">
        <f t="shared" si="5"/>
        <v>"adp", "Average nights stayed per guest", "Average nights stayed per guest", "", "", "", "", "", ",d", "qual", "black", "Bar", "",</v>
      </c>
    </row>
    <row r="358" spans="1:15" ht="14.25">
      <c r="A358" s="2" t="s">
        <v>1077</v>
      </c>
      <c r="B358" s="2" t="s">
        <v>1062</v>
      </c>
      <c r="C358" s="2" t="s">
        <v>1062</v>
      </c>
      <c r="D358" s="19"/>
      <c r="E358" s="2"/>
      <c r="F358" s="2"/>
      <c r="G358" s="2"/>
      <c r="H358" s="2"/>
      <c r="I358" s="2" t="s">
        <v>921</v>
      </c>
      <c r="J358" s="3" t="s">
        <v>1080</v>
      </c>
      <c r="K358" s="3" t="s">
        <v>903</v>
      </c>
      <c r="L358" s="3" t="s">
        <v>1002</v>
      </c>
      <c r="M358" s="2"/>
      <c r="O358" t="str">
        <f t="shared" si="5"/>
        <v>"adp", "Average stay units per establishment", "Average stay units per establishment", "", "", "", "", "", ",d", "qual", "black", "Bar", "",</v>
      </c>
    </row>
    <row r="359" spans="1:15" ht="14.25">
      <c r="A359" s="2" t="s">
        <v>1077</v>
      </c>
      <c r="B359" s="2" t="s">
        <v>1063</v>
      </c>
      <c r="C359" s="2" t="s">
        <v>1063</v>
      </c>
      <c r="D359" s="19"/>
      <c r="E359" s="2"/>
      <c r="F359" s="2"/>
      <c r="G359" s="2"/>
      <c r="H359" s="2"/>
      <c r="I359" s="2" t="s">
        <v>921</v>
      </c>
      <c r="J359" s="3" t="s">
        <v>1080</v>
      </c>
      <c r="K359" s="3" t="s">
        <v>903</v>
      </c>
      <c r="L359" s="3" t="s">
        <v>1002</v>
      </c>
      <c r="M359" s="2"/>
      <c r="O359" t="str">
        <f t="shared" si="5"/>
        <v>"adp", "Capacity utilisation rate (%)", "Capacity utilisation rate (%)", "", "", "", "", "", ",d", "qual", "black", "Bar", "",</v>
      </c>
    </row>
    <row r="360" spans="1:15" ht="14.25">
      <c r="A360" s="2" t="s">
        <v>1077</v>
      </c>
      <c r="B360" s="2" t="s">
        <v>1064</v>
      </c>
      <c r="C360" s="2" t="s">
        <v>1064</v>
      </c>
      <c r="D360" s="19"/>
      <c r="E360" s="2"/>
      <c r="F360" s="2"/>
      <c r="G360" s="2"/>
      <c r="H360" s="2"/>
      <c r="I360" s="2" t="s">
        <v>921</v>
      </c>
      <c r="J360" s="3" t="s">
        <v>1080</v>
      </c>
      <c r="K360" s="3" t="s">
        <v>903</v>
      </c>
      <c r="L360" s="3" t="s">
        <v>1002</v>
      </c>
      <c r="M360" s="2"/>
      <c r="O360" t="str">
        <f t="shared" si="5"/>
        <v>"adp", "Domestic guest nights", "Domestic guest nights", "", "", "", "", "", ",d", "qual", "black", "Bar", "",</v>
      </c>
    </row>
    <row r="361" spans="1:15" ht="14.25">
      <c r="A361" s="2" t="s">
        <v>1077</v>
      </c>
      <c r="B361" s="2" t="s">
        <v>1065</v>
      </c>
      <c r="C361" s="2" t="s">
        <v>1065</v>
      </c>
      <c r="D361" s="2"/>
      <c r="E361" s="2"/>
      <c r="F361" s="2"/>
      <c r="G361" s="2"/>
      <c r="H361" s="2"/>
      <c r="I361" s="2" t="s">
        <v>921</v>
      </c>
      <c r="J361" s="3" t="s">
        <v>1080</v>
      </c>
      <c r="K361" s="3" t="s">
        <v>903</v>
      </c>
      <c r="L361" s="3" t="s">
        <v>1002</v>
      </c>
      <c r="M361" s="2"/>
      <c r="O361" t="str">
        <f t="shared" si="5"/>
        <v>"adp", "Guest arrivals", "Guest arrivals", "", "", "", "", "", ",d", "qual", "black", "Bar", "",</v>
      </c>
    </row>
    <row r="362" spans="1:15" ht="14.25">
      <c r="A362" s="2" t="s">
        <v>1077</v>
      </c>
      <c r="B362" s="2" t="s">
        <v>1066</v>
      </c>
      <c r="C362" s="2" t="s">
        <v>1066</v>
      </c>
      <c r="D362" s="19"/>
      <c r="E362" s="2"/>
      <c r="F362" s="2"/>
      <c r="G362" s="2"/>
      <c r="H362" s="2"/>
      <c r="I362" s="2" t="s">
        <v>921</v>
      </c>
      <c r="J362" s="3" t="s">
        <v>1080</v>
      </c>
      <c r="K362" s="3" t="s">
        <v>903</v>
      </c>
      <c r="L362" s="3" t="s">
        <v>1002</v>
      </c>
      <c r="M362" s="2"/>
      <c r="O362" t="str">
        <f t="shared" si="5"/>
        <v>"adp", "International guest nights", "International guest nights", "", "", "", "", "", ",d", "qual", "black", "Bar", "",</v>
      </c>
    </row>
    <row r="363" spans="1:15" ht="14.25">
      <c r="A363" s="2" t="s">
        <v>1077</v>
      </c>
      <c r="B363" s="2" t="s">
        <v>1067</v>
      </c>
      <c r="C363" s="2" t="s">
        <v>1067</v>
      </c>
      <c r="D363" s="19"/>
      <c r="E363" s="2"/>
      <c r="F363" s="2"/>
      <c r="G363" s="2"/>
      <c r="H363" s="2"/>
      <c r="I363" s="2" t="s">
        <v>921</v>
      </c>
      <c r="J363" s="3" t="s">
        <v>1080</v>
      </c>
      <c r="K363" s="3" t="s">
        <v>903</v>
      </c>
      <c r="L363" s="3" t="s">
        <v>1002</v>
      </c>
      <c r="M363" s="2"/>
      <c r="O363" t="str">
        <f t="shared" si="5"/>
        <v>"adp", "Monthly stay unit capacity", "Monthly stay unit capacity", "", "", "", "", "", ",d", "qual", "black", "Bar", "",</v>
      </c>
    </row>
    <row r="364" spans="1:15" ht="14.25">
      <c r="A364" s="2" t="s">
        <v>1077</v>
      </c>
      <c r="B364" s="2" t="s">
        <v>1068</v>
      </c>
      <c r="C364" s="2" t="s">
        <v>1068</v>
      </c>
      <c r="D364" s="19"/>
      <c r="E364" s="2"/>
      <c r="F364" s="2"/>
      <c r="G364" s="2"/>
      <c r="H364" s="2"/>
      <c r="I364" s="2" t="s">
        <v>921</v>
      </c>
      <c r="J364" s="3" t="s">
        <v>1080</v>
      </c>
      <c r="K364" s="3" t="s">
        <v>903</v>
      </c>
      <c r="L364" s="3" t="s">
        <v>1002</v>
      </c>
      <c r="M364" s="2"/>
      <c r="O364" t="str">
        <f t="shared" si="5"/>
        <v>"adp", "Number of active establishments", "Number of active establishments", "", "", "", "", "", ",d", "qual", "black", "Bar", "",</v>
      </c>
    </row>
    <row r="365" spans="1:15" ht="14.25">
      <c r="A365" s="2" t="s">
        <v>1077</v>
      </c>
      <c r="B365" s="2" t="s">
        <v>1069</v>
      </c>
      <c r="C365" s="2" t="s">
        <v>1069</v>
      </c>
      <c r="D365" s="19"/>
      <c r="E365" s="2"/>
      <c r="F365" s="2"/>
      <c r="G365" s="2"/>
      <c r="H365" s="2"/>
      <c r="I365" s="2" t="s">
        <v>921</v>
      </c>
      <c r="J365" s="3" t="s">
        <v>1080</v>
      </c>
      <c r="K365" s="3" t="s">
        <v>903</v>
      </c>
      <c r="L365" s="3" t="s">
        <v>1002</v>
      </c>
      <c r="M365" s="2"/>
      <c r="O365" t="str">
        <f t="shared" si="5"/>
        <v>"adp", "Number of establishments", "Number of establishments", "", "", "", "", "", ",d", "qual", "black", "Bar", "",</v>
      </c>
    </row>
    <row r="366" spans="1:15" ht="14.25">
      <c r="A366" s="2" t="s">
        <v>1077</v>
      </c>
      <c r="B366" s="2" t="s">
        <v>1070</v>
      </c>
      <c r="C366" s="2" t="s">
        <v>1070</v>
      </c>
      <c r="D366" s="19"/>
      <c r="E366" s="2"/>
      <c r="F366" s="2"/>
      <c r="G366" s="2"/>
      <c r="H366" s="2"/>
      <c r="I366" s="2" t="s">
        <v>921</v>
      </c>
      <c r="J366" s="3" t="s">
        <v>1080</v>
      </c>
      <c r="K366" s="3" t="s">
        <v>903</v>
      </c>
      <c r="L366" s="3" t="s">
        <v>1002</v>
      </c>
      <c r="M366" s="2"/>
      <c r="O366" t="str">
        <f t="shared" si="5"/>
        <v>"adp", "Number of stay units", "Number of stay units", "", "", "", "", "", ",d", "qual", "black", "Bar", "",</v>
      </c>
    </row>
    <row r="367" spans="1:15" ht="14.25">
      <c r="A367" s="2" t="s">
        <v>1077</v>
      </c>
      <c r="B367" s="2" t="s">
        <v>1071</v>
      </c>
      <c r="C367" s="2" t="s">
        <v>1071</v>
      </c>
      <c r="D367" s="19"/>
      <c r="E367" s="2"/>
      <c r="F367" s="2"/>
      <c r="G367" s="2"/>
      <c r="H367" s="2"/>
      <c r="I367" s="2" t="s">
        <v>921</v>
      </c>
      <c r="J367" s="3" t="s">
        <v>1080</v>
      </c>
      <c r="K367" s="3" t="s">
        <v>903</v>
      </c>
      <c r="L367" s="3" t="s">
        <v>1002</v>
      </c>
      <c r="M367" s="2"/>
      <c r="O367" t="str">
        <f t="shared" si="5"/>
        <v>"adp", "Occupancy rate (%)", "Occupancy rate (%)", "", "", "", "", "", ",d", "qual", "black", "Bar", "",</v>
      </c>
    </row>
    <row r="368" spans="1:15" ht="14.25">
      <c r="A368" s="2" t="s">
        <v>1077</v>
      </c>
      <c r="B368" s="2" t="s">
        <v>1072</v>
      </c>
      <c r="C368" s="2" t="s">
        <v>1072</v>
      </c>
      <c r="D368" s="19"/>
      <c r="E368" s="2"/>
      <c r="F368" s="2"/>
      <c r="G368" s="2"/>
      <c r="H368" s="2"/>
      <c r="I368" s="2" t="s">
        <v>921</v>
      </c>
      <c r="J368" s="3" t="s">
        <v>1080</v>
      </c>
      <c r="K368" s="3" t="s">
        <v>903</v>
      </c>
      <c r="L368" s="3" t="s">
        <v>1002</v>
      </c>
      <c r="M368" s="2"/>
      <c r="O368" t="str">
        <f t="shared" si="5"/>
        <v>"adp", "Percentage of stay unit capacity available (%)", "Percentage of stay unit capacity available (%)", "", "", "", "", "", ",d", "qual", "black", "Bar", "",</v>
      </c>
    </row>
    <row r="369" spans="1:15" ht="14.25">
      <c r="A369" s="2" t="s">
        <v>1077</v>
      </c>
      <c r="B369" s="2" t="s">
        <v>1073</v>
      </c>
      <c r="C369" s="2" t="s">
        <v>1073</v>
      </c>
      <c r="D369" s="19"/>
      <c r="E369" s="2"/>
      <c r="F369" s="2"/>
      <c r="G369" s="2"/>
      <c r="H369" s="2"/>
      <c r="I369" s="2" t="s">
        <v>921</v>
      </c>
      <c r="J369" s="3" t="s">
        <v>1080</v>
      </c>
      <c r="K369" s="3" t="s">
        <v>903</v>
      </c>
      <c r="L369" s="3" t="s">
        <v>1002</v>
      </c>
      <c r="M369" s="2"/>
      <c r="O369" t="str">
        <f t="shared" si="5"/>
        <v>"adp", "Proportion of domestic guests (%)", "Proportion of domestic guests (%)", "", "", "", "", "", ",d", "qual", "black", "Bar", "",</v>
      </c>
    </row>
    <row r="370" spans="1:15" ht="14.25">
      <c r="A370" s="2" t="s">
        <v>1077</v>
      </c>
      <c r="B370" s="2" t="s">
        <v>1074</v>
      </c>
      <c r="C370" s="2" t="s">
        <v>1074</v>
      </c>
      <c r="D370" s="19"/>
      <c r="E370" s="2"/>
      <c r="F370" s="2"/>
      <c r="G370" s="2"/>
      <c r="H370" s="2"/>
      <c r="I370" s="2" t="s">
        <v>921</v>
      </c>
      <c r="J370" s="3" t="s">
        <v>1080</v>
      </c>
      <c r="K370" s="3" t="s">
        <v>903</v>
      </c>
      <c r="L370" s="3" t="s">
        <v>1002</v>
      </c>
      <c r="M370" s="2"/>
      <c r="O370" t="str">
        <f t="shared" si="5"/>
        <v>"adp", "Proportion of international guests (%)"", "Proportion of international guests (%)"", "", "", "", "", "", ",d", "qual", "black", "Bar", "",</v>
      </c>
    </row>
    <row r="371" spans="1:15" ht="14.25">
      <c r="A371" s="2" t="s">
        <v>1077</v>
      </c>
      <c r="B371" s="2" t="s">
        <v>1075</v>
      </c>
      <c r="C371" s="2" t="s">
        <v>1075</v>
      </c>
      <c r="D371" s="19"/>
      <c r="E371" s="2"/>
      <c r="F371" s="2"/>
      <c r="G371" s="2"/>
      <c r="H371" s="2"/>
      <c r="I371" s="2" t="s">
        <v>921</v>
      </c>
      <c r="J371" s="3" t="s">
        <v>1080</v>
      </c>
      <c r="K371" s="3" t="s">
        <v>903</v>
      </c>
      <c r="L371" s="3" t="s">
        <v>1002</v>
      </c>
      <c r="M371" s="2"/>
      <c r="O371" t="str">
        <f t="shared" si="5"/>
        <v>"adp", "Stay unit nights occupied", "Stay unit nights occupied", "", "", "", "", "", ",d", "qual", "black", "Bar", "",</v>
      </c>
    </row>
    <row r="372" spans="1:15" ht="14.25">
      <c r="A372" s="2" t="s">
        <v>1077</v>
      </c>
      <c r="B372" s="2" t="s">
        <v>1076</v>
      </c>
      <c r="C372" s="2" t="s">
        <v>1076</v>
      </c>
      <c r="D372" s="19"/>
      <c r="E372" s="2"/>
      <c r="F372" s="2"/>
      <c r="G372" s="2"/>
      <c r="H372" s="2"/>
      <c r="I372" s="2" t="s">
        <v>921</v>
      </c>
      <c r="J372" s="3" t="s">
        <v>1080</v>
      </c>
      <c r="K372" s="3" t="s">
        <v>903</v>
      </c>
      <c r="L372" s="3" t="s">
        <v>1002</v>
      </c>
      <c r="M372" s="2"/>
      <c r="O372" t="str">
        <f t="shared" si="5"/>
        <v>"adp", "Total guest nights", "Total guest nights", "", "", "", "", "", ",d", "qual", "black", "Bar", "",</v>
      </c>
    </row>
    <row r="373" spans="1:15" ht="14.25">
      <c r="A373" s="2" t="s">
        <v>1093</v>
      </c>
      <c r="B373" s="2" t="s">
        <v>1085</v>
      </c>
      <c r="C373" s="2" t="s">
        <v>1085</v>
      </c>
      <c r="D373" s="2"/>
      <c r="E373" s="2"/>
      <c r="F373" s="2"/>
      <c r="G373" s="2"/>
      <c r="H373" s="2" t="s">
        <v>859</v>
      </c>
      <c r="I373" s="2" t="s">
        <v>921</v>
      </c>
      <c r="J373" s="3" t="s">
        <v>1080</v>
      </c>
      <c r="K373" s="3" t="s">
        <v>903</v>
      </c>
      <c r="L373" s="3" t="s">
        <v>1094</v>
      </c>
      <c r="M373" s="2"/>
      <c r="O373" t="str">
        <f t="shared" si="5"/>
        <v>"bond", "Lodged Bonds", "Lodged Bonds", "", "", "", "", "$", ",d", "qual", "black", "line", "",</v>
      </c>
    </row>
    <row r="374" spans="1:15" ht="14.25">
      <c r="A374" s="2" t="s">
        <v>1093</v>
      </c>
      <c r="B374" s="2" t="s">
        <v>1086</v>
      </c>
      <c r="C374" s="2" t="s">
        <v>1086</v>
      </c>
      <c r="D374" s="19"/>
      <c r="E374" s="2"/>
      <c r="F374" s="2"/>
      <c r="G374" s="2"/>
      <c r="H374" s="2" t="s">
        <v>859</v>
      </c>
      <c r="I374" s="2" t="s">
        <v>921</v>
      </c>
      <c r="J374" s="3" t="s">
        <v>1080</v>
      </c>
      <c r="K374" s="3" t="s">
        <v>903</v>
      </c>
      <c r="L374" s="3" t="s">
        <v>1094</v>
      </c>
      <c r="M374" s="2"/>
      <c r="O374" t="str">
        <f t="shared" si="5"/>
        <v>"bond", "Active Bonds", "Active Bonds", "", "", "", "", "$", ",d", "qual", "black", "line", "",</v>
      </c>
    </row>
    <row r="375" spans="1:15" ht="14.25">
      <c r="A375" s="2" t="s">
        <v>1093</v>
      </c>
      <c r="B375" s="2" t="s">
        <v>1087</v>
      </c>
      <c r="C375" s="2" t="s">
        <v>1087</v>
      </c>
      <c r="D375" s="19"/>
      <c r="E375" s="2"/>
      <c r="F375" s="2"/>
      <c r="G375" s="2"/>
      <c r="H375" s="2" t="s">
        <v>859</v>
      </c>
      <c r="I375" s="2" t="s">
        <v>921</v>
      </c>
      <c r="J375" s="3" t="s">
        <v>1080</v>
      </c>
      <c r="K375" s="3" t="s">
        <v>903</v>
      </c>
      <c r="L375" s="3" t="s">
        <v>1094</v>
      </c>
      <c r="M375" s="2"/>
      <c r="O375" t="str">
        <f t="shared" si="5"/>
        <v>"bond", "Closed Bonds", "Closed Bonds", "", "", "", "", "$", ",d", "qual", "black", "line", "",</v>
      </c>
    </row>
    <row r="376" spans="1:15" ht="14.25">
      <c r="A376" s="2" t="s">
        <v>1093</v>
      </c>
      <c r="B376" s="2" t="s">
        <v>1088</v>
      </c>
      <c r="C376" s="2" t="s">
        <v>1088</v>
      </c>
      <c r="D376" s="2"/>
      <c r="E376" s="2"/>
      <c r="F376" s="2"/>
      <c r="G376" s="2"/>
      <c r="H376" s="2" t="s">
        <v>859</v>
      </c>
      <c r="I376" s="2" t="s">
        <v>921</v>
      </c>
      <c r="J376" s="3" t="s">
        <v>1080</v>
      </c>
      <c r="K376" s="3" t="s">
        <v>903</v>
      </c>
      <c r="L376" s="3" t="s">
        <v>1094</v>
      </c>
      <c r="M376" s="2"/>
      <c r="O376" t="str">
        <f t="shared" si="5"/>
        <v>"bond", "Median Rent", "Median Rent", "", "", "", "", "$", ",d", "qual", "black", "line", "",</v>
      </c>
    </row>
    <row r="377" spans="1:15" ht="14.25">
      <c r="A377" s="2" t="s">
        <v>1093</v>
      </c>
      <c r="B377" s="2" t="s">
        <v>1089</v>
      </c>
      <c r="C377" s="2" t="s">
        <v>1089</v>
      </c>
      <c r="D377" s="2"/>
      <c r="E377" s="2"/>
      <c r="F377" s="2"/>
      <c r="G377" s="2"/>
      <c r="H377" s="2" t="s">
        <v>859</v>
      </c>
      <c r="I377" s="2" t="s">
        <v>921</v>
      </c>
      <c r="J377" s="3" t="s">
        <v>1080</v>
      </c>
      <c r="K377" s="3" t="s">
        <v>903</v>
      </c>
      <c r="L377" s="3" t="s">
        <v>1094</v>
      </c>
      <c r="M377" s="2"/>
      <c r="O377" t="str">
        <f t="shared" si="5"/>
        <v>"bond", "Geometric Mean Rent", "Geometric Mean Rent", "", "", "", "", "$", ",d", "qual", "black", "line", "",</v>
      </c>
    </row>
    <row r="378" spans="1:15" ht="14.25">
      <c r="A378" s="2" t="s">
        <v>1093</v>
      </c>
      <c r="B378" s="2" t="s">
        <v>1090</v>
      </c>
      <c r="C378" s="2" t="s">
        <v>1090</v>
      </c>
      <c r="D378" s="2"/>
      <c r="E378" s="2"/>
      <c r="F378" s="2"/>
      <c r="G378" s="2"/>
      <c r="H378" s="2" t="s">
        <v>859</v>
      </c>
      <c r="I378" s="2" t="s">
        <v>921</v>
      </c>
      <c r="J378" s="3" t="s">
        <v>1080</v>
      </c>
      <c r="K378" s="3" t="s">
        <v>903</v>
      </c>
      <c r="L378" s="3" t="s">
        <v>1094</v>
      </c>
      <c r="M378" s="2"/>
      <c r="O378" t="str">
        <f t="shared" si="5"/>
        <v>"bond", "Upper Quartile Rent", "Upper Quartile Rent", "", "", "", "", "$", ",d", "qual", "black", "line", "",</v>
      </c>
    </row>
    <row r="379" spans="1:15" ht="14.25">
      <c r="A379" s="2" t="s">
        <v>1093</v>
      </c>
      <c r="B379" s="2" t="s">
        <v>1091</v>
      </c>
      <c r="C379" s="2" t="s">
        <v>1091</v>
      </c>
      <c r="D379" s="2"/>
      <c r="E379" s="2"/>
      <c r="F379" s="2"/>
      <c r="G379" s="2"/>
      <c r="H379" s="2" t="s">
        <v>859</v>
      </c>
      <c r="I379" s="2" t="s">
        <v>921</v>
      </c>
      <c r="J379" s="3" t="s">
        <v>1080</v>
      </c>
      <c r="K379" s="3" t="s">
        <v>903</v>
      </c>
      <c r="L379" s="3" t="s">
        <v>1094</v>
      </c>
      <c r="M379" s="2"/>
      <c r="O379" t="str">
        <f t="shared" si="5"/>
        <v>"bond", "Lower Quartile Rent", "Lower Quartile Rent", "", "", "", "", "$", ",d", "qual", "black", "line", "",</v>
      </c>
    </row>
    <row r="380" spans="1:15" ht="14.25">
      <c r="A380" s="2" t="s">
        <v>1093</v>
      </c>
      <c r="B380" s="2" t="s">
        <v>1092</v>
      </c>
      <c r="C380" s="2" t="s">
        <v>1092</v>
      </c>
      <c r="D380" s="2"/>
      <c r="E380" s="2"/>
      <c r="F380" s="2"/>
      <c r="G380" s="2"/>
      <c r="H380" s="2" t="s">
        <v>859</v>
      </c>
      <c r="I380" s="2" t="s">
        <v>921</v>
      </c>
      <c r="J380" s="3" t="s">
        <v>1080</v>
      </c>
      <c r="K380" s="3" t="s">
        <v>903</v>
      </c>
      <c r="L380" s="3" t="s">
        <v>1094</v>
      </c>
      <c r="M380" s="2"/>
      <c r="O380" t="str">
        <f t="shared" si="5"/>
        <v>"bond", "Log Std Dev Weekly Rent", "Log Std Dev Weekly Rent", "", "", "", "", "$", ",d", "qual", "black", "line", "",</v>
      </c>
    </row>
    <row r="381" spans="1:15" ht="14.25">
      <c r="A381" s="2" t="s">
        <v>1095</v>
      </c>
      <c r="B381" s="2" t="s">
        <v>1095</v>
      </c>
      <c r="C381" s="2" t="s">
        <v>1096</v>
      </c>
      <c r="D381" s="2"/>
      <c r="E381" s="2"/>
      <c r="F381" s="2"/>
      <c r="G381" s="2"/>
      <c r="H381" s="2"/>
      <c r="I381" s="2" t="s">
        <v>921</v>
      </c>
      <c r="J381" s="3" t="s">
        <v>1080</v>
      </c>
      <c r="K381" s="3" t="s">
        <v>903</v>
      </c>
      <c r="L381" s="3" t="s">
        <v>1094</v>
      </c>
      <c r="M381" s="2"/>
      <c r="O381" t="str">
        <f t="shared" si="5"/>
        <v>"border", "border", "TotalPassengers", "", "", "", "", "", ",d", "qual", "black", "line", "",</v>
      </c>
    </row>
  </sheetData>
  <hyperlinks>
    <hyperlink ref="B2" location="'Data'!R5C2" display="EXRT.DS41.NZB17" xr:uid="{CE992D0E-653B-451F-920A-302C42186347}"/>
    <hyperlink ref="B3" location="'Data'!R5C3" display="EXR.DS11.D06" xr:uid="{4ED69786-AC52-4623-B6D8-EE47BA555F8B}"/>
    <hyperlink ref="B4" location="'Data'!R5C4" display="EXR.DS11.D04" xr:uid="{BE1275EB-9C6F-432C-8CDA-B0688D5E9CB5}"/>
    <hyperlink ref="B5" location="'Data'!R5C5" display="EXR.DS11.D01" xr:uid="{356FEA6C-BEEC-4BC5-9AE1-118B8BF0368B}"/>
    <hyperlink ref="B6" location="'Data'!R5C6" display="EXR.DS11.D05" xr:uid="{1D08AE7F-B88D-4CFD-BE6E-32E86B99F678}"/>
    <hyperlink ref="B7" location="'Data'!R5C7" display="EXR.DS11.D03" xr:uid="{940418D5-79A0-4CDA-A2E2-A9E8F47458C2}"/>
    <hyperlink ref="B8" location="'Data'!R5C8" display="EXR.DS11.D02" xr:uid="{BD1B41AA-E502-4830-9FDE-EA7A263CA1D0}"/>
    <hyperlink ref="B9" location="'Data'!R5C9" display="EXR.DS11.D12" xr:uid="{31422D9F-132B-4334-8F9B-4785E07AB0BA}"/>
    <hyperlink ref="B10" location="'Data'!R5C10" display="EXR.DS11.D11" xr:uid="{C98C002B-7C8D-4839-A691-0A909CE505E2}"/>
    <hyperlink ref="B11" location="'Data'!R5C11" display="EXR.DS11.D14" xr:uid="{10D40245-70FD-4DDA-BFBB-F52DDF36ABD4}"/>
    <hyperlink ref="B12" location="'Data'!R5C12" display="EXR.DS11.D08" xr:uid="{496BBD81-F644-49DD-BD0C-1A088708E37E}"/>
    <hyperlink ref="B13" location="'Data'!R5C13" display="EXR.DS11.D13" xr:uid="{EDCCCF8D-55DA-4E9E-A021-85B73DE841E0}"/>
    <hyperlink ref="B14" location="'Data'!R5C14" display="EXR.DS11.D15" xr:uid="{C9397EE8-7440-451C-AEF4-07D0D4847E68}"/>
    <hyperlink ref="B15" location="'Data'!R5C15" display="EXR.DS11.D09" xr:uid="{0AD2365F-5B53-44CA-8132-E4E8E7938B55}"/>
    <hyperlink ref="B16" location="'Data'!R5C16" display="EXR.DS11.D16" xr:uid="{7881F48D-19E4-4EC3-83D9-4FDE35661364}"/>
    <hyperlink ref="B17" location="'Data'!R5C17" display="EXR.DS11.D31" xr:uid="{42A068C9-9BF8-4077-8741-51AF27A65F2E}"/>
    <hyperlink ref="B18" location="'Data'!R5C18" display="EXR.DS11.D32" xr:uid="{8292DD00-DE88-4B19-A4BB-775538612FAF}"/>
    <hyperlink ref="B19" location="'Data'!R5C19" display="EXR.DS11.D33" xr:uid="{EF1DC430-C002-4FF5-AE9C-ADB3E68FB17D}"/>
    <hyperlink ref="B20" location="'Data'!R5C20" display="EXRT.DS41.N" xr:uid="{006C8F17-CCE8-40A1-A555-3E911EDEE17C}"/>
    <hyperlink ref="B58" location="'Data'!R5C2" display="CPI.Q.C.ia" xr:uid="{5BD57539-5B13-4D66-8902-3165642796AB}"/>
    <hyperlink ref="B59" location="'Data'!R5C3" display="CPI.Q.C.iaq" xr:uid="{08105674-553B-4550-A079-8A89FC9A4FFE}"/>
    <hyperlink ref="B60" location="'Data'!R5C4" display="CPI.Q.C.iay" xr:uid="{D7695650-88EE-4F42-BAD7-CDDA93F3E64C}"/>
    <hyperlink ref="B61" location="'Data'!R5C5" display="CPIT.Q.C.ia" xr:uid="{83A82EB2-1003-44A3-AEF2-0C44EC3A36E6}"/>
    <hyperlink ref="B62" location="'Data'!R5C6" display="CPIT.Q.C.iaq" xr:uid="{73EA5183-A8ED-4A7D-92DA-C04398328B63}"/>
    <hyperlink ref="B63" location="'Data'!R5C7" display="CPIT.Q.C.iay" xr:uid="{4A7CD828-0FAF-42F3-84ED-05997CBE213B}"/>
    <hyperlink ref="B64" location="'Data'!R5C8" display="CPIN.Q.C.ia" xr:uid="{45F963CC-595A-424E-A348-3E67EEB3F831}"/>
    <hyperlink ref="B65" location="'Data'!R5C9" display="CPIN.Q.C.iaq" xr:uid="{8488F0A0-3029-4DF1-BB7F-0C637424B113}"/>
    <hyperlink ref="B66" location="'Data'!R5C10" display="CPIN.Q.C.iay" xr:uid="{E1B93489-A630-4B9E-9781-20EDCE275348}"/>
    <hyperlink ref="B67" location="'Data'!R5C11" display="CPI.Q.C01.ia" xr:uid="{93DFE279-E28E-4694-9AAA-049E25A23743}"/>
    <hyperlink ref="B68" location="'Data'!R5C12" display="CPI.Q.C01.iaq" xr:uid="{570FFAB6-21EF-4014-A37D-F85260F5DA39}"/>
    <hyperlink ref="B69" location="'Data'!R5C13" display="CPI.Q.C01.iay" xr:uid="{B1FFC63A-8F11-4489-822A-298F883AC601}"/>
    <hyperlink ref="B70" location="'Data'!R5C14" display="CPI.Q.C04.ia" xr:uid="{1C7D6ACA-7AC1-4D2C-BB8C-7162C092EB0C}"/>
    <hyperlink ref="B71" location="'Data'!R5C15" display="CPI.Q.C04.iaq" xr:uid="{F9C43447-3C5F-4F99-ADB1-A74002C8A2C0}"/>
    <hyperlink ref="B72" location="'Data'!R5C16" display="CPI.Q.C04.iay" xr:uid="{1A60A14C-1DFD-4D81-AFF0-271592090148}"/>
    <hyperlink ref="B73" location="'Data'!R5C17" display="CPI.Q.C07.ia" xr:uid="{6015789C-DECE-4FF4-81CF-37C35A7ADB27}"/>
    <hyperlink ref="B74" location="'Data'!R5C18" display="CPI.Q.C07.iaq" xr:uid="{01EA966E-C353-4C1E-BCB4-BA8D92A13DC3}"/>
    <hyperlink ref="B75" location="'Data'!R5C19" display="CPI.Q.C07.iay" xr:uid="{D3DA5B53-400A-43C3-9AC3-7A9708A920C9}"/>
    <hyperlink ref="B76" location="'Data'!R5C20" display="CPI.Q.C07202.ia" xr:uid="{4E045299-B06D-4EBC-9E75-8A3F043D06BF}"/>
    <hyperlink ref="B77" location="'Data'!R5C21" display="CPI.Q.C07202.iaq" xr:uid="{27296A54-BF4A-4802-8923-56C931DC82E6}"/>
    <hyperlink ref="B78" location="'Data'!R5C22" display="CPI.Q.C07202.iay" xr:uid="{4A557FB1-49A8-4E3D-9924-80443847B7AD}"/>
    <hyperlink ref="B79" location="'Data'!R5C23" display="CPI.Q.ZC21.ia" xr:uid="{57F21ECB-90FA-4504-A802-FF55AF50C3FE}"/>
    <hyperlink ref="B80" location="'Data'!R5C24" display="CPI.Q.ZC21.iaq" xr:uid="{49B00F3C-B7A7-48A1-9EE2-4EEA3782D86A}"/>
    <hyperlink ref="B81" location="'Data'!R5C25" display="CPI.Q.ZC21.iay" xr:uid="{B3B9CC52-683A-466E-879D-B95CFFF42CFC}"/>
    <hyperlink ref="B82" location="'Data'!R5C26" display="CPI.Q.ZC40.iaq" xr:uid="{F083FC03-AA5A-4A70-8100-7BFB65435714}"/>
    <hyperlink ref="B83" location="'Data'!R5C27" display="CPIM.Q.C40T10B17.iay" xr:uid="{DCDD109A-732C-4751-825A-6BC01E8E9A0B}"/>
    <hyperlink ref="B84" location="'Data'!R5C28" display="CPI.Q.ZC41.iaq" xr:uid="{219B5F38-E52F-4C18-994F-2C2AB488A195}"/>
    <hyperlink ref="B85" location="'Data'!R5C29" display="CPIW.Q.C41P50B17.iay" xr:uid="{F61BE65A-DD2F-4BB5-97DA-7AA0D95C7A09}"/>
    <hyperlink ref="B86" location="'Data'!R5C30" display="CPI.Q.ZC42.iay" xr:uid="{5FAE0AE9-075D-4861-B2EF-DE27F8F4987B}"/>
    <hyperlink ref="B87" location="'Data'!R5C31" display="CPI.Q.ZC43.iay" xr:uid="{D024B51B-33D9-451E-BFD1-1F6A5CC1D223}"/>
    <hyperlink ref="B88" location="'Data'!R5C32" display="CPI.Q.ZC431.iay" xr:uid="{D3ECE00D-F6A8-4B24-B490-106E9AC18F14}"/>
    <hyperlink ref="B89" location="'Data'!R5C33" display="CPI.Q.ZC432.iay" xr:uid="{CA893CEE-F0CD-4749-8542-FD36C87B9745}"/>
    <hyperlink ref="B90" location="'Data'!R5C34" display="HPI.Q.H01T0.ia" xr:uid="{5D1A6B1A-D83B-4C92-9F9C-EF3C1C404AEF}"/>
    <hyperlink ref="B91" location="'Data'!R5C35" display="HPI.Q.H01T0.iaq" xr:uid="{AF113807-0BDC-4903-A417-9F84EC770B70}"/>
    <hyperlink ref="B92" location="'Data'!R5C36" display="HPI.Q.H01T0.iay" xr:uid="{45C43F45-470F-4992-B405-9B3ACA027D58}"/>
    <hyperlink ref="B93" location="'Data'!R5C37" display="GDE.Q.DY.RS" xr:uid="{C2C9E0BB-DFCB-4822-9A58-5C2E279F37A1}"/>
    <hyperlink ref="B94" location="'Data'!R5C38" display="GDE.Q.DY.rsq" xr:uid="{28B24170-D452-4C9B-B015-3D7A42484452}"/>
    <hyperlink ref="B95" location="'Data'!R5C39" display="GDE.Q.DY.rsy" xr:uid="{3AD23698-BD56-4DCF-982A-672DB5ED80D5}"/>
    <hyperlink ref="B96" location="'Data'!R5C40" display="PPI06.Q.T0I1.ia" xr:uid="{FF1EB397-507C-4AB7-8539-BC738A8E3C1B}"/>
    <hyperlink ref="B97" location="'Data'!R5C41" display="PPI06.Q.T0I1.iaq" xr:uid="{F8055A94-7C27-4501-8FA0-B54BA0B66907}"/>
    <hyperlink ref="B98" location="'Data'!R5C42" display="PPI06.Q.T0I1.iay" xr:uid="{AE9E456C-62EF-44FD-BC8E-2506CF31B797}"/>
    <hyperlink ref="B99" location="'Data'!R5C43" display="PPI06.Q.T0I2.ia" xr:uid="{9D8A0189-71DB-423C-8C89-C1F66C40DCB9}"/>
    <hyperlink ref="B100" location="'Data'!R5C44" display="PPI06.Q.T0I2.iaq" xr:uid="{D88A8D78-D232-4745-AD63-92EBB105ECB2}"/>
    <hyperlink ref="B101" location="'Data'!R5C45" display="PPI06.Q.T0I2.iay" xr:uid="{0467CC9B-3CCC-48E6-BB01-4B9E28A0FB6F}"/>
    <hyperlink ref="B102" location="'Data'!R5C2" display="RTS06.Q.S1G.na" xr:uid="{6642C061-C14B-4244-B14E-31D5ED4BE376}"/>
    <hyperlink ref="B103" location="'Data'!R5C3" display="RTS06.Q.S1G.ns" xr:uid="{D85146A4-7B63-40E5-8725-525504BC3F4D}"/>
    <hyperlink ref="B104" location="'Data'!R5C4" display="RTS06.Q.S1G.nsq" xr:uid="{BA067904-4DCC-4F75-AC8F-0EE37D2A3850}"/>
    <hyperlink ref="B105" location="'Data'!R5C5" display="RTS06.Q.S1G.nay" xr:uid="{C8887F79-4D19-422C-9D4C-70DEDB9E009D}"/>
    <hyperlink ref="B106" location="'Data'!R5C6" display="RTS06.Q.S1G.ra" xr:uid="{B5092E89-EDE2-4FDF-BD2C-2C2F1B98032B}"/>
    <hyperlink ref="B107" location="'Data'!R5C7" display="RTS06.Q.S1G.rs" xr:uid="{8CA00EA2-6054-46FF-B184-C594B3C6FD7E}"/>
    <hyperlink ref="B108" location="'Data'!R5C8" display="RTS06.Q.S1G.rsq" xr:uid="{167F1C0C-3478-4E69-A750-DB17EB4003C2}"/>
    <hyperlink ref="B109" location="'Data'!R5C9" display="RTS06.Q.S1G.ray" xr:uid="{EF59C953-967A-4119-A7AC-DC791DF8C67E}"/>
    <hyperlink ref="B110" location="'Data'!R5C10" display="GDE.Q.EC1.RA" xr:uid="{52CEFEC1-8D32-408B-8C26-B4073B064F9C}"/>
    <hyperlink ref="B111" location="'Data'!R5C11" display="GDE.Q.EC1.RS" xr:uid="{8A569E6C-2E0C-4DE9-B3CC-AEDD47DCB6F5}"/>
    <hyperlink ref="B112" location="'Data'!R5C12" display="GDE.Q.EC1.rsq" xr:uid="{AB54B4F5-506C-4DFB-B063-F70A5E092C3B}"/>
    <hyperlink ref="B113" location="'Data'!R5C13" display="GDE.Q.EC1.ray" xr:uid="{0432782D-B0E3-429B-B4B9-3E1C25B26B67}"/>
    <hyperlink ref="B114" location="'Data'!R5C14" display="GDE.Q.EG13.RA" xr:uid="{F3350769-423F-48EA-A694-1872E3DE0687}"/>
    <hyperlink ref="B115" location="'Data'!R5C15" display="GDE.Q.EG13.RS" xr:uid="{40A5327B-BAE8-4830-B69C-A0A64C8AFB22}"/>
    <hyperlink ref="B116" location="'Data'!R5C16" display="GDE.Q.EG13.rsq" xr:uid="{09319048-A0ED-4168-8E39-8895B4BDF454}"/>
    <hyperlink ref="B117" location="'Data'!R5C17" display="GDE.Q.EG13.ray" xr:uid="{FAD332F4-2284-4272-8F44-56E79B03F332}"/>
    <hyperlink ref="B118" location="'Data'!R5C2" display="QBLD.Q.B11N1BZR1.ns" xr:uid="{5EBF35C9-A94E-4B64-823D-2CB60A13DF91}"/>
    <hyperlink ref="B119" location="'Data'!R5C3" display="QBLD.Q.B11N1BZR1.nsq" xr:uid="{17FF4775-01EB-4410-ADCD-5979EF53E7F2}"/>
    <hyperlink ref="B120" location="'Data'!R5C4" display="GDE.Q.EI24.RA" xr:uid="{04C48F19-127E-4519-B571-307ED30CE9D5}"/>
    <hyperlink ref="B121" location="'Data'!R5C5" display="GDE.Q.EI24.RS" xr:uid="{D70BBA5F-5B08-4121-9584-1CC95DDE4F18}"/>
    <hyperlink ref="B122" location="'Data'!R5C6" display="GDE.Q.EI24.rsq" xr:uid="{AC44FDD9-8504-48F2-9AD5-D28ABB0879C3}"/>
    <hyperlink ref="B123" location="'Data'!R5C7" display="GDE.Q.EI24.ray" xr:uid="{B5B82848-EC6E-4366-9953-8BF263A09E67}"/>
    <hyperlink ref="B124" location="'Data'!R5C8" display="GDE.Q.EI25.RA" xr:uid="{F0B81624-4D5E-4D22-8098-2BF23FD147C1}"/>
    <hyperlink ref="B125" location="'Data'!R5C9" display="GDE.Q.EI25.RS" xr:uid="{A996CF1F-8770-48BD-9B74-E540F6774993}"/>
    <hyperlink ref="B126" location="'Data'!R5C10" display="GDE.Q.EI25.rsq" xr:uid="{3EEA8FA7-DDAE-4CA8-804C-25A5E3B059ED}"/>
    <hyperlink ref="B127" location="'Data'!R5C11" display="GDE.Q.EI25.ray" xr:uid="{1AF72D49-3DF0-4448-B1A2-FA7FC514D0DC}"/>
    <hyperlink ref="B128" location="'Data'!R5C12" display="GDE.Q.EI23.RA" xr:uid="{6BB9A1E5-3F98-471B-B891-5D88D6E6C79F}"/>
    <hyperlink ref="B129" location="'Data'!R5C13" display="GDE.Q.EI23.RS" xr:uid="{59A99CB9-5289-434F-B075-021004291A8C}"/>
    <hyperlink ref="B141" location="'Data'!R5C2" display="RTS06.Q.S1G.na" xr:uid="{5B234AB0-DAFE-49C2-8AE0-FAF3E345D231}"/>
    <hyperlink ref="B140" location="'Data'!R5C3" display="RTS06.Q.S1G.ns" xr:uid="{1B2E0390-DBB5-4E5A-B2FE-49051D653420}"/>
    <hyperlink ref="B142" location="'Data'!R5C4" display="RTS06.Q.S1G.nsq" xr:uid="{1CF80072-77C3-4439-9CA0-EF9D3A2E17BB}"/>
    <hyperlink ref="B143" location="'Data'!R5C5" display="RTS06.Q.S1G.nay" xr:uid="{98A3D7CD-2BAB-485A-9F3D-E3A8AD21D2E7}"/>
    <hyperlink ref="B144" location="'Data'!R5C6" display="RTS06.Q.VG.na" xr:uid="{F5280B5E-AC38-4009-84FB-65179D87CC1D}"/>
    <hyperlink ref="B145" location="'Data'!R5C7" display="RTS06.Q.VG.nay" xr:uid="{6D536922-D6AF-4897-B1A2-60B8DFE9D5E2}"/>
    <hyperlink ref="B147" location="'Data'!R5C8" display="WTS06.Q.S1F0.na" xr:uid="{7E13188F-59E8-4FFA-82BE-41231B525381}"/>
    <hyperlink ref="B146" location="'Data'!R5C9" display="WTS06.Q.S1F0.ns" xr:uid="{5B948104-6E4A-485E-A646-458E0C8E8BEF}"/>
    <hyperlink ref="B148" location="'Data'!R5C10" display="WTS06.Q.S1F0.nsq" xr:uid="{949A87E9-1B05-4B71-8E2B-ED21A1A14BB6}"/>
    <hyperlink ref="B149" location="'Data'!R5C11" display="WTS06.Q.S1F0.nay" xr:uid="{7F5A2BEF-D105-4AE5-A913-1F12DB815173}"/>
    <hyperlink ref="B150" location="'Data'!R5C12" display="WTS06.Q.VF0.na" xr:uid="{96567307-64F7-481A-AC58-24353FB947AB}"/>
    <hyperlink ref="B151" location="'Data'!R5C13" display="WTS06.Q.VF0.nay" xr:uid="{77E8E889-82A8-4189-AFE1-5F2A512E80DD}"/>
    <hyperlink ref="B131" location="'Data'!R5C14" display="MAN06.Q.S1C0.na" xr:uid="{FE76F647-8B90-4EB2-A198-AD97F8AF4B94}"/>
    <hyperlink ref="B130" location="'Data'!R5C15" display="MAN06.Q.S1C0.ns" xr:uid="{11CD6C73-5328-49E7-A985-07CF8A4E1ED1}"/>
    <hyperlink ref="B132" location="'Data'!R5C16" display="MAN06.Q.S1C0.nsq" xr:uid="{8926846B-F786-485B-A6AA-8722921CAA25}"/>
    <hyperlink ref="B133" location="'Data'!R5C17" display="MAN06.Q.S1C0.nay" xr:uid="{D8F6080F-740C-4718-AF32-F70C7F4136B7}"/>
    <hyperlink ref="B134" location="'Data'!R5C18" display="MAN06.Q.VC0.na" xr:uid="{CF3A4734-F1DE-4086-93BD-9571782E2C92}"/>
    <hyperlink ref="B135" location="'Data'!R5C19" display="MAN06.Q.VC0.nay" xr:uid="{591FD36A-1B2C-44F8-8CC9-C7B685705288}"/>
    <hyperlink ref="B137" location="'Data'!R5C20" display="MAN06.Q.S1C111.na" xr:uid="{71D81520-4B18-49BA-B243-B807083F047A}"/>
    <hyperlink ref="B136" location="'Data'!R5C21" display="MAN06.Q.S1C111.ns" xr:uid="{53D5505E-12BE-4E7E-9491-8D13D50EFC6C}"/>
    <hyperlink ref="B138" location="'Data'!R5C22" display="MAN06.Q.S1C111.nsq" xr:uid="{C5D59BE0-ACE6-4D84-91E6-09921D24A3D2}"/>
    <hyperlink ref="B139" location="'Data'!R5C23" display="MAN06.Q.S1C111.nay" xr:uid="{639EDE29-8434-487D-B37E-2966715BFC44}"/>
    <hyperlink ref="B152" location="'Data'!R5C2" display="GDP06.Q.QT0.ra" xr:uid="{6DF9B474-AE64-47C5-BAFE-C376B011404E}"/>
    <hyperlink ref="B153" location="'Data'!R5C3" display="GDP06.Q.QT0.rs" xr:uid="{029C35D6-DB69-4854-9A01-802ED65BFCF1}"/>
    <hyperlink ref="B154" location="'Data'!R5C4" display="GDP06.Q.QT0.rsq" xr:uid="{AE396A26-4C1B-4852-AEE7-B8A746E8A0B7}"/>
    <hyperlink ref="B155" location="'Data'!R5C5" display="GDP06.Q.QT0.ray" xr:uid="{CB2D9389-4B29-4D10-8CCD-7CA8579B28F3}"/>
    <hyperlink ref="B156" location="'Data'!R5C6" display="GDE.Q.EY.NA" xr:uid="{AF91EEA8-649B-4585-9F0B-2CD5BB0D254A}"/>
    <hyperlink ref="B157" location="'Data'!R5C7" display="GDE.Q.EY.NS" xr:uid="{753BEF0F-CC0C-4EE7-B5C8-08F0E89CBD4E}"/>
    <hyperlink ref="B158" location="'Data'!R5C8" display="GDE.Q.EY.nsq" xr:uid="{0C5874E0-3600-4DE8-8724-6F723B9B90EB}"/>
    <hyperlink ref="B159" location="'Data'!R5C9" display="GDE.Q.EY.nay" xr:uid="{53DEDDCB-9470-4000-888D-FF98308F657D}"/>
    <hyperlink ref="B160" location="'Data'!R5C10" display="GDE.Q.EY.RA" xr:uid="{E34ABD72-8D5A-476E-A77B-94741D40316A}"/>
    <hyperlink ref="B161" location="'Data'!R5C11" display="GDE.Q.EY.RS" xr:uid="{3FDCBF50-9657-460D-B2FF-E53E561FBED0}"/>
    <hyperlink ref="B162" location="'Data'!R5C12" display="GDE.Q.EY.rsq" xr:uid="{9B308052-AB53-42C0-8993-0FDE304AB92A}"/>
    <hyperlink ref="B163" location="'Data'!R5C13" display="GDE.Q.EY.ray" xr:uid="{95B6BD3D-DD87-44F6-9D5A-FCEABB9E38D1}"/>
    <hyperlink ref="B164" location="'Data'!R5C14" display="GDE.Q.EC1.NA" xr:uid="{54546CBF-B359-4571-B561-98ED3891C386}"/>
    <hyperlink ref="B165" location="'Data'!R5C15" display="GDE.Q.EC1.NS" xr:uid="{3CE39824-1EA3-47DC-998C-D23CF76845FE}"/>
    <hyperlink ref="B166" location="'Data'!R5C16" display="GDE.Q.EC1.nsq" xr:uid="{F6EB0BAE-2245-4B0E-A0B2-FB0BEF7EE823}"/>
    <hyperlink ref="B167" location="'Data'!R5C17" display="GDE.Q.EC1.nay" xr:uid="{08D7B8D3-BD63-4AA4-BAA3-A88222F9EADF}"/>
    <hyperlink ref="B168" location="'Data'!R5C18" display="GDE.Q.EC1.RA" xr:uid="{E69A18A2-FF9C-4222-9C76-6E3107BE1EDE}"/>
    <hyperlink ref="B169" location="'Data'!R5C19" display="GDE.Q.EC1.RS" xr:uid="{99EA3B4E-0294-407A-A48F-01E07E11C11A}"/>
    <hyperlink ref="B170" location="'Data'!R5C20" display="GDE.Q.EC1.rsq" xr:uid="{7E0D3E33-2EF2-458B-AC65-44FC88C4C60D}"/>
    <hyperlink ref="B171" location="'Data'!R5C21" display="GDE.Q.EC1.ray" xr:uid="{E5B12B16-A895-4B27-A88D-AA005AD88811}"/>
    <hyperlink ref="B172" location="'Data'!R5C22" display="GDE.Q.EG13.NA" xr:uid="{3052E1AE-0F5F-4C1D-B68C-97DBE674F659}"/>
    <hyperlink ref="B173" location="'Data'!R5C23" display="GDE.Q.EG13.NS" xr:uid="{859101C9-2A57-4401-91E0-5650C5F62F9C}"/>
    <hyperlink ref="B174" location="'Data'!R5C24" display="GDE.Q.EG13.nsq" xr:uid="{10D870C0-ED2E-4F9C-8255-195E44711A8C}"/>
    <hyperlink ref="B175" location="'Data'!R5C25" display="GDE.Q.EG13.nay" xr:uid="{33ED3FD2-5441-4645-A970-149488880248}"/>
    <hyperlink ref="B176" location="'Data'!R5C26" display="GDE.Q.EG13.RA" xr:uid="{AA45C306-279A-43F9-A06C-2DE847AE47F8}"/>
    <hyperlink ref="B177" location="'Data'!R5C27" display="GDE.Q.EG13.RS" xr:uid="{0DA6EEEA-57DB-4716-B0ED-14CC23DABC47}"/>
    <hyperlink ref="B178" location="'Data'!R5C28" display="GDE.Q.EG13.rsq" xr:uid="{0A157FCF-2547-41AA-BAA3-0CC229DC1412}"/>
    <hyperlink ref="B179" location="'Data'!R5C29" display="GDE.Q.EG13.ray" xr:uid="{901EB9D2-9834-492C-8C48-E39EF7CA464A}"/>
    <hyperlink ref="B180" location="'Data'!R5C30" display="GDE.Q.EI23.NA" xr:uid="{1B67987A-66BC-431D-8BA3-9BAF2E4DAF81}"/>
    <hyperlink ref="B181" location="'Data'!R5C31" display="GDE.Q.EI23.NS" xr:uid="{D800D8C2-18F7-47F4-825F-CFFAFD4EA842}"/>
    <hyperlink ref="B182" location="'Data'!R5C32" display="GDE.Q.EI23.RA" xr:uid="{409F7290-66AA-4A77-81EF-D0071F649920}"/>
    <hyperlink ref="B183" location="'Data'!R5C33" display="GDE.Q.EI23.RS" xr:uid="{98CB2A9E-69BA-4EED-A31E-CB0216BE251C}"/>
    <hyperlink ref="B184" location="'Data'!R5C34" display="GDE.Q.EI24.NA" xr:uid="{3BBD4DE1-F7D2-448B-9D8B-ACF64A6D7324}"/>
    <hyperlink ref="B185" location="'Data'!R5C35" display="GDE.Q.EI24.NS" xr:uid="{FA53242C-4C65-42C2-AD76-5E67C0A65244}"/>
    <hyperlink ref="B186" location="'Data'!R5C36" display="GDE.Q.EI24.nsq" xr:uid="{1184A421-3F43-4E62-8B79-E4450635B9F6}"/>
    <hyperlink ref="B187" location="'Data'!R5C37" display="GDE.Q.EI24.nay" xr:uid="{E777E537-F3D8-41B8-802E-29C359F661A5}"/>
    <hyperlink ref="B188" location="'Data'!R5C38" display="GDE.Q.EI24.RA" xr:uid="{96BF1E8A-04EA-4A9F-8B97-05A8BB16FD9B}"/>
    <hyperlink ref="B189" location="'Data'!R5C39" display="GDE.Q.EI24.RS" xr:uid="{EDE908B9-AF78-4B5B-9264-8BA9C0BAF80C}"/>
    <hyperlink ref="B190" location="'Data'!R5C40" display="GDE.Q.EI24.rsq" xr:uid="{D99ACC73-9F08-4808-BC17-DE6F25E9157F}"/>
    <hyperlink ref="B191" location="'Data'!R5C41" display="GDE.Q.EI24.ray" xr:uid="{9AE07E9E-0584-4D50-8D7A-FEE27E9C0C23}"/>
    <hyperlink ref="B192" location="'Data'!R5C42" display="GDE.Q.EI25.NA" xr:uid="{20E791EF-3EC7-43C8-8511-5ACB9C6D42DD}"/>
    <hyperlink ref="B193" location="'Data'!R5C43" display="GDE.Q.EI25.NS" xr:uid="{27BB39BC-3B35-484F-A8EC-11CFE8B6AC5C}"/>
    <hyperlink ref="B194" location="'Data'!R5C44" display="GDE.Q.EI25.nsq" xr:uid="{78E797F0-B117-4A62-A49A-CFE30760A633}"/>
    <hyperlink ref="B195" location="'Data'!R5C45" display="GDE.Q.EI25.nay" xr:uid="{E8E7CDAE-94ED-497C-BB4E-21F4770E5B0A}"/>
    <hyperlink ref="B196" location="'Data'!R5C46" display="GDE.Q.EI25.RA" xr:uid="{0CD7A6A3-F838-41C5-9EA5-700899C7CDAE}"/>
    <hyperlink ref="B197" location="'Data'!R5C47" display="GDE.Q.EI25.RS" xr:uid="{9FE05EF7-BA4D-40EA-B539-59472739E443}"/>
    <hyperlink ref="B198" location="'Data'!R5C48" display="GDE.Q.EI25.rsq" xr:uid="{B2E39CAB-CAF7-433E-8D93-D581E6E5E8A6}"/>
    <hyperlink ref="B199" location="'Data'!R5C49" display="GDE.Q.EI25.ray" xr:uid="{755C6538-71A3-4196-974D-CD91B2E9ED05}"/>
    <hyperlink ref="B200" location="'Data'!R5C50" display="GDE.Q.EY1.NA" xr:uid="{CB9209B3-D712-43E6-AB04-286A9B98B752}"/>
    <hyperlink ref="B201" location="'Data'!R5C51" display="GDE.Q.EY1.NS" xr:uid="{FE60C27D-FDC6-41D9-9491-D7DD42D87B8B}"/>
    <hyperlink ref="B202" location="'Data'!R5C52" display="GDE.Q.EY1.nsq" xr:uid="{47E4CE22-B1DF-44B1-A6E2-78F00169C441}"/>
    <hyperlink ref="B203" location="'Data'!R5C53" display="GDE.Q.EY1.nay" xr:uid="{03EACE35-779E-4437-9953-1A52443AAA7D}"/>
    <hyperlink ref="B204" location="'Data'!R5C54" display="GDE.Q.EY1.RA" xr:uid="{AA711D96-4465-42FB-8E11-496313F29739}"/>
    <hyperlink ref="B205" location="'Data'!R5C55" display="GDE.Q.EY1.RS" xr:uid="{34A5B207-C024-4ED7-924E-ED9ECB9A3ABF}"/>
    <hyperlink ref="B206" location="'Data'!R5C56" display="GDE.Q.EY1.rsq" xr:uid="{F5F088BD-E380-4B15-BB9B-C941F6C6EF75}"/>
    <hyperlink ref="B207" location="'Data'!R5C57" display="GDE.Q.EY1.ray" xr:uid="{5B6410F4-3BA4-444D-9E0B-045369E030D6}"/>
    <hyperlink ref="B208" location="'Data'!R5C58" display="GDE.Q.EX.NA" xr:uid="{5F099FB9-4AD1-4A63-A126-5CE69C3A552E}"/>
    <hyperlink ref="B209" location="'Data'!R5C59" display="GDE.Q.EX.NS" xr:uid="{6D15930C-7B14-4F99-AC99-1203CEBE3E5E}"/>
    <hyperlink ref="B210" location="'Data'!R5C60" display="GDE.Q.EX.nsq" xr:uid="{F42B9A5E-196D-420B-A370-038DA044D3D4}"/>
    <hyperlink ref="B211" location="'Data'!R5C61" display="GDE.Q.EX.nay" xr:uid="{9D1A36C2-1D4A-48F1-AD91-84C30F98E5C1}"/>
    <hyperlink ref="B212" location="'Data'!R5C62" display="GDE.Q.EX.RA" xr:uid="{E670199B-9D65-4F6D-8050-ED5A04D8D82D}"/>
    <hyperlink ref="B213" location="'Data'!R5C63" display="GDE.Q.EX.RS" xr:uid="{1B699DF5-3381-4E02-9B40-4131C8FFF0C8}"/>
    <hyperlink ref="B214" location="'Data'!R5C64" display="GDE.Q.EX.rsq" xr:uid="{601532B4-392A-45EF-9C61-77C6D0086D4C}"/>
    <hyperlink ref="B215" location="'Data'!R5C65" display="GDE.Q.EX.ray" xr:uid="{D9A810E7-7443-4102-91C6-B2477914A515}"/>
    <hyperlink ref="B216" location="'Data'!R5C66" display="GDE.Q.EM.NA" xr:uid="{A07444B1-F675-42EF-A87E-4841630FDF0F}"/>
    <hyperlink ref="B217" location="'Data'!R5C67" display="GDE.Q.EM.NS" xr:uid="{E1248BCE-1A00-43EE-83DC-F1C9E44F5692}"/>
    <hyperlink ref="B218" location="'Data'!R5C68" display="GDE.Q.EM.nsq" xr:uid="{C7B0429A-BE0B-4F64-9697-ED4B87F4B14D}"/>
    <hyperlink ref="B219" location="'Data'!R5C69" display="GDE.Q.EM.nay" xr:uid="{F6A143F7-4973-4AEE-92E5-017FFFC2E521}"/>
    <hyperlink ref="B220" location="'Data'!R5C70" display="GDE.Q.EM.RA" xr:uid="{F8B256D8-65C1-41D2-A48F-9B6BF9052617}"/>
    <hyperlink ref="B221" location="'Data'!R5C71" display="GDE.Q.EM.RS" xr:uid="{6E58D856-8DDB-4C1E-ABFB-467891A99F64}"/>
    <hyperlink ref="B222" location="'Data'!R5C72" display="GDE.Q.EM.rsq" xr:uid="{79232ACF-FE7F-4FF4-8062-BF5F5B848D68}"/>
    <hyperlink ref="B223" location="'Data'!R5C73" display="GDE.Q.EM.ray" xr:uid="{83E41E8A-28ED-4BCE-AFF2-85E649E8BA9F}"/>
    <hyperlink ref="B224" location="'Data'!R5C4" display="NATF.Y.D04.na" xr:uid="{5CF3160E-5D46-4971-A278-EBFE2D898A5E}"/>
    <hyperlink ref="B225" location="'Data'!R5C5" display="ISAA.Y.I12.na" xr:uid="{B2266112-937B-438C-B4DE-FB3B9C63D21C}"/>
    <hyperlink ref="B226" location="'Data'!R5C6" display="ISAF.Y.I13.na" xr:uid="{70B7A355-0BBA-40E6-835C-5D12DDEA3F3A}"/>
    <hyperlink ref="B227" location="'Data'!R5C7" display="ISAG.Y.I13.na" xr:uid="{AD6DEDDB-F6BD-4C6F-A1FA-93794CDB2C3B}"/>
    <hyperlink ref="B228" location="'Data'!R5C8" display="ISAJ.Y.I12.na" xr:uid="{6AEC0780-2804-49DD-A02B-47A7850E21C4}"/>
    <hyperlink ref="B229" location="'Data'!R5C9" display="ISAK.Y.I10.na" xr:uid="{6AA483F8-2F29-4DED-9546-E1C3D0F36AB3}"/>
    <hyperlink ref="B230" location="'Data'!R5C10" display="ISAK.Y.I18.na" xr:uid="{988164EC-68F6-4A86-80C7-7880AAF168FE}"/>
    <hyperlink ref="B293" location="'Data'!R5C2" display="SOE.Q.E100.na" xr:uid="{9FF1202C-605D-4619-BAE2-7FFD01AD8800}"/>
    <hyperlink ref="B294" location="'Data'!R5C3" display="SOE.Q.E101.na" xr:uid="{A0C2027B-B6DB-4664-96C2-DFC020F86482}"/>
    <hyperlink ref="B295" location="'Data'!R5C4" display="SOE.Q.E102.na" xr:uid="{42920803-D07E-4DE9-BED0-95DD8B529E33}"/>
    <hyperlink ref="B296" location="'Data'!R5C5" display="SOE.Q.E210.na" xr:uid="{69343A97-5462-449C-91EE-F75A3431C286}"/>
    <hyperlink ref="B297" location="'Data'!R5C6" display="SOE.Q.E215.na" xr:uid="{60593B8B-0584-4773-A6E5-A15198AB76FA}"/>
    <hyperlink ref="B298" location="'Data'!R5C7" display="SOE.Q.E220.na" xr:uid="{9FDA9286-A4EF-44F4-A247-8CCCF7154181}"/>
    <hyperlink ref="B299" location="'Data'!R5C8" display="SOE.Q.E230.na" xr:uid="{2D76C1F0-1B8E-4C9C-8F3C-7DEED318CD09}"/>
    <hyperlink ref="B300" location="'Data'!R5C9" display="SOE.Q.E350.na" xr:uid="{AAC3AFC3-4369-410E-BF7E-07EDB8839AF2}"/>
    <hyperlink ref="B301" location="'Data'!R5C10" display="SOE.Q.E351.na" xr:uid="{C4A46C8E-ACD9-481B-A4EE-B14192FC8233}"/>
    <hyperlink ref="B302" location="'Data'!R5C11" display="SOE.Q.E353.na" xr:uid="{4DE6ADB2-0855-4FF0-9F78-C5BB7CB3E8DA}"/>
    <hyperlink ref="B303" location="'Data'!R5C12" display="SOE.Q.E356.na" xr:uid="{880B7F49-89A8-4F01-843B-DDC0B93BA467}"/>
    <hyperlink ref="B304" location="'Data'!R5C13" display="SOE.Q.E310.na" xr:uid="{D0AB20F2-5816-40F4-8AA4-C8E14B90C7F7}"/>
    <hyperlink ref="B305" location="'Data'!R5C14" display="SOE.Q.E311.na" xr:uid="{2408EC61-B2DD-4C4C-8F4B-98009F315362}"/>
    <hyperlink ref="B306" location="'Data'!R5C15" display="SOE.Q.E402.ra" xr:uid="{BDE532F0-9CE8-4857-A2F8-BD8B1416D343}"/>
    <hyperlink ref="B307" location="'Data'!R5C16" display="SOE.Q.E403.ra" xr:uid="{B2D08F89-2B50-4BDF-AB7B-1DB0D7C44692}"/>
    <hyperlink ref="B308" location="'Data'!R5C17" display="SOE.Q.E460.na" xr:uid="{9630A911-3844-438C-AF89-A052B5F8DE89}"/>
    <hyperlink ref="B309" location="'Data'!R5C18" display="SOE.Q.E461.na" xr:uid="{15CF78E5-6EC7-458D-A822-B9A62CFBE777}"/>
    <hyperlink ref="B310" location="'Data'!R5C19" display="SOE.Q.E470.na" xr:uid="{8CA90B96-DCCA-432F-8024-4E386359A4D3}"/>
    <hyperlink ref="B311" location="'Data'!R5C20" display="SOE.Q.E471.na" xr:uid="{A012F8B9-CDA1-4594-B3BE-1947D2E6C461}"/>
    <hyperlink ref="B312" location="'Data'!R5C21" display="SOE.Q.E320.na" xr:uid="{2A7E3956-B17F-490D-9D6E-A9CEBEE0C93B}"/>
    <hyperlink ref="B313" location="'Data'!R5C22" display="SOE.Q.E321.na" xr:uid="{FD5941F1-868B-4118-81AF-357EF4AFAE8D}"/>
    <hyperlink ref="B314" location="'Data'!R5C23" display="SOE.Q.E330.na" xr:uid="{422899DD-50FC-4826-8478-5BDCFCD60D94}"/>
    <hyperlink ref="B315" location="'Data'!R5C24" display="SOE.Q.E331.na" xr:uid="{C870EA71-93F7-48FD-B9F8-5AEB6FF785E4}"/>
    <hyperlink ref="B316" location="'Data'!R5C25" display="SOE.Q.E480.na" xr:uid="{BAECF0DB-3FF4-4C63-AA9C-0AAB448CEB84}"/>
    <hyperlink ref="B317" location="'Data'!R5C26" display="SOE.Q.E481.na" xr:uid="{C8412E2A-1DA0-4FE2-965D-CE46F42ADB43}"/>
    <hyperlink ref="B318" location="'Data'!R5C3" display="BSPA.MAM2A4.P1" xr:uid="{1A2B2CD3-5905-40C7-91A4-6689F8C4E751}"/>
    <hyperlink ref="B319" location="'Data'!R5C4" display="BSPA.MAM2A4.P1H1" xr:uid="{ADD77DFF-D7EB-4AE2-9A1F-BD456FCAB769}"/>
    <hyperlink ref="B320" location="'Data'!R5C5" display="BSPA.MAM2A4.P1H2" xr:uid="{3DD43630-D704-4937-9614-EF941F4F829F}"/>
    <hyperlink ref="B321" location="'Data'!R5C6" display="BSPA.MAM2A4.P1H3" xr:uid="{2310EF6C-A093-401E-A485-7AF4F5C54F37}"/>
    <hyperlink ref="B322" location="'Data'!R5C7" display="BSPA.MAM2A4.P1H6" xr:uid="{38A19EEB-2557-4877-BF64-CB7301D7011C}"/>
    <hyperlink ref="B323" location="'Data'!R5C8" display="BSPA.MAM3A4.P1" xr:uid="{F4861349-1D80-4A2C-BB40-EE824A6CEFD4}"/>
    <hyperlink ref="B324" location="'Data'!R5C9" display="BSPA.MAM3A4.P1N1" xr:uid="{466ED0F4-C093-4CAE-BD51-B16E432A2EB1}"/>
    <hyperlink ref="B325" location="'Data'!R5C10" display="BSPA.MAM3A4.P1N2" xr:uid="{1C84C611-1F3E-4283-A2DB-041EB219AC12}"/>
    <hyperlink ref="B326" location="'Data'!R5C11" display="BSPA.MAM3A4.P1N3" xr:uid="{B07763B5-9BF0-456E-8DA2-B08A31D35D89}"/>
    <hyperlink ref="B327" location="'Data'!R5C12" display="BSPA.MAM3A4.P1N9" xr:uid="{D9067FED-9930-4D09-B30F-29640810FE6D}"/>
    <hyperlink ref="B328" location="'Data'!R5C13" display="BSPAS.MAN1A4.P2" xr:uid="{0D91DD69-5674-43B1-99B0-A94FFE89D8BD}"/>
    <hyperlink ref="B329" location="'Data'!R5C14" display="BSPA.MAN1A4.P2C1" xr:uid="{FB4C23A2-CE3F-498E-85B9-FFFF1F6AD741}"/>
    <hyperlink ref="B330" location="'Data'!R5C15" display="BSPA.MAN1A4.P2C2" xr:uid="{F9B10FF2-24C9-415A-A1A6-3463CEF02E60}"/>
    <hyperlink ref="B331" location="'Data'!R5C16" display="BSPA.MAN1A4.P2C3" xr:uid="{B4075B84-81F3-4BC8-8BAF-1CE8AC1EBE09}"/>
    <hyperlink ref="B332" location="'Data'!R5C17" display="BSPA.MAN1A4.P2C9" xr:uid="{9627FFF5-4007-4C79-988C-A44BC5BD3850}"/>
    <hyperlink ref="B333" location="'Data'!R5C18" display="BSPAS.MALA4.P3" xr:uid="{F31A990C-5D9F-4243-A916-9E44090FDF2A}"/>
    <hyperlink ref="B334" location="'Data'!R5C19" display="BSPA.MALA4.P3N1" xr:uid="{E4DC3D11-4746-4E31-A2AB-984EE4B9C53F}"/>
    <hyperlink ref="B335" location="'Data'!R5C20" display="BSPA.MALA4.P3N2" xr:uid="{A64AF73F-0C86-4130-9155-EB7B02462BB9}"/>
    <hyperlink ref="B336" location="'Data'!R5C21" display="BSPA.MALA4.P3N3" xr:uid="{8EF2110D-DB61-4BF0-A68B-0302E6D14538}"/>
    <hyperlink ref="B337" location="'Data'!R5C22" display="BSPA.MALA4.P3N6" xr:uid="{C23A756D-0ED8-4F5D-9A18-167DA09944E1}"/>
    <hyperlink ref="B338" location="'Data'!R5C23" display="BSPAS.MALA4.P4ZA" xr:uid="{B37451A2-FC03-4A4B-99DE-31F2F675225D}"/>
    <hyperlink ref="B339" location="'Data'!R5C24" display="BSPA.MALA4.P4N1A" xr:uid="{2D311CBA-0452-4359-80AC-1054B4879560}"/>
    <hyperlink ref="B340" location="'Data'!R5C25" display="BSPA.MALA4.P4N2A" xr:uid="{A508DF13-2FC5-4555-A754-2787A20EF526}"/>
    <hyperlink ref="B341" location="'Data'!R5C26" display="BSPA.MALA4.P4N3A" xr:uid="{69E68B9B-39C6-48AB-AEB4-BF8A124C52C3}"/>
    <hyperlink ref="B342" location="'Data'!R5C27" display="BSPA.MALA4.P4N6A" xr:uid="{049823A2-EDE8-4FC1-9FA6-0E85CC17B3C6}"/>
    <hyperlink ref="B343" location="'Data'!R5C28" display="BSPA.MALA4.P5" xr:uid="{30BA3000-749D-4282-8935-9D1F7B763EFA}"/>
    <hyperlink ref="B344" location="'Data'!R5C29" display="BSPA.MALA4.P5N1" xr:uid="{CA85B794-A08E-46C5-B708-8B0D9F0EA25F}"/>
    <hyperlink ref="B345" location="'Data'!R5C30" display="BSPA.MALA4.P5N2" xr:uid="{68EBBC07-4E1D-4361-8355-14C7E5DF2046}"/>
    <hyperlink ref="B346" location="'Data'!R5C31" display="BSPA.MALA4.P5N3" xr:uid="{1A5FF8E2-786E-4373-9BC2-E4D998701AA1}"/>
    <hyperlink ref="B347" location="'Data'!R5C32" display="BSPA.MALA4.P5N6" xr:uid="{8D13E6B1-0437-4CA1-ACBB-3244903416A5}"/>
    <hyperlink ref="B348" location="'Data'!R5C33" display="BSPA.MALA4.P9" xr:uid="{6F4CF043-BF22-4F00-9EB4-CD49ABA58D7E}"/>
    <hyperlink ref="B349" location="'Data'!R5C34" display="BSPA.MALA4.P9N1" xr:uid="{C9FA0CF4-9B0E-4E0A-BE7A-752F8B32B240}"/>
    <hyperlink ref="B350" location="'Data'!R5C35" display="BSPA.MALA4.P9N2" xr:uid="{4AC1DFB0-F16C-4847-BFA2-22A6EEB1776F}"/>
    <hyperlink ref="B351" location="'Data'!R5C36" display="BSPA.MALA4.P9N3" xr:uid="{12F4B5A0-3A80-4785-8736-D63E42C68C91}"/>
    <hyperlink ref="B352" location="'Data'!R5C37" display="BSPA.MALA4.P9N6" xr:uid="{3A95A5F5-E902-4D01-9F46-390ED1E0559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857E2-7348-4153-B80B-A3B4E862B730}">
  <dimension ref="A1:S436"/>
  <sheetViews>
    <sheetView topLeftCell="E1" zoomScale="104" zoomScaleNormal="85" workbookViewId="0">
      <pane ySplit="1" topLeftCell="A388" activePane="bottomLeft" state="frozen"/>
      <selection pane="bottomLeft" activeCell="O414" sqref="O414:O431"/>
    </sheetView>
  </sheetViews>
  <sheetFormatPr defaultRowHeight="14.25"/>
  <cols>
    <col min="1" max="1" width="60.6640625" style="2" customWidth="1" collapsed="1"/>
    <col min="2" max="2" width="58.6640625" style="2" customWidth="1" collapsed="1"/>
    <col min="3" max="3" width="25.6640625" style="2" customWidth="1" collapsed="1"/>
    <col min="4" max="4" width="24.4140625" style="2" customWidth="1" collapsed="1"/>
    <col min="5" max="5" width="8.6640625" style="2"/>
    <col min="6" max="6" width="14.4140625" style="2" customWidth="1"/>
    <col min="7" max="7" width="74.5" style="2" customWidth="1"/>
    <col min="8" max="8" width="48.4140625" style="2" customWidth="1"/>
    <col min="9" max="9" width="54.9140625" style="2" bestFit="1" customWidth="1"/>
    <col min="10" max="10" width="24.1640625" style="2" customWidth="1"/>
    <col min="11" max="11" width="66.5" style="2" customWidth="1"/>
    <col min="12" max="12" width="14.83203125" style="2" customWidth="1"/>
    <col min="13" max="13" width="18.1640625" style="2" customWidth="1"/>
    <col min="14" max="16" width="17.33203125" style="2" customWidth="1"/>
    <col min="17" max="17" width="8.6640625" style="2"/>
    <col min="18" max="18" width="18.1640625" style="2" customWidth="1"/>
    <col min="19" max="19" width="17.33203125" style="2" customWidth="1"/>
    <col min="20" max="16384" width="8.6640625" style="2"/>
  </cols>
  <sheetData>
    <row r="1" spans="1:16">
      <c r="A1" s="7" t="s">
        <v>0</v>
      </c>
      <c r="B1" s="7" t="s">
        <v>1</v>
      </c>
      <c r="C1" s="7" t="s">
        <v>2</v>
      </c>
      <c r="D1" s="7" t="s">
        <v>3</v>
      </c>
      <c r="E1" s="7" t="s">
        <v>42</v>
      </c>
      <c r="F1" s="7" t="s">
        <v>43</v>
      </c>
      <c r="G1" s="7" t="s">
        <v>51</v>
      </c>
      <c r="H1" s="7" t="s">
        <v>46</v>
      </c>
      <c r="I1" s="7" t="s">
        <v>54</v>
      </c>
      <c r="J1" s="7" t="s">
        <v>47</v>
      </c>
      <c r="K1" s="7" t="s">
        <v>845</v>
      </c>
      <c r="L1" s="7" t="s">
        <v>730</v>
      </c>
      <c r="M1" s="7" t="s">
        <v>49</v>
      </c>
      <c r="N1" s="7" t="s">
        <v>50</v>
      </c>
      <c r="O1" s="7" t="s">
        <v>870</v>
      </c>
      <c r="P1" s="7" t="s">
        <v>880</v>
      </c>
    </row>
    <row r="2" spans="1:16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9"/>
      <c r="N2" s="9"/>
      <c r="O2" s="9"/>
      <c r="P2" s="9"/>
    </row>
    <row r="3" spans="1:16">
      <c r="A3" s="5" t="s">
        <v>55</v>
      </c>
      <c r="B3" s="5" t="s">
        <v>56</v>
      </c>
      <c r="C3" s="6" t="s">
        <v>57</v>
      </c>
      <c r="D3" s="5" t="s">
        <v>58</v>
      </c>
      <c r="E3" s="2" t="s">
        <v>114</v>
      </c>
      <c r="F3" s="2" t="s">
        <v>114</v>
      </c>
      <c r="G3" s="5" t="s">
        <v>56</v>
      </c>
      <c r="I3" s="5" t="s">
        <v>58</v>
      </c>
      <c r="J3" s="2" t="s">
        <v>55</v>
      </c>
      <c r="L3" s="2" t="s">
        <v>891</v>
      </c>
      <c r="M3" s="3" t="s">
        <v>52</v>
      </c>
      <c r="N3" s="3" t="s">
        <v>749</v>
      </c>
      <c r="O3" s="3" t="s">
        <v>873</v>
      </c>
    </row>
    <row r="4" spans="1:16">
      <c r="A4" s="5" t="s">
        <v>59</v>
      </c>
      <c r="B4" s="5" t="s">
        <v>60</v>
      </c>
      <c r="C4" s="18" t="s">
        <v>61</v>
      </c>
      <c r="D4" s="5" t="s">
        <v>62</v>
      </c>
      <c r="E4" s="2" t="s">
        <v>114</v>
      </c>
      <c r="F4" s="2" t="s">
        <v>114</v>
      </c>
      <c r="G4" s="5" t="s">
        <v>60</v>
      </c>
      <c r="I4" s="5" t="s">
        <v>62</v>
      </c>
      <c r="J4" s="2" t="s">
        <v>732</v>
      </c>
      <c r="L4" s="2" t="s">
        <v>731</v>
      </c>
      <c r="M4" s="3" t="s">
        <v>52</v>
      </c>
      <c r="N4" s="3" t="s">
        <v>749</v>
      </c>
      <c r="O4" s="3" t="s">
        <v>873</v>
      </c>
      <c r="P4" s="2" t="s">
        <v>859</v>
      </c>
    </row>
    <row r="5" spans="1:16">
      <c r="A5" s="5" t="s">
        <v>59</v>
      </c>
      <c r="B5" s="5" t="s">
        <v>63</v>
      </c>
      <c r="C5" s="6" t="s">
        <v>64</v>
      </c>
      <c r="D5" s="5" t="s">
        <v>65</v>
      </c>
      <c r="E5" s="2" t="s">
        <v>114</v>
      </c>
      <c r="F5" s="2" t="s">
        <v>114</v>
      </c>
      <c r="G5" s="5" t="s">
        <v>63</v>
      </c>
      <c r="I5" s="5" t="s">
        <v>65</v>
      </c>
      <c r="J5" s="2" t="s">
        <v>733</v>
      </c>
      <c r="L5" s="2" t="s">
        <v>731</v>
      </c>
      <c r="M5" s="3" t="s">
        <v>52</v>
      </c>
      <c r="N5" s="3" t="s">
        <v>749</v>
      </c>
      <c r="O5" s="3" t="s">
        <v>873</v>
      </c>
      <c r="P5" s="2" t="s">
        <v>884</v>
      </c>
    </row>
    <row r="6" spans="1:16">
      <c r="A6" s="5" t="s">
        <v>59</v>
      </c>
      <c r="B6" s="5" t="s">
        <v>66</v>
      </c>
      <c r="C6" s="6" t="s">
        <v>67</v>
      </c>
      <c r="D6" s="5" t="s">
        <v>68</v>
      </c>
      <c r="E6" s="2" t="s">
        <v>114</v>
      </c>
      <c r="F6" s="2" t="s">
        <v>114</v>
      </c>
      <c r="G6" s="5" t="s">
        <v>66</v>
      </c>
      <c r="I6" s="5" t="s">
        <v>68</v>
      </c>
      <c r="J6" s="2" t="s">
        <v>734</v>
      </c>
      <c r="L6" s="2" t="s">
        <v>731</v>
      </c>
      <c r="M6" s="3" t="s">
        <v>52</v>
      </c>
      <c r="N6" s="3" t="s">
        <v>749</v>
      </c>
      <c r="O6" s="3" t="s">
        <v>873</v>
      </c>
      <c r="P6" s="2" t="s">
        <v>859</v>
      </c>
    </row>
    <row r="7" spans="1:16">
      <c r="A7" s="5" t="s">
        <v>59</v>
      </c>
      <c r="B7" s="5" t="s">
        <v>69</v>
      </c>
      <c r="C7" s="6" t="s">
        <v>70</v>
      </c>
      <c r="D7" s="5" t="s">
        <v>71</v>
      </c>
      <c r="E7" s="2" t="s">
        <v>114</v>
      </c>
      <c r="F7" s="2" t="s">
        <v>114</v>
      </c>
      <c r="G7" s="5" t="s">
        <v>69</v>
      </c>
      <c r="I7" s="5" t="s">
        <v>71</v>
      </c>
      <c r="J7" s="2" t="s">
        <v>735</v>
      </c>
      <c r="L7" s="2" t="s">
        <v>891</v>
      </c>
      <c r="M7" s="3" t="s">
        <v>52</v>
      </c>
      <c r="N7" s="3" t="s">
        <v>749</v>
      </c>
      <c r="O7" s="3" t="s">
        <v>873</v>
      </c>
      <c r="P7" s="2" t="s">
        <v>885</v>
      </c>
    </row>
    <row r="8" spans="1:16">
      <c r="A8" s="5" t="s">
        <v>59</v>
      </c>
      <c r="B8" s="5" t="s">
        <v>115</v>
      </c>
      <c r="C8" s="6" t="s">
        <v>116</v>
      </c>
      <c r="D8" s="5" t="s">
        <v>117</v>
      </c>
      <c r="E8" s="2" t="s">
        <v>114</v>
      </c>
      <c r="F8" s="2" t="s">
        <v>114</v>
      </c>
      <c r="G8" s="5" t="s">
        <v>115</v>
      </c>
      <c r="I8" s="5" t="s">
        <v>117</v>
      </c>
      <c r="J8" s="2" t="s">
        <v>736</v>
      </c>
      <c r="L8" s="2" t="s">
        <v>731</v>
      </c>
      <c r="M8" s="3" t="s">
        <v>52</v>
      </c>
      <c r="N8" s="3" t="s">
        <v>749</v>
      </c>
      <c r="O8" s="3" t="s">
        <v>873</v>
      </c>
      <c r="P8" s="2" t="s">
        <v>886</v>
      </c>
    </row>
    <row r="9" spans="1:16">
      <c r="A9" s="5" t="s">
        <v>59</v>
      </c>
      <c r="B9" s="5" t="s">
        <v>75</v>
      </c>
      <c r="C9" s="6" t="s">
        <v>76</v>
      </c>
      <c r="D9" s="5" t="s">
        <v>77</v>
      </c>
      <c r="E9" s="2" t="s">
        <v>114</v>
      </c>
      <c r="F9" s="2" t="s">
        <v>114</v>
      </c>
      <c r="G9" s="5" t="s">
        <v>75</v>
      </c>
      <c r="I9" s="5" t="s">
        <v>77</v>
      </c>
      <c r="J9" s="2" t="s">
        <v>737</v>
      </c>
      <c r="L9" s="2" t="s">
        <v>731</v>
      </c>
      <c r="M9" s="3" t="s">
        <v>52</v>
      </c>
      <c r="N9" s="3" t="s">
        <v>749</v>
      </c>
      <c r="O9" s="3" t="s">
        <v>873</v>
      </c>
      <c r="P9" s="2" t="s">
        <v>859</v>
      </c>
    </row>
    <row r="10" spans="1:16">
      <c r="A10" s="5" t="s">
        <v>59</v>
      </c>
      <c r="B10" s="5" t="s">
        <v>78</v>
      </c>
      <c r="C10" s="6" t="s">
        <v>79</v>
      </c>
      <c r="D10" s="5" t="s">
        <v>80</v>
      </c>
      <c r="E10" s="2" t="s">
        <v>114</v>
      </c>
      <c r="F10" s="2" t="s">
        <v>114</v>
      </c>
      <c r="G10" s="5" t="s">
        <v>78</v>
      </c>
      <c r="I10" s="5" t="s">
        <v>80</v>
      </c>
      <c r="J10" s="2" t="s">
        <v>738</v>
      </c>
      <c r="L10" s="2" t="s">
        <v>891</v>
      </c>
      <c r="M10" s="3" t="s">
        <v>52</v>
      </c>
      <c r="N10" s="3" t="s">
        <v>749</v>
      </c>
      <c r="O10" s="3" t="s">
        <v>873</v>
      </c>
      <c r="P10" s="2" t="s">
        <v>887</v>
      </c>
    </row>
    <row r="11" spans="1:16">
      <c r="A11" s="5" t="s">
        <v>59</v>
      </c>
      <c r="B11" s="5" t="s">
        <v>81</v>
      </c>
      <c r="C11" s="6" t="s">
        <v>82</v>
      </c>
      <c r="D11" s="5" t="s">
        <v>83</v>
      </c>
      <c r="E11" s="2" t="s">
        <v>114</v>
      </c>
      <c r="F11" s="2" t="s">
        <v>114</v>
      </c>
      <c r="G11" s="5" t="s">
        <v>81</v>
      </c>
      <c r="I11" s="5" t="s">
        <v>83</v>
      </c>
      <c r="J11" s="2" t="s">
        <v>739</v>
      </c>
      <c r="L11" s="2" t="s">
        <v>731</v>
      </c>
      <c r="M11" s="3" t="s">
        <v>52</v>
      </c>
      <c r="N11" s="3" t="s">
        <v>749</v>
      </c>
      <c r="O11" s="3" t="s">
        <v>873</v>
      </c>
      <c r="P11" s="2" t="s">
        <v>885</v>
      </c>
    </row>
    <row r="12" spans="1:16">
      <c r="A12" s="5" t="s">
        <v>59</v>
      </c>
      <c r="B12" s="5" t="s">
        <v>84</v>
      </c>
      <c r="C12" s="6" t="s">
        <v>85</v>
      </c>
      <c r="D12" s="5" t="s">
        <v>86</v>
      </c>
      <c r="E12" s="2" t="s">
        <v>114</v>
      </c>
      <c r="F12" s="2" t="s">
        <v>114</v>
      </c>
      <c r="G12" s="5" t="s">
        <v>84</v>
      </c>
      <c r="I12" s="5" t="s">
        <v>86</v>
      </c>
      <c r="J12" s="2" t="s">
        <v>740</v>
      </c>
      <c r="L12" s="2" t="s">
        <v>731</v>
      </c>
      <c r="M12" s="3" t="s">
        <v>52</v>
      </c>
      <c r="N12" s="3" t="s">
        <v>749</v>
      </c>
      <c r="O12" s="3" t="s">
        <v>873</v>
      </c>
      <c r="P12" s="2" t="s">
        <v>881</v>
      </c>
    </row>
    <row r="13" spans="1:16">
      <c r="A13" s="5" t="s">
        <v>59</v>
      </c>
      <c r="B13" s="5" t="s">
        <v>87</v>
      </c>
      <c r="C13" s="6" t="s">
        <v>88</v>
      </c>
      <c r="D13" s="5" t="s">
        <v>89</v>
      </c>
      <c r="E13" s="2" t="s">
        <v>114</v>
      </c>
      <c r="F13" s="2" t="s">
        <v>114</v>
      </c>
      <c r="G13" s="5" t="s">
        <v>87</v>
      </c>
      <c r="I13" s="5" t="s">
        <v>89</v>
      </c>
      <c r="J13" s="2" t="s">
        <v>741</v>
      </c>
      <c r="L13" s="2" t="s">
        <v>731</v>
      </c>
      <c r="M13" s="3" t="s">
        <v>52</v>
      </c>
      <c r="N13" s="3" t="s">
        <v>749</v>
      </c>
      <c r="O13" s="3" t="s">
        <v>873</v>
      </c>
      <c r="P13" s="2" t="s">
        <v>859</v>
      </c>
    </row>
    <row r="14" spans="1:16">
      <c r="A14" s="5" t="s">
        <v>59</v>
      </c>
      <c r="B14" s="5" t="s">
        <v>90</v>
      </c>
      <c r="C14" s="6" t="s">
        <v>91</v>
      </c>
      <c r="D14" s="5" t="s">
        <v>92</v>
      </c>
      <c r="E14" s="2" t="s">
        <v>114</v>
      </c>
      <c r="F14" s="2" t="s">
        <v>114</v>
      </c>
      <c r="G14" s="5" t="s">
        <v>90</v>
      </c>
      <c r="I14" s="5" t="s">
        <v>92</v>
      </c>
      <c r="J14" s="2" t="s">
        <v>742</v>
      </c>
      <c r="L14" s="2" t="s">
        <v>891</v>
      </c>
      <c r="M14" s="3" t="s">
        <v>52</v>
      </c>
      <c r="N14" s="3" t="s">
        <v>749</v>
      </c>
      <c r="O14" s="3" t="s">
        <v>873</v>
      </c>
      <c r="P14" s="2" t="s">
        <v>882</v>
      </c>
    </row>
    <row r="15" spans="1:16">
      <c r="A15" s="5" t="s">
        <v>59</v>
      </c>
      <c r="B15" s="5" t="s">
        <v>93</v>
      </c>
      <c r="C15" s="6" t="s">
        <v>94</v>
      </c>
      <c r="D15" s="5" t="s">
        <v>95</v>
      </c>
      <c r="E15" s="2" t="s">
        <v>114</v>
      </c>
      <c r="F15" s="2" t="s">
        <v>114</v>
      </c>
      <c r="G15" s="5" t="s">
        <v>93</v>
      </c>
      <c r="I15" s="5" t="s">
        <v>95</v>
      </c>
      <c r="J15" s="2" t="s">
        <v>743</v>
      </c>
      <c r="L15" s="2" t="s">
        <v>891</v>
      </c>
      <c r="M15" s="3" t="s">
        <v>52</v>
      </c>
      <c r="N15" s="3" t="s">
        <v>749</v>
      </c>
      <c r="O15" s="3" t="s">
        <v>873</v>
      </c>
      <c r="P15" s="2" t="s">
        <v>883</v>
      </c>
    </row>
    <row r="16" spans="1:16">
      <c r="A16" s="5" t="s">
        <v>59</v>
      </c>
      <c r="B16" s="5" t="s">
        <v>96</v>
      </c>
      <c r="C16" s="6" t="s">
        <v>97</v>
      </c>
      <c r="D16" s="5" t="s">
        <v>98</v>
      </c>
      <c r="E16" s="2" t="s">
        <v>114</v>
      </c>
      <c r="F16" s="2" t="s">
        <v>114</v>
      </c>
      <c r="G16" s="5" t="s">
        <v>96</v>
      </c>
      <c r="I16" s="5" t="s">
        <v>98</v>
      </c>
      <c r="J16" s="2" t="s">
        <v>744</v>
      </c>
      <c r="L16" s="2" t="s">
        <v>731</v>
      </c>
      <c r="M16" s="3" t="s">
        <v>52</v>
      </c>
      <c r="N16" s="3" t="s">
        <v>749</v>
      </c>
      <c r="O16" s="3" t="s">
        <v>873</v>
      </c>
      <c r="P16" s="2" t="s">
        <v>859</v>
      </c>
    </row>
    <row r="17" spans="1:16">
      <c r="A17" s="5" t="s">
        <v>59</v>
      </c>
      <c r="B17" s="5" t="s">
        <v>99</v>
      </c>
      <c r="C17" s="6" t="s">
        <v>100</v>
      </c>
      <c r="D17" s="5" t="s">
        <v>101</v>
      </c>
      <c r="E17" s="2" t="s">
        <v>114</v>
      </c>
      <c r="F17" s="2" t="s">
        <v>114</v>
      </c>
      <c r="G17" s="5" t="s">
        <v>99</v>
      </c>
      <c r="I17" s="5" t="s">
        <v>101</v>
      </c>
      <c r="J17" s="2" t="s">
        <v>745</v>
      </c>
      <c r="L17" s="2" t="s">
        <v>891</v>
      </c>
      <c r="M17" s="3" t="s">
        <v>52</v>
      </c>
      <c r="N17" s="3" t="s">
        <v>749</v>
      </c>
      <c r="O17" s="3" t="s">
        <v>873</v>
      </c>
      <c r="P17" s="2" t="s">
        <v>859</v>
      </c>
    </row>
    <row r="18" spans="1:16">
      <c r="A18" s="5" t="s">
        <v>59</v>
      </c>
      <c r="B18" s="5" t="s">
        <v>102</v>
      </c>
      <c r="C18" s="6" t="s">
        <v>103</v>
      </c>
      <c r="D18" s="5" t="s">
        <v>104</v>
      </c>
      <c r="E18" s="2" t="s">
        <v>114</v>
      </c>
      <c r="F18" s="2" t="s">
        <v>114</v>
      </c>
      <c r="G18" s="5" t="s">
        <v>102</v>
      </c>
      <c r="I18" s="5" t="s">
        <v>104</v>
      </c>
      <c r="J18" s="2" t="s">
        <v>746</v>
      </c>
      <c r="L18" s="2" t="s">
        <v>891</v>
      </c>
      <c r="M18" s="3" t="s">
        <v>52</v>
      </c>
      <c r="N18" s="3" t="s">
        <v>749</v>
      </c>
      <c r="O18" s="3" t="s">
        <v>873</v>
      </c>
      <c r="P18" s="2" t="s">
        <v>888</v>
      </c>
    </row>
    <row r="19" spans="1:16">
      <c r="A19" s="5" t="s">
        <v>59</v>
      </c>
      <c r="B19" s="5" t="s">
        <v>105</v>
      </c>
      <c r="C19" s="6" t="s">
        <v>106</v>
      </c>
      <c r="D19" s="5" t="s">
        <v>107</v>
      </c>
      <c r="E19" s="2" t="s">
        <v>114</v>
      </c>
      <c r="F19" s="2" t="s">
        <v>114</v>
      </c>
      <c r="G19" s="5" t="s">
        <v>105</v>
      </c>
      <c r="I19" s="5" t="s">
        <v>107</v>
      </c>
      <c r="J19" s="2" t="s">
        <v>747</v>
      </c>
      <c r="L19" s="2" t="s">
        <v>891</v>
      </c>
      <c r="M19" s="3" t="s">
        <v>52</v>
      </c>
      <c r="N19" s="3" t="s">
        <v>749</v>
      </c>
      <c r="O19" s="3" t="s">
        <v>873</v>
      </c>
      <c r="P19" s="2" t="s">
        <v>889</v>
      </c>
    </row>
    <row r="20" spans="1:16">
      <c r="A20" s="5" t="s">
        <v>59</v>
      </c>
      <c r="B20" s="5" t="s">
        <v>108</v>
      </c>
      <c r="C20" s="6" t="s">
        <v>109</v>
      </c>
      <c r="D20" s="5" t="s">
        <v>110</v>
      </c>
      <c r="E20" s="2" t="s">
        <v>114</v>
      </c>
      <c r="F20" s="2" t="s">
        <v>114</v>
      </c>
      <c r="G20" s="5" t="s">
        <v>108</v>
      </c>
      <c r="I20" s="5" t="s">
        <v>110</v>
      </c>
      <c r="J20" s="2" t="s">
        <v>748</v>
      </c>
      <c r="L20" s="2" t="s">
        <v>891</v>
      </c>
      <c r="M20" s="3" t="s">
        <v>52</v>
      </c>
      <c r="N20" s="3" t="s">
        <v>749</v>
      </c>
      <c r="O20" s="3" t="s">
        <v>873</v>
      </c>
      <c r="P20" s="2" t="s">
        <v>890</v>
      </c>
    </row>
    <row r="21" spans="1:16">
      <c r="A21" s="5" t="s">
        <v>111</v>
      </c>
      <c r="B21" s="5" t="s">
        <v>112</v>
      </c>
      <c r="C21" s="6" t="s">
        <v>113</v>
      </c>
      <c r="D21" s="5" t="s">
        <v>58</v>
      </c>
      <c r="E21" s="2" t="s">
        <v>114</v>
      </c>
      <c r="F21" s="2" t="s">
        <v>114</v>
      </c>
      <c r="G21" s="5" t="s">
        <v>112</v>
      </c>
      <c r="I21" s="5" t="s">
        <v>729</v>
      </c>
      <c r="J21" s="2" t="s">
        <v>728</v>
      </c>
      <c r="L21" s="2" t="s">
        <v>891</v>
      </c>
      <c r="M21" s="3" t="s">
        <v>52</v>
      </c>
      <c r="N21" s="3" t="s">
        <v>749</v>
      </c>
      <c r="O21" s="3" t="s">
        <v>873</v>
      </c>
    </row>
    <row r="22" spans="1:16">
      <c r="A22" s="8" t="s">
        <v>213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 t="s">
        <v>731</v>
      </c>
      <c r="M22" s="9" t="s">
        <v>52</v>
      </c>
      <c r="N22" s="9" t="s">
        <v>53</v>
      </c>
      <c r="O22" s="9"/>
      <c r="P22" s="9"/>
    </row>
    <row r="23" spans="1:16">
      <c r="A23" s="2" t="s">
        <v>118</v>
      </c>
      <c r="B23" s="2" t="s">
        <v>119</v>
      </c>
      <c r="C23" s="2" t="s">
        <v>120</v>
      </c>
      <c r="D23" s="2" t="s">
        <v>121</v>
      </c>
      <c r="E23" s="2" t="s">
        <v>213</v>
      </c>
      <c r="F23" s="2" t="s">
        <v>213</v>
      </c>
      <c r="G23" s="2" t="s">
        <v>119</v>
      </c>
      <c r="H23" s="2" t="s">
        <v>869</v>
      </c>
      <c r="I23" s="2" t="s">
        <v>119</v>
      </c>
      <c r="J23" s="2" t="s">
        <v>16</v>
      </c>
      <c r="L23" s="2" t="s">
        <v>908</v>
      </c>
      <c r="M23" s="3" t="s">
        <v>751</v>
      </c>
      <c r="N23" s="3" t="s">
        <v>751</v>
      </c>
      <c r="O23" s="3" t="s">
        <v>872</v>
      </c>
      <c r="P23" s="3"/>
    </row>
    <row r="24" spans="1:16">
      <c r="A24" s="2" t="s">
        <v>118</v>
      </c>
      <c r="B24" s="2" t="s">
        <v>122</v>
      </c>
      <c r="C24" s="2" t="s">
        <v>123</v>
      </c>
      <c r="D24" s="2" t="s">
        <v>121</v>
      </c>
      <c r="E24" s="2" t="s">
        <v>213</v>
      </c>
      <c r="F24" s="2" t="s">
        <v>213</v>
      </c>
      <c r="J24" s="2" t="s">
        <v>16</v>
      </c>
      <c r="M24" s="3"/>
      <c r="N24" s="3"/>
      <c r="O24" s="3" t="s">
        <v>873</v>
      </c>
      <c r="P24" s="3"/>
    </row>
    <row r="25" spans="1:16">
      <c r="A25" s="2" t="s">
        <v>118</v>
      </c>
      <c r="B25" s="2" t="s">
        <v>124</v>
      </c>
      <c r="C25" s="2" t="s">
        <v>125</v>
      </c>
      <c r="D25" s="2" t="s">
        <v>121</v>
      </c>
      <c r="E25" s="2" t="s">
        <v>213</v>
      </c>
      <c r="F25" s="2" t="s">
        <v>213</v>
      </c>
      <c r="J25" s="2" t="s">
        <v>16</v>
      </c>
      <c r="M25" s="3"/>
      <c r="N25" s="3"/>
      <c r="O25" s="3" t="s">
        <v>873</v>
      </c>
      <c r="P25" s="3"/>
    </row>
    <row r="26" spans="1:16">
      <c r="A26" s="2" t="s">
        <v>118</v>
      </c>
      <c r="B26" s="2" t="s">
        <v>126</v>
      </c>
      <c r="C26" s="2" t="s">
        <v>127</v>
      </c>
      <c r="D26" s="2" t="s">
        <v>121</v>
      </c>
      <c r="E26" s="2" t="s">
        <v>213</v>
      </c>
      <c r="F26" s="2" t="s">
        <v>213</v>
      </c>
      <c r="J26" s="2" t="s">
        <v>16</v>
      </c>
      <c r="M26" s="3"/>
      <c r="N26" s="3"/>
      <c r="O26" s="3" t="s">
        <v>873</v>
      </c>
      <c r="P26" s="3"/>
    </row>
    <row r="27" spans="1:16">
      <c r="A27" s="2" t="s">
        <v>128</v>
      </c>
      <c r="B27" s="2" t="s">
        <v>129</v>
      </c>
      <c r="C27" s="2" t="s">
        <v>130</v>
      </c>
      <c r="D27" s="2" t="s">
        <v>121</v>
      </c>
      <c r="E27" s="2" t="s">
        <v>213</v>
      </c>
      <c r="F27" s="2" t="s">
        <v>213</v>
      </c>
      <c r="J27" s="2" t="s">
        <v>16</v>
      </c>
      <c r="M27" s="3"/>
      <c r="N27" s="3"/>
      <c r="O27" s="3" t="s">
        <v>873</v>
      </c>
      <c r="P27" s="3"/>
    </row>
    <row r="28" spans="1:16">
      <c r="A28" s="2" t="s">
        <v>128</v>
      </c>
      <c r="B28" s="2" t="s">
        <v>131</v>
      </c>
      <c r="C28" s="2" t="s">
        <v>132</v>
      </c>
      <c r="D28" s="2" t="s">
        <v>121</v>
      </c>
      <c r="E28" s="2" t="s">
        <v>213</v>
      </c>
      <c r="F28" s="2" t="s">
        <v>213</v>
      </c>
      <c r="J28" s="2" t="s">
        <v>16</v>
      </c>
      <c r="M28" s="3"/>
      <c r="N28" s="3"/>
      <c r="O28" s="3" t="s">
        <v>873</v>
      </c>
      <c r="P28" s="3"/>
    </row>
    <row r="29" spans="1:16">
      <c r="A29" s="2" t="s">
        <v>128</v>
      </c>
      <c r="B29" s="2" t="s">
        <v>133</v>
      </c>
      <c r="C29" s="2" t="s">
        <v>134</v>
      </c>
      <c r="D29" s="2" t="s">
        <v>121</v>
      </c>
      <c r="E29" s="2" t="s">
        <v>213</v>
      </c>
      <c r="F29" s="2" t="s">
        <v>213</v>
      </c>
      <c r="J29" s="2" t="s">
        <v>16</v>
      </c>
      <c r="M29" s="3"/>
      <c r="N29" s="3"/>
      <c r="O29" s="3" t="s">
        <v>873</v>
      </c>
      <c r="P29" s="3"/>
    </row>
    <row r="30" spans="1:16">
      <c r="A30" s="2" t="s">
        <v>135</v>
      </c>
      <c r="B30" s="2" t="s">
        <v>136</v>
      </c>
      <c r="C30" s="2" t="s">
        <v>137</v>
      </c>
      <c r="D30" s="2" t="s">
        <v>121</v>
      </c>
      <c r="E30" s="2" t="s">
        <v>213</v>
      </c>
      <c r="F30" s="2" t="s">
        <v>213</v>
      </c>
      <c r="G30" s="2" t="s">
        <v>874</v>
      </c>
      <c r="H30" s="2" t="s">
        <v>135</v>
      </c>
      <c r="I30" s="2" t="s">
        <v>136</v>
      </c>
      <c r="J30" s="2" t="s">
        <v>16</v>
      </c>
      <c r="L30" s="2" t="s">
        <v>908</v>
      </c>
      <c r="M30" s="3" t="s">
        <v>755</v>
      </c>
      <c r="N30" s="3" t="s">
        <v>755</v>
      </c>
      <c r="O30" s="3" t="s">
        <v>871</v>
      </c>
      <c r="P30" s="3"/>
    </row>
    <row r="31" spans="1:16">
      <c r="A31" s="2" t="s">
        <v>135</v>
      </c>
      <c r="B31" s="2" t="s">
        <v>138</v>
      </c>
      <c r="C31" s="2" t="s">
        <v>139</v>
      </c>
      <c r="D31" s="2" t="s">
        <v>121</v>
      </c>
      <c r="E31" s="2" t="s">
        <v>213</v>
      </c>
      <c r="F31" s="2" t="s">
        <v>213</v>
      </c>
      <c r="G31" s="2" t="s">
        <v>875</v>
      </c>
      <c r="H31" s="2" t="s">
        <v>135</v>
      </c>
      <c r="I31" s="2" t="s">
        <v>138</v>
      </c>
      <c r="J31" s="2" t="s">
        <v>16</v>
      </c>
      <c r="L31" s="2" t="s">
        <v>908</v>
      </c>
      <c r="M31" s="3" t="s">
        <v>760</v>
      </c>
      <c r="N31" s="3" t="s">
        <v>760</v>
      </c>
      <c r="O31" s="3" t="s">
        <v>871</v>
      </c>
      <c r="P31" s="3"/>
    </row>
    <row r="32" spans="1:16">
      <c r="A32" s="2" t="s">
        <v>135</v>
      </c>
      <c r="B32" s="2" t="s">
        <v>140</v>
      </c>
      <c r="C32" s="2" t="s">
        <v>141</v>
      </c>
      <c r="D32" s="2" t="s">
        <v>121</v>
      </c>
      <c r="E32" s="2" t="s">
        <v>213</v>
      </c>
      <c r="F32" s="2" t="s">
        <v>213</v>
      </c>
      <c r="G32" s="2" t="s">
        <v>876</v>
      </c>
      <c r="H32" s="2" t="s">
        <v>135</v>
      </c>
      <c r="I32" s="2" t="s">
        <v>140</v>
      </c>
      <c r="J32" s="2" t="s">
        <v>16</v>
      </c>
      <c r="L32" s="2" t="s">
        <v>908</v>
      </c>
      <c r="M32" s="3" t="s">
        <v>759</v>
      </c>
      <c r="N32" s="3" t="s">
        <v>759</v>
      </c>
      <c r="O32" s="3" t="s">
        <v>871</v>
      </c>
      <c r="P32" s="3"/>
    </row>
    <row r="33" spans="1:16">
      <c r="A33" s="2" t="s">
        <v>135</v>
      </c>
      <c r="B33" s="2" t="s">
        <v>142</v>
      </c>
      <c r="C33" s="2" t="s">
        <v>143</v>
      </c>
      <c r="D33" s="2" t="s">
        <v>121</v>
      </c>
      <c r="E33" s="2" t="s">
        <v>213</v>
      </c>
      <c r="F33" s="2" t="s">
        <v>213</v>
      </c>
      <c r="G33" s="2" t="s">
        <v>877</v>
      </c>
      <c r="H33" s="2" t="s">
        <v>135</v>
      </c>
      <c r="I33" s="2" t="s">
        <v>142</v>
      </c>
      <c r="J33" s="2" t="s">
        <v>16</v>
      </c>
      <c r="L33" s="2" t="s">
        <v>908</v>
      </c>
      <c r="M33" s="3" t="s">
        <v>750</v>
      </c>
      <c r="N33" s="3" t="s">
        <v>750</v>
      </c>
      <c r="O33" s="3" t="s">
        <v>871</v>
      </c>
      <c r="P33" s="3"/>
    </row>
    <row r="34" spans="1:16">
      <c r="A34" s="2" t="s">
        <v>135</v>
      </c>
      <c r="B34" s="2" t="s">
        <v>144</v>
      </c>
      <c r="C34" s="2" t="s">
        <v>145</v>
      </c>
      <c r="D34" s="2" t="s">
        <v>16</v>
      </c>
      <c r="E34" s="2" t="s">
        <v>213</v>
      </c>
      <c r="F34" s="2" t="s">
        <v>213</v>
      </c>
      <c r="M34" s="3"/>
      <c r="N34" s="3"/>
      <c r="O34" s="3"/>
      <c r="P34" s="3"/>
    </row>
    <row r="35" spans="1:16">
      <c r="A35" s="2" t="s">
        <v>135</v>
      </c>
      <c r="B35" s="2" t="s">
        <v>146</v>
      </c>
      <c r="C35" s="2" t="s">
        <v>147</v>
      </c>
      <c r="D35" s="2" t="s">
        <v>16</v>
      </c>
      <c r="E35" s="2" t="s">
        <v>213</v>
      </c>
      <c r="F35" s="2" t="s">
        <v>213</v>
      </c>
      <c r="M35" s="3"/>
      <c r="N35" s="3"/>
      <c r="O35" s="3"/>
      <c r="P35" s="3"/>
    </row>
    <row r="36" spans="1:16">
      <c r="A36" s="2" t="s">
        <v>135</v>
      </c>
      <c r="B36" s="2" t="s">
        <v>148</v>
      </c>
      <c r="C36" s="2" t="s">
        <v>149</v>
      </c>
      <c r="D36" s="2" t="s">
        <v>16</v>
      </c>
      <c r="E36" s="2" t="s">
        <v>213</v>
      </c>
      <c r="F36" s="2" t="s">
        <v>213</v>
      </c>
      <c r="M36" s="3"/>
      <c r="N36" s="3"/>
      <c r="O36" s="3"/>
      <c r="P36" s="3"/>
    </row>
    <row r="37" spans="1:16">
      <c r="A37" s="2" t="s">
        <v>135</v>
      </c>
      <c r="B37" s="2" t="s">
        <v>150</v>
      </c>
      <c r="C37" s="2" t="s">
        <v>151</v>
      </c>
      <c r="D37" s="2" t="s">
        <v>16</v>
      </c>
      <c r="E37" s="2" t="s">
        <v>213</v>
      </c>
      <c r="F37" s="2" t="s">
        <v>213</v>
      </c>
      <c r="M37" s="3"/>
      <c r="N37" s="3"/>
      <c r="O37" s="3"/>
      <c r="P37" s="3"/>
    </row>
    <row r="38" spans="1:16">
      <c r="A38" s="2" t="s">
        <v>135</v>
      </c>
      <c r="B38" s="2" t="s">
        <v>152</v>
      </c>
      <c r="C38" s="2" t="s">
        <v>153</v>
      </c>
      <c r="D38" s="2" t="s">
        <v>16</v>
      </c>
      <c r="E38" s="2" t="s">
        <v>213</v>
      </c>
      <c r="F38" s="2" t="s">
        <v>213</v>
      </c>
      <c r="M38" s="3"/>
      <c r="N38" s="3"/>
      <c r="O38" s="3"/>
      <c r="P38" s="3"/>
    </row>
    <row r="39" spans="1:16">
      <c r="A39" s="2" t="s">
        <v>135</v>
      </c>
      <c r="B39" s="2" t="s">
        <v>154</v>
      </c>
      <c r="C39" s="2" t="s">
        <v>155</v>
      </c>
      <c r="D39" s="2" t="s">
        <v>16</v>
      </c>
      <c r="E39" s="2" t="s">
        <v>213</v>
      </c>
      <c r="F39" s="2" t="s">
        <v>213</v>
      </c>
      <c r="M39" s="3"/>
      <c r="N39" s="3"/>
      <c r="O39" s="3"/>
      <c r="P39" s="3"/>
    </row>
    <row r="40" spans="1:16">
      <c r="A40" s="2" t="s">
        <v>135</v>
      </c>
      <c r="B40" s="2" t="s">
        <v>156</v>
      </c>
      <c r="C40" s="2" t="s">
        <v>157</v>
      </c>
      <c r="D40" s="2" t="s">
        <v>16</v>
      </c>
      <c r="E40" s="2" t="s">
        <v>213</v>
      </c>
      <c r="F40" s="2" t="s">
        <v>213</v>
      </c>
      <c r="M40" s="3"/>
      <c r="N40" s="3"/>
      <c r="O40" s="3"/>
      <c r="P40" s="3"/>
    </row>
    <row r="41" spans="1:16">
      <c r="A41" s="2" t="s">
        <v>135</v>
      </c>
      <c r="B41" s="2" t="s">
        <v>158</v>
      </c>
      <c r="C41" s="2" t="s">
        <v>159</v>
      </c>
      <c r="D41" s="2" t="s">
        <v>16</v>
      </c>
      <c r="E41" s="2" t="s">
        <v>213</v>
      </c>
      <c r="F41" s="2" t="s">
        <v>213</v>
      </c>
      <c r="M41" s="3"/>
      <c r="N41" s="3"/>
      <c r="O41" s="3"/>
      <c r="P41" s="3"/>
    </row>
    <row r="42" spans="1:16">
      <c r="A42" s="2" t="s">
        <v>135</v>
      </c>
      <c r="B42" s="2" t="s">
        <v>160</v>
      </c>
      <c r="C42" s="2" t="s">
        <v>161</v>
      </c>
      <c r="D42" s="2" t="s">
        <v>16</v>
      </c>
      <c r="E42" s="2" t="s">
        <v>213</v>
      </c>
      <c r="F42" s="2" t="s">
        <v>213</v>
      </c>
      <c r="M42" s="3"/>
      <c r="N42" s="3"/>
      <c r="O42" s="3"/>
      <c r="P42" s="3"/>
    </row>
    <row r="43" spans="1:16">
      <c r="A43" s="2" t="s">
        <v>135</v>
      </c>
      <c r="B43" s="2" t="s">
        <v>162</v>
      </c>
      <c r="C43" s="2" t="s">
        <v>163</v>
      </c>
      <c r="D43" s="2" t="s">
        <v>16</v>
      </c>
      <c r="E43" s="2" t="s">
        <v>213</v>
      </c>
      <c r="F43" s="2" t="s">
        <v>213</v>
      </c>
      <c r="M43" s="3"/>
      <c r="N43" s="3"/>
      <c r="O43" s="3"/>
      <c r="P43" s="3"/>
    </row>
    <row r="44" spans="1:16">
      <c r="A44" s="2" t="s">
        <v>135</v>
      </c>
      <c r="B44" s="2" t="s">
        <v>164</v>
      </c>
      <c r="C44" s="2" t="s">
        <v>165</v>
      </c>
      <c r="D44" s="2" t="s">
        <v>16</v>
      </c>
      <c r="E44" s="2" t="s">
        <v>213</v>
      </c>
      <c r="F44" s="2" t="s">
        <v>213</v>
      </c>
      <c r="M44" s="3"/>
      <c r="N44" s="3"/>
      <c r="O44" s="3"/>
      <c r="P44" s="3"/>
    </row>
    <row r="45" spans="1:16">
      <c r="A45" s="2" t="s">
        <v>135</v>
      </c>
      <c r="B45" s="2" t="s">
        <v>166</v>
      </c>
      <c r="C45" s="2" t="s">
        <v>167</v>
      </c>
      <c r="D45" s="2" t="s">
        <v>16</v>
      </c>
      <c r="E45" s="2" t="s">
        <v>213</v>
      </c>
      <c r="F45" s="2" t="s">
        <v>213</v>
      </c>
      <c r="M45" s="3"/>
      <c r="N45" s="3"/>
      <c r="O45" s="3"/>
      <c r="P45" s="3"/>
    </row>
    <row r="46" spans="1:16">
      <c r="A46" s="2" t="s">
        <v>135</v>
      </c>
      <c r="B46" s="2" t="s">
        <v>168</v>
      </c>
      <c r="C46" s="2" t="s">
        <v>169</v>
      </c>
      <c r="D46" s="2" t="s">
        <v>16</v>
      </c>
      <c r="E46" s="2" t="s">
        <v>213</v>
      </c>
      <c r="F46" s="2" t="s">
        <v>213</v>
      </c>
      <c r="M46" s="3"/>
      <c r="N46" s="3"/>
      <c r="O46" s="3"/>
      <c r="P46" s="3"/>
    </row>
    <row r="47" spans="1:16">
      <c r="A47" s="2" t="s">
        <v>135</v>
      </c>
      <c r="B47" s="2" t="s">
        <v>170</v>
      </c>
      <c r="C47" s="2" t="s">
        <v>171</v>
      </c>
      <c r="D47" s="2" t="s">
        <v>16</v>
      </c>
      <c r="E47" s="2" t="s">
        <v>213</v>
      </c>
      <c r="F47" s="2" t="s">
        <v>213</v>
      </c>
      <c r="M47" s="3"/>
      <c r="N47" s="3"/>
      <c r="O47" s="3"/>
      <c r="P47" s="3"/>
    </row>
    <row r="48" spans="1:16">
      <c r="A48" s="2" t="s">
        <v>135</v>
      </c>
      <c r="B48" s="2" t="s">
        <v>172</v>
      </c>
      <c r="C48" s="2" t="s">
        <v>173</v>
      </c>
      <c r="D48" s="2" t="s">
        <v>16</v>
      </c>
      <c r="E48" s="2" t="s">
        <v>213</v>
      </c>
      <c r="F48" s="2" t="s">
        <v>213</v>
      </c>
      <c r="M48" s="3"/>
      <c r="N48" s="3"/>
      <c r="O48" s="3"/>
      <c r="P48" s="3"/>
    </row>
    <row r="49" spans="1:16">
      <c r="A49" s="2" t="s">
        <v>135</v>
      </c>
      <c r="B49" s="2" t="s">
        <v>174</v>
      </c>
      <c r="C49" s="2" t="s">
        <v>175</v>
      </c>
      <c r="D49" s="2" t="s">
        <v>16</v>
      </c>
      <c r="E49" s="2" t="s">
        <v>213</v>
      </c>
      <c r="F49" s="2" t="s">
        <v>213</v>
      </c>
      <c r="M49" s="3"/>
      <c r="N49" s="3"/>
      <c r="O49" s="3"/>
      <c r="P49" s="3"/>
    </row>
    <row r="50" spans="1:16">
      <c r="A50" s="2" t="s">
        <v>135</v>
      </c>
      <c r="B50" s="2" t="s">
        <v>176</v>
      </c>
      <c r="C50" s="2" t="s">
        <v>177</v>
      </c>
      <c r="D50" s="2" t="s">
        <v>16</v>
      </c>
      <c r="E50" s="2" t="s">
        <v>213</v>
      </c>
      <c r="F50" s="2" t="s">
        <v>213</v>
      </c>
      <c r="M50" s="3"/>
      <c r="N50" s="3"/>
      <c r="O50" s="3"/>
      <c r="P50" s="3"/>
    </row>
    <row r="51" spans="1:16">
      <c r="A51" s="2" t="s">
        <v>135</v>
      </c>
      <c r="B51" s="2" t="s">
        <v>178</v>
      </c>
      <c r="C51" s="2" t="s">
        <v>179</v>
      </c>
      <c r="D51" s="2" t="s">
        <v>16</v>
      </c>
      <c r="E51" s="2" t="s">
        <v>213</v>
      </c>
      <c r="F51" s="2" t="s">
        <v>213</v>
      </c>
      <c r="M51" s="3"/>
      <c r="N51" s="3"/>
      <c r="O51" s="3"/>
      <c r="P51" s="3"/>
    </row>
    <row r="52" spans="1:16">
      <c r="A52" s="2" t="s">
        <v>135</v>
      </c>
      <c r="B52" s="2" t="s">
        <v>180</v>
      </c>
      <c r="C52" s="2" t="s">
        <v>181</v>
      </c>
      <c r="D52" s="2" t="s">
        <v>16</v>
      </c>
      <c r="E52" s="2" t="s">
        <v>213</v>
      </c>
      <c r="F52" s="2" t="s">
        <v>213</v>
      </c>
      <c r="M52" s="3"/>
      <c r="N52" s="3"/>
      <c r="O52" s="3"/>
      <c r="P52" s="3"/>
    </row>
    <row r="53" spans="1:16">
      <c r="A53" s="2" t="s">
        <v>135</v>
      </c>
      <c r="B53" s="2" t="s">
        <v>182</v>
      </c>
      <c r="C53" s="2" t="s">
        <v>183</v>
      </c>
      <c r="D53" s="2" t="s">
        <v>16</v>
      </c>
      <c r="E53" s="2" t="s">
        <v>213</v>
      </c>
      <c r="F53" s="2" t="s">
        <v>213</v>
      </c>
      <c r="M53" s="3"/>
      <c r="N53" s="3"/>
      <c r="O53" s="3"/>
      <c r="P53" s="3"/>
    </row>
    <row r="54" spans="1:16">
      <c r="A54" s="2" t="s">
        <v>135</v>
      </c>
      <c r="B54" s="2" t="s">
        <v>184</v>
      </c>
      <c r="C54" s="2" t="s">
        <v>185</v>
      </c>
      <c r="D54" s="2" t="s">
        <v>16</v>
      </c>
      <c r="E54" s="2" t="s">
        <v>213</v>
      </c>
      <c r="F54" s="2" t="s">
        <v>213</v>
      </c>
      <c r="M54" s="3"/>
      <c r="N54" s="3"/>
      <c r="O54" s="3"/>
      <c r="P54" s="3"/>
    </row>
    <row r="55" spans="1:16">
      <c r="A55" s="2" t="s">
        <v>186</v>
      </c>
      <c r="B55" s="2" t="s">
        <v>187</v>
      </c>
      <c r="C55" s="2" t="s">
        <v>188</v>
      </c>
      <c r="D55" s="2" t="s">
        <v>16</v>
      </c>
      <c r="E55" s="2" t="s">
        <v>213</v>
      </c>
      <c r="F55" s="2" t="s">
        <v>213</v>
      </c>
      <c r="M55" s="3"/>
      <c r="N55" s="3"/>
      <c r="O55" s="3"/>
      <c r="P55" s="3"/>
    </row>
    <row r="56" spans="1:16">
      <c r="A56" s="2" t="s">
        <v>186</v>
      </c>
      <c r="B56" s="2" t="s">
        <v>189</v>
      </c>
      <c r="C56" s="2" t="s">
        <v>190</v>
      </c>
      <c r="D56" s="2" t="s">
        <v>16</v>
      </c>
      <c r="E56" s="2" t="s">
        <v>213</v>
      </c>
      <c r="F56" s="2" t="s">
        <v>213</v>
      </c>
      <c r="M56" s="3"/>
      <c r="N56" s="3"/>
      <c r="O56" s="3"/>
      <c r="P56" s="3"/>
    </row>
    <row r="57" spans="1:16">
      <c r="A57" s="2" t="s">
        <v>186</v>
      </c>
      <c r="B57" s="2" t="s">
        <v>191</v>
      </c>
      <c r="C57" s="2" t="s">
        <v>192</v>
      </c>
      <c r="D57" s="2" t="s">
        <v>16</v>
      </c>
      <c r="E57" s="2" t="s">
        <v>213</v>
      </c>
      <c r="F57" s="2" t="s">
        <v>213</v>
      </c>
      <c r="M57" s="3"/>
      <c r="N57" s="3"/>
      <c r="O57" s="3"/>
      <c r="P57" s="3"/>
    </row>
    <row r="58" spans="1:16">
      <c r="A58" s="2" t="s">
        <v>186</v>
      </c>
      <c r="B58" s="2" t="s">
        <v>193</v>
      </c>
      <c r="C58" s="2" t="s">
        <v>194</v>
      </c>
      <c r="D58" s="2" t="s">
        <v>16</v>
      </c>
      <c r="E58" s="2" t="s">
        <v>213</v>
      </c>
      <c r="F58" s="2" t="s">
        <v>213</v>
      </c>
      <c r="M58" s="3"/>
      <c r="N58" s="3"/>
      <c r="O58" s="3"/>
      <c r="P58" s="3"/>
    </row>
    <row r="59" spans="1:16">
      <c r="A59" s="2" t="s">
        <v>186</v>
      </c>
      <c r="B59" s="2" t="s">
        <v>195</v>
      </c>
      <c r="C59" s="2" t="s">
        <v>196</v>
      </c>
      <c r="D59" s="2" t="s">
        <v>16</v>
      </c>
      <c r="E59" s="2" t="s">
        <v>213</v>
      </c>
      <c r="F59" s="2" t="s">
        <v>213</v>
      </c>
      <c r="M59" s="3"/>
      <c r="N59" s="3"/>
      <c r="O59" s="3"/>
      <c r="P59" s="3"/>
    </row>
    <row r="60" spans="1:16">
      <c r="A60" s="2" t="s">
        <v>197</v>
      </c>
      <c r="B60" s="2" t="s">
        <v>136</v>
      </c>
      <c r="C60" s="2" t="s">
        <v>198</v>
      </c>
      <c r="D60" s="2" t="s">
        <v>121</v>
      </c>
      <c r="E60" s="2" t="s">
        <v>213</v>
      </c>
      <c r="F60" s="2" t="s">
        <v>213</v>
      </c>
      <c r="G60" s="2" t="s">
        <v>778</v>
      </c>
      <c r="H60" s="2" t="s">
        <v>197</v>
      </c>
      <c r="I60" s="2" t="s">
        <v>136</v>
      </c>
      <c r="J60" s="2" t="s">
        <v>16</v>
      </c>
      <c r="L60" s="2" t="s">
        <v>908</v>
      </c>
      <c r="M60" s="3" t="s">
        <v>755</v>
      </c>
      <c r="N60" s="3" t="s">
        <v>755</v>
      </c>
      <c r="O60" s="3" t="s">
        <v>873</v>
      </c>
      <c r="P60" s="3"/>
    </row>
    <row r="61" spans="1:16">
      <c r="A61" s="2" t="s">
        <v>197</v>
      </c>
      <c r="B61" s="2" t="s">
        <v>138</v>
      </c>
      <c r="C61" s="2" t="s">
        <v>199</v>
      </c>
      <c r="D61" s="2" t="s">
        <v>121</v>
      </c>
      <c r="E61" s="2" t="s">
        <v>213</v>
      </c>
      <c r="F61" s="2" t="s">
        <v>213</v>
      </c>
      <c r="G61" s="2" t="s">
        <v>777</v>
      </c>
      <c r="H61" s="2" t="s">
        <v>197</v>
      </c>
      <c r="I61" s="2" t="s">
        <v>138</v>
      </c>
      <c r="J61" s="2" t="s">
        <v>16</v>
      </c>
      <c r="L61" s="2" t="s">
        <v>908</v>
      </c>
      <c r="M61" s="3" t="s">
        <v>760</v>
      </c>
      <c r="N61" s="3" t="s">
        <v>760</v>
      </c>
      <c r="O61" s="3" t="s">
        <v>873</v>
      </c>
      <c r="P61" s="3"/>
    </row>
    <row r="62" spans="1:16">
      <c r="A62" s="2" t="s">
        <v>197</v>
      </c>
      <c r="B62" s="2" t="s">
        <v>200</v>
      </c>
      <c r="C62" s="2" t="s">
        <v>201</v>
      </c>
      <c r="D62" s="2" t="s">
        <v>121</v>
      </c>
      <c r="E62" s="2" t="s">
        <v>213</v>
      </c>
      <c r="F62" s="2" t="s">
        <v>213</v>
      </c>
      <c r="M62" s="3"/>
      <c r="N62" s="3"/>
      <c r="O62" s="3"/>
      <c r="P62" s="3"/>
    </row>
    <row r="63" spans="1:16">
      <c r="A63" s="2" t="s">
        <v>197</v>
      </c>
      <c r="B63" s="2" t="s">
        <v>202</v>
      </c>
      <c r="C63" s="2" t="s">
        <v>203</v>
      </c>
      <c r="D63" s="2" t="s">
        <v>121</v>
      </c>
      <c r="E63" s="2" t="s">
        <v>213</v>
      </c>
      <c r="F63" s="2" t="s">
        <v>213</v>
      </c>
      <c r="M63" s="3"/>
      <c r="N63" s="3"/>
      <c r="O63" s="3"/>
      <c r="P63" s="3"/>
    </row>
    <row r="64" spans="1:16">
      <c r="A64" s="2" t="s">
        <v>197</v>
      </c>
      <c r="B64" s="2" t="s">
        <v>140</v>
      </c>
      <c r="C64" s="2" t="s">
        <v>204</v>
      </c>
      <c r="D64" s="2" t="s">
        <v>121</v>
      </c>
      <c r="E64" s="2" t="s">
        <v>213</v>
      </c>
      <c r="F64" s="2" t="s">
        <v>213</v>
      </c>
      <c r="G64" s="2" t="s">
        <v>779</v>
      </c>
      <c r="H64" s="2" t="s">
        <v>197</v>
      </c>
      <c r="I64" s="2" t="s">
        <v>140</v>
      </c>
      <c r="J64" s="2" t="s">
        <v>16</v>
      </c>
      <c r="L64" s="2" t="s">
        <v>908</v>
      </c>
      <c r="M64" s="3" t="s">
        <v>759</v>
      </c>
      <c r="N64" s="3" t="s">
        <v>759</v>
      </c>
      <c r="O64" s="3" t="s">
        <v>873</v>
      </c>
      <c r="P64" s="3"/>
    </row>
    <row r="65" spans="1:16">
      <c r="A65" s="2" t="s">
        <v>197</v>
      </c>
      <c r="B65" s="2" t="s">
        <v>205</v>
      </c>
      <c r="C65" s="2" t="s">
        <v>206</v>
      </c>
      <c r="D65" s="2" t="s">
        <v>121</v>
      </c>
      <c r="E65" s="2" t="s">
        <v>213</v>
      </c>
      <c r="F65" s="2" t="s">
        <v>213</v>
      </c>
      <c r="M65" s="3"/>
      <c r="N65" s="3"/>
      <c r="O65" s="3"/>
      <c r="P65" s="3"/>
    </row>
    <row r="66" spans="1:16">
      <c r="A66" s="2" t="s">
        <v>197</v>
      </c>
      <c r="B66" s="2" t="s">
        <v>142</v>
      </c>
      <c r="C66" s="2" t="s">
        <v>207</v>
      </c>
      <c r="D66" s="2" t="s">
        <v>121</v>
      </c>
      <c r="E66" s="2" t="s">
        <v>213</v>
      </c>
      <c r="F66" s="2" t="s">
        <v>213</v>
      </c>
      <c r="G66" s="2" t="s">
        <v>780</v>
      </c>
      <c r="H66" s="2" t="s">
        <v>197</v>
      </c>
      <c r="I66" s="2" t="s">
        <v>142</v>
      </c>
      <c r="J66" s="2" t="s">
        <v>16</v>
      </c>
      <c r="L66" s="2" t="s">
        <v>908</v>
      </c>
      <c r="M66" s="3" t="s">
        <v>750</v>
      </c>
      <c r="N66" s="3" t="s">
        <v>750</v>
      </c>
      <c r="O66" s="3" t="s">
        <v>873</v>
      </c>
      <c r="P66" s="3"/>
    </row>
    <row r="67" spans="1:16">
      <c r="A67" s="2" t="s">
        <v>197</v>
      </c>
      <c r="B67" s="2" t="s">
        <v>208</v>
      </c>
      <c r="C67" s="2" t="s">
        <v>209</v>
      </c>
      <c r="D67" s="2" t="s">
        <v>121</v>
      </c>
      <c r="E67" s="2" t="s">
        <v>213</v>
      </c>
      <c r="F67" s="2" t="s">
        <v>213</v>
      </c>
      <c r="M67" s="3"/>
      <c r="N67" s="3"/>
      <c r="O67" s="3"/>
      <c r="P67" s="3"/>
    </row>
    <row r="68" spans="1:16">
      <c r="A68" s="2" t="s">
        <v>197</v>
      </c>
      <c r="B68" s="2" t="s">
        <v>210</v>
      </c>
      <c r="C68" s="2" t="s">
        <v>211</v>
      </c>
      <c r="D68" s="2" t="s">
        <v>212</v>
      </c>
      <c r="E68" s="2" t="s">
        <v>213</v>
      </c>
      <c r="F68" s="2" t="s">
        <v>213</v>
      </c>
      <c r="G68" s="2" t="s">
        <v>210</v>
      </c>
      <c r="H68" s="2" t="s">
        <v>197</v>
      </c>
      <c r="I68" s="2" t="s">
        <v>210</v>
      </c>
      <c r="J68" s="2" t="s">
        <v>212</v>
      </c>
      <c r="L68" s="2" t="s">
        <v>908</v>
      </c>
      <c r="M68" s="3" t="s">
        <v>758</v>
      </c>
      <c r="N68" s="3" t="s">
        <v>758</v>
      </c>
      <c r="O68" s="3" t="s">
        <v>873</v>
      </c>
      <c r="P68" s="3"/>
    </row>
    <row r="69" spans="1:16">
      <c r="A69" s="8" t="s">
        <v>278</v>
      </c>
      <c r="B69" s="8"/>
      <c r="C69" s="8"/>
      <c r="D69" s="8"/>
      <c r="E69" s="8"/>
      <c r="F69" s="8"/>
      <c r="G69" s="8"/>
      <c r="H69" s="8"/>
      <c r="I69" s="8"/>
      <c r="J69" s="8"/>
      <c r="K69" s="8"/>
      <c r="L69" s="8" t="s">
        <v>731</v>
      </c>
      <c r="M69" s="9" t="s">
        <v>52</v>
      </c>
      <c r="N69" s="9" t="s">
        <v>53</v>
      </c>
      <c r="O69" s="9" t="s">
        <v>873</v>
      </c>
      <c r="P69" s="9"/>
    </row>
    <row r="70" spans="1:16">
      <c r="A70" s="2" t="s">
        <v>214</v>
      </c>
      <c r="B70" s="2" t="s">
        <v>215</v>
      </c>
      <c r="C70" s="2" t="s">
        <v>216</v>
      </c>
      <c r="D70" s="2" t="s">
        <v>217</v>
      </c>
      <c r="E70" s="2" t="s">
        <v>278</v>
      </c>
      <c r="F70" s="2" t="s">
        <v>278</v>
      </c>
      <c r="G70" s="2" t="s">
        <v>767</v>
      </c>
      <c r="H70" s="2" t="s">
        <v>861</v>
      </c>
      <c r="I70" s="2" t="s">
        <v>767</v>
      </c>
      <c r="J70" s="2" t="s">
        <v>910</v>
      </c>
      <c r="K70" s="2" t="s">
        <v>861</v>
      </c>
      <c r="L70" s="2" t="s">
        <v>921</v>
      </c>
      <c r="M70" s="3" t="s">
        <v>751</v>
      </c>
      <c r="N70" s="3" t="s">
        <v>751</v>
      </c>
      <c r="O70" s="3" t="s">
        <v>872</v>
      </c>
      <c r="P70" s="3"/>
    </row>
    <row r="71" spans="1:16">
      <c r="A71" s="2" t="s">
        <v>214</v>
      </c>
      <c r="B71" s="2" t="s">
        <v>218</v>
      </c>
      <c r="C71" s="2" t="s">
        <v>219</v>
      </c>
      <c r="D71" s="2" t="s">
        <v>217</v>
      </c>
      <c r="E71" s="2" t="s">
        <v>278</v>
      </c>
      <c r="F71" s="2" t="s">
        <v>278</v>
      </c>
      <c r="G71" s="2" t="s">
        <v>768</v>
      </c>
      <c r="H71" s="2" t="s">
        <v>861</v>
      </c>
      <c r="I71" s="2" t="s">
        <v>768</v>
      </c>
      <c r="J71" s="2" t="s">
        <v>217</v>
      </c>
      <c r="K71" s="2" t="s">
        <v>861</v>
      </c>
      <c r="L71" s="2" t="s">
        <v>921</v>
      </c>
      <c r="M71" s="3" t="s">
        <v>892</v>
      </c>
      <c r="N71" s="3" t="s">
        <v>892</v>
      </c>
      <c r="O71" s="3" t="s">
        <v>873</v>
      </c>
      <c r="P71" s="3"/>
    </row>
    <row r="72" spans="1:16">
      <c r="A72" s="2" t="s">
        <v>214</v>
      </c>
      <c r="B72" s="2" t="s">
        <v>220</v>
      </c>
      <c r="C72" s="2" t="s">
        <v>221</v>
      </c>
      <c r="D72" s="2" t="s">
        <v>217</v>
      </c>
      <c r="E72" s="2" t="s">
        <v>278</v>
      </c>
      <c r="F72" s="2" t="s">
        <v>278</v>
      </c>
      <c r="G72" s="2" t="s">
        <v>769</v>
      </c>
      <c r="H72" s="2" t="s">
        <v>861</v>
      </c>
      <c r="I72" s="2" t="s">
        <v>769</v>
      </c>
      <c r="J72" s="2" t="s">
        <v>217</v>
      </c>
      <c r="K72" s="2" t="s">
        <v>861</v>
      </c>
      <c r="L72" s="2" t="s">
        <v>921</v>
      </c>
      <c r="M72" s="3" t="s">
        <v>892</v>
      </c>
      <c r="N72" s="3" t="s">
        <v>892</v>
      </c>
      <c r="O72" s="3" t="s">
        <v>873</v>
      </c>
      <c r="P72" s="3"/>
    </row>
    <row r="73" spans="1:16">
      <c r="A73" s="2" t="s">
        <v>214</v>
      </c>
      <c r="B73" s="2" t="s">
        <v>222</v>
      </c>
      <c r="C73" s="2" t="s">
        <v>223</v>
      </c>
      <c r="D73" s="2" t="s">
        <v>217</v>
      </c>
      <c r="E73" s="2" t="s">
        <v>278</v>
      </c>
      <c r="F73" s="2" t="s">
        <v>278</v>
      </c>
      <c r="G73" s="2" t="s">
        <v>770</v>
      </c>
      <c r="H73" s="2" t="s">
        <v>861</v>
      </c>
      <c r="I73" s="2" t="s">
        <v>770</v>
      </c>
      <c r="J73" s="2" t="s">
        <v>217</v>
      </c>
      <c r="K73" s="2" t="s">
        <v>861</v>
      </c>
      <c r="L73" s="2" t="s">
        <v>921</v>
      </c>
      <c r="M73" s="3" t="s">
        <v>892</v>
      </c>
      <c r="N73" s="3" t="s">
        <v>892</v>
      </c>
      <c r="O73" s="3" t="s">
        <v>873</v>
      </c>
      <c r="P73" s="3"/>
    </row>
    <row r="74" spans="1:16">
      <c r="A74" s="2" t="s">
        <v>214</v>
      </c>
      <c r="B74" s="2" t="s">
        <v>224</v>
      </c>
      <c r="C74" s="2" t="s">
        <v>225</v>
      </c>
      <c r="D74" s="2" t="s">
        <v>217</v>
      </c>
      <c r="E74" s="2" t="s">
        <v>278</v>
      </c>
      <c r="F74" s="2" t="s">
        <v>278</v>
      </c>
      <c r="G74" s="2" t="s">
        <v>771</v>
      </c>
      <c r="H74" s="2" t="s">
        <v>861</v>
      </c>
      <c r="I74" s="2" t="s">
        <v>771</v>
      </c>
      <c r="J74" s="2" t="s">
        <v>217</v>
      </c>
      <c r="K74" s="2" t="s">
        <v>861</v>
      </c>
      <c r="L74" s="2" t="s">
        <v>921</v>
      </c>
      <c r="M74" s="3" t="s">
        <v>892</v>
      </c>
      <c r="N74" s="3" t="s">
        <v>892</v>
      </c>
      <c r="O74" s="3" t="s">
        <v>873</v>
      </c>
      <c r="P74" s="3"/>
    </row>
    <row r="75" spans="1:16">
      <c r="A75" s="2" t="s">
        <v>214</v>
      </c>
      <c r="B75" s="2" t="s">
        <v>226</v>
      </c>
      <c r="C75" s="2" t="s">
        <v>227</v>
      </c>
      <c r="D75" s="2" t="s">
        <v>217</v>
      </c>
      <c r="E75" s="2" t="s">
        <v>278</v>
      </c>
      <c r="F75" s="2" t="s">
        <v>278</v>
      </c>
      <c r="G75" s="2" t="s">
        <v>772</v>
      </c>
      <c r="H75" s="2" t="s">
        <v>861</v>
      </c>
      <c r="I75" s="2" t="s">
        <v>772</v>
      </c>
      <c r="J75" s="2" t="s">
        <v>217</v>
      </c>
      <c r="K75" s="2" t="s">
        <v>861</v>
      </c>
      <c r="L75" s="2" t="s">
        <v>921</v>
      </c>
      <c r="M75" s="3" t="s">
        <v>892</v>
      </c>
      <c r="N75" s="3" t="s">
        <v>892</v>
      </c>
      <c r="O75" s="3" t="s">
        <v>873</v>
      </c>
      <c r="P75" s="3"/>
    </row>
    <row r="76" spans="1:16">
      <c r="A76" s="2" t="s">
        <v>214</v>
      </c>
      <c r="B76" s="2" t="s">
        <v>228</v>
      </c>
      <c r="C76" s="2" t="s">
        <v>229</v>
      </c>
      <c r="D76" s="2" t="s">
        <v>217</v>
      </c>
      <c r="E76" s="2" t="s">
        <v>278</v>
      </c>
      <c r="F76" s="2" t="s">
        <v>278</v>
      </c>
      <c r="G76" s="2" t="s">
        <v>773</v>
      </c>
      <c r="H76" s="2" t="s">
        <v>861</v>
      </c>
      <c r="I76" s="2" t="s">
        <v>773</v>
      </c>
      <c r="J76" s="2" t="s">
        <v>217</v>
      </c>
      <c r="K76" s="2" t="s">
        <v>861</v>
      </c>
      <c r="L76" s="2" t="s">
        <v>921</v>
      </c>
      <c r="M76" s="3" t="s">
        <v>892</v>
      </c>
      <c r="N76" s="3" t="s">
        <v>892</v>
      </c>
      <c r="O76" s="3" t="s">
        <v>873</v>
      </c>
      <c r="P76" s="3"/>
    </row>
    <row r="77" spans="1:16">
      <c r="A77" s="2" t="s">
        <v>214</v>
      </c>
      <c r="B77" s="2" t="s">
        <v>230</v>
      </c>
      <c r="C77" s="2" t="s">
        <v>231</v>
      </c>
      <c r="D77" s="2" t="s">
        <v>217</v>
      </c>
      <c r="E77" s="2" t="s">
        <v>278</v>
      </c>
      <c r="F77" s="2" t="s">
        <v>278</v>
      </c>
      <c r="G77" s="2" t="s">
        <v>774</v>
      </c>
      <c r="H77" s="2" t="s">
        <v>861</v>
      </c>
      <c r="I77" s="2" t="s">
        <v>774</v>
      </c>
      <c r="J77" s="2" t="s">
        <v>217</v>
      </c>
      <c r="K77" s="2" t="s">
        <v>861</v>
      </c>
      <c r="L77" s="2" t="s">
        <v>921</v>
      </c>
      <c r="M77" s="3" t="s">
        <v>892</v>
      </c>
      <c r="N77" s="3" t="s">
        <v>892</v>
      </c>
      <c r="O77" s="3" t="s">
        <v>873</v>
      </c>
      <c r="P77" s="3"/>
    </row>
    <row r="78" spans="1:16">
      <c r="A78" s="2" t="s">
        <v>214</v>
      </c>
      <c r="B78" s="2" t="s">
        <v>232</v>
      </c>
      <c r="C78" s="2" t="s">
        <v>233</v>
      </c>
      <c r="D78" s="2" t="s">
        <v>217</v>
      </c>
      <c r="E78" s="2" t="s">
        <v>278</v>
      </c>
      <c r="F78" s="2" t="s">
        <v>278</v>
      </c>
      <c r="G78" s="2" t="s">
        <v>775</v>
      </c>
      <c r="H78" s="2" t="s">
        <v>861</v>
      </c>
      <c r="I78" s="2" t="s">
        <v>775</v>
      </c>
      <c r="J78" s="2" t="s">
        <v>217</v>
      </c>
      <c r="K78" s="2" t="s">
        <v>861</v>
      </c>
      <c r="L78" s="2" t="s">
        <v>921</v>
      </c>
      <c r="M78" s="3" t="s">
        <v>892</v>
      </c>
      <c r="N78" s="3" t="s">
        <v>892</v>
      </c>
      <c r="O78" s="3" t="s">
        <v>873</v>
      </c>
      <c r="P78" s="3"/>
    </row>
    <row r="79" spans="1:16">
      <c r="A79" s="2" t="s">
        <v>214</v>
      </c>
      <c r="B79" s="2" t="s">
        <v>234</v>
      </c>
      <c r="C79" s="2" t="s">
        <v>235</v>
      </c>
      <c r="D79" s="2" t="s">
        <v>217</v>
      </c>
      <c r="E79" s="2" t="s">
        <v>278</v>
      </c>
      <c r="F79" s="2" t="s">
        <v>278</v>
      </c>
      <c r="G79" s="2" t="s">
        <v>766</v>
      </c>
      <c r="I79" s="2" t="s">
        <v>766</v>
      </c>
      <c r="M79" s="3"/>
      <c r="N79" s="3"/>
      <c r="O79" s="3"/>
      <c r="P79" s="3"/>
    </row>
    <row r="80" spans="1:16">
      <c r="A80" s="2" t="s">
        <v>236</v>
      </c>
      <c r="B80" s="2" t="s">
        <v>237</v>
      </c>
      <c r="C80" s="2" t="s">
        <v>238</v>
      </c>
      <c r="D80" s="2" t="s">
        <v>217</v>
      </c>
      <c r="E80" s="2" t="s">
        <v>278</v>
      </c>
      <c r="F80" s="2" t="s">
        <v>278</v>
      </c>
      <c r="G80" s="2" t="s">
        <v>767</v>
      </c>
      <c r="H80" s="2" t="s">
        <v>878</v>
      </c>
      <c r="I80" s="2" t="s">
        <v>767</v>
      </c>
      <c r="J80" s="2" t="s">
        <v>910</v>
      </c>
      <c r="K80" s="2" t="s">
        <v>862</v>
      </c>
      <c r="L80" s="2" t="s">
        <v>921</v>
      </c>
      <c r="M80" s="3" t="str">
        <f>M70</f>
        <v>teal_snow</v>
      </c>
      <c r="N80" s="3" t="str">
        <f>N70</f>
        <v>teal_snow</v>
      </c>
      <c r="O80" s="3" t="s">
        <v>872</v>
      </c>
      <c r="P80" s="3"/>
    </row>
    <row r="81" spans="1:16">
      <c r="A81" s="2" t="s">
        <v>236</v>
      </c>
      <c r="B81" s="2" t="s">
        <v>239</v>
      </c>
      <c r="C81" s="2" t="s">
        <v>240</v>
      </c>
      <c r="D81" s="2" t="s">
        <v>217</v>
      </c>
      <c r="E81" s="2" t="s">
        <v>278</v>
      </c>
      <c r="F81" s="2" t="s">
        <v>278</v>
      </c>
      <c r="G81" s="2" t="s">
        <v>768</v>
      </c>
      <c r="H81" s="2" t="s">
        <v>878</v>
      </c>
      <c r="I81" s="2" t="s">
        <v>768</v>
      </c>
      <c r="J81" s="2" t="s">
        <v>217</v>
      </c>
      <c r="K81" s="2" t="s">
        <v>862</v>
      </c>
      <c r="L81" s="2" t="s">
        <v>921</v>
      </c>
      <c r="M81" s="3" t="str">
        <f t="shared" ref="M81:N88" si="0">M71</f>
        <v>number</v>
      </c>
      <c r="N81" s="3" t="str">
        <f t="shared" si="0"/>
        <v>number</v>
      </c>
      <c r="O81" s="3" t="s">
        <v>873</v>
      </c>
      <c r="P81" s="3"/>
    </row>
    <row r="82" spans="1:16">
      <c r="A82" s="2" t="s">
        <v>236</v>
      </c>
      <c r="B82" s="2" t="s">
        <v>241</v>
      </c>
      <c r="C82" s="2" t="s">
        <v>242</v>
      </c>
      <c r="D82" s="2" t="s">
        <v>217</v>
      </c>
      <c r="E82" s="2" t="s">
        <v>278</v>
      </c>
      <c r="F82" s="2" t="s">
        <v>278</v>
      </c>
      <c r="G82" s="2" t="s">
        <v>769</v>
      </c>
      <c r="H82" s="2" t="s">
        <v>878</v>
      </c>
      <c r="I82" s="2" t="s">
        <v>769</v>
      </c>
      <c r="J82" s="2" t="s">
        <v>217</v>
      </c>
      <c r="K82" s="2" t="s">
        <v>862</v>
      </c>
      <c r="L82" s="2" t="s">
        <v>921</v>
      </c>
      <c r="M82" s="3" t="str">
        <f t="shared" si="0"/>
        <v>number</v>
      </c>
      <c r="N82" s="3" t="str">
        <f t="shared" si="0"/>
        <v>number</v>
      </c>
      <c r="O82" s="3" t="s">
        <v>873</v>
      </c>
      <c r="P82" s="3"/>
    </row>
    <row r="83" spans="1:16">
      <c r="A83" s="2" t="s">
        <v>236</v>
      </c>
      <c r="B83" s="2" t="s">
        <v>243</v>
      </c>
      <c r="C83" s="2" t="s">
        <v>244</v>
      </c>
      <c r="D83" s="2" t="s">
        <v>217</v>
      </c>
      <c r="E83" s="2" t="s">
        <v>278</v>
      </c>
      <c r="F83" s="2" t="s">
        <v>278</v>
      </c>
      <c r="G83" s="2" t="s">
        <v>770</v>
      </c>
      <c r="H83" s="2" t="s">
        <v>878</v>
      </c>
      <c r="I83" s="2" t="s">
        <v>770</v>
      </c>
      <c r="J83" s="2" t="s">
        <v>217</v>
      </c>
      <c r="K83" s="2" t="s">
        <v>862</v>
      </c>
      <c r="L83" s="2" t="s">
        <v>921</v>
      </c>
      <c r="M83" s="3" t="str">
        <f t="shared" si="0"/>
        <v>number</v>
      </c>
      <c r="N83" s="3" t="str">
        <f t="shared" si="0"/>
        <v>number</v>
      </c>
      <c r="O83" s="3" t="s">
        <v>873</v>
      </c>
      <c r="P83" s="3"/>
    </row>
    <row r="84" spans="1:16">
      <c r="A84" s="2" t="s">
        <v>236</v>
      </c>
      <c r="B84" s="2" t="s">
        <v>245</v>
      </c>
      <c r="C84" s="2" t="s">
        <v>246</v>
      </c>
      <c r="D84" s="2" t="s">
        <v>217</v>
      </c>
      <c r="E84" s="2" t="s">
        <v>278</v>
      </c>
      <c r="F84" s="2" t="s">
        <v>278</v>
      </c>
      <c r="G84" s="2" t="s">
        <v>771</v>
      </c>
      <c r="H84" s="2" t="s">
        <v>878</v>
      </c>
      <c r="I84" s="2" t="s">
        <v>771</v>
      </c>
      <c r="J84" s="2" t="s">
        <v>217</v>
      </c>
      <c r="K84" s="2" t="s">
        <v>862</v>
      </c>
      <c r="L84" s="2" t="s">
        <v>921</v>
      </c>
      <c r="M84" s="3" t="str">
        <f t="shared" si="0"/>
        <v>number</v>
      </c>
      <c r="N84" s="3" t="str">
        <f t="shared" si="0"/>
        <v>number</v>
      </c>
      <c r="O84" s="3" t="s">
        <v>873</v>
      </c>
      <c r="P84" s="3"/>
    </row>
    <row r="85" spans="1:16">
      <c r="A85" s="2" t="s">
        <v>236</v>
      </c>
      <c r="B85" s="2" t="s">
        <v>247</v>
      </c>
      <c r="C85" s="2" t="s">
        <v>248</v>
      </c>
      <c r="D85" s="2" t="s">
        <v>217</v>
      </c>
      <c r="E85" s="2" t="s">
        <v>278</v>
      </c>
      <c r="F85" s="2" t="s">
        <v>278</v>
      </c>
      <c r="G85" s="2" t="s">
        <v>776</v>
      </c>
      <c r="H85" s="2" t="s">
        <v>878</v>
      </c>
      <c r="I85" s="2" t="s">
        <v>776</v>
      </c>
      <c r="J85" s="2" t="s">
        <v>217</v>
      </c>
      <c r="K85" s="2" t="s">
        <v>862</v>
      </c>
      <c r="L85" s="2" t="s">
        <v>921</v>
      </c>
      <c r="M85" s="3" t="str">
        <f t="shared" si="0"/>
        <v>number</v>
      </c>
      <c r="N85" s="3" t="str">
        <f t="shared" si="0"/>
        <v>number</v>
      </c>
      <c r="O85" s="3" t="s">
        <v>873</v>
      </c>
      <c r="P85" s="3"/>
    </row>
    <row r="86" spans="1:16">
      <c r="A86" s="2" t="s">
        <v>236</v>
      </c>
      <c r="B86" s="2" t="s">
        <v>249</v>
      </c>
      <c r="C86" s="2" t="s">
        <v>250</v>
      </c>
      <c r="D86" s="2" t="s">
        <v>217</v>
      </c>
      <c r="E86" s="2" t="s">
        <v>278</v>
      </c>
      <c r="F86" s="2" t="s">
        <v>278</v>
      </c>
      <c r="G86" s="2" t="s">
        <v>773</v>
      </c>
      <c r="H86" s="2" t="s">
        <v>878</v>
      </c>
      <c r="I86" s="2" t="s">
        <v>773</v>
      </c>
      <c r="J86" s="2" t="s">
        <v>217</v>
      </c>
      <c r="K86" s="2" t="s">
        <v>862</v>
      </c>
      <c r="L86" s="2" t="s">
        <v>921</v>
      </c>
      <c r="M86" s="3" t="str">
        <f t="shared" si="0"/>
        <v>number</v>
      </c>
      <c r="N86" s="3" t="str">
        <f t="shared" si="0"/>
        <v>number</v>
      </c>
      <c r="O86" s="3" t="s">
        <v>873</v>
      </c>
      <c r="P86" s="3"/>
    </row>
    <row r="87" spans="1:16">
      <c r="A87" s="2" t="s">
        <v>236</v>
      </c>
      <c r="B87" s="2" t="s">
        <v>251</v>
      </c>
      <c r="C87" s="2" t="s">
        <v>252</v>
      </c>
      <c r="D87" s="2" t="s">
        <v>217</v>
      </c>
      <c r="E87" s="2" t="s">
        <v>278</v>
      </c>
      <c r="F87" s="2" t="s">
        <v>278</v>
      </c>
      <c r="G87" s="2" t="s">
        <v>774</v>
      </c>
      <c r="H87" s="2" t="s">
        <v>878</v>
      </c>
      <c r="I87" s="2" t="s">
        <v>774</v>
      </c>
      <c r="J87" s="2" t="s">
        <v>217</v>
      </c>
      <c r="K87" s="2" t="s">
        <v>862</v>
      </c>
      <c r="L87" s="2" t="s">
        <v>921</v>
      </c>
      <c r="M87" s="3" t="str">
        <f t="shared" si="0"/>
        <v>number</v>
      </c>
      <c r="N87" s="3" t="str">
        <f t="shared" si="0"/>
        <v>number</v>
      </c>
      <c r="O87" s="3" t="s">
        <v>873</v>
      </c>
      <c r="P87" s="3"/>
    </row>
    <row r="88" spans="1:16">
      <c r="A88" s="2" t="s">
        <v>236</v>
      </c>
      <c r="B88" s="2" t="s">
        <v>253</v>
      </c>
      <c r="C88" s="2" t="s">
        <v>254</v>
      </c>
      <c r="D88" s="2" t="s">
        <v>217</v>
      </c>
      <c r="E88" s="2" t="s">
        <v>278</v>
      </c>
      <c r="F88" s="2" t="s">
        <v>278</v>
      </c>
      <c r="G88" s="2" t="s">
        <v>775</v>
      </c>
      <c r="H88" s="2" t="s">
        <v>878</v>
      </c>
      <c r="I88" s="2" t="s">
        <v>775</v>
      </c>
      <c r="J88" s="2" t="s">
        <v>217</v>
      </c>
      <c r="K88" s="2" t="s">
        <v>862</v>
      </c>
      <c r="L88" s="2" t="s">
        <v>921</v>
      </c>
      <c r="M88" s="3" t="str">
        <f t="shared" si="0"/>
        <v>number</v>
      </c>
      <c r="N88" s="3" t="str">
        <f t="shared" si="0"/>
        <v>number</v>
      </c>
      <c r="O88" s="3" t="s">
        <v>873</v>
      </c>
      <c r="P88" s="3"/>
    </row>
    <row r="89" spans="1:16">
      <c r="A89" s="2" t="s">
        <v>236</v>
      </c>
      <c r="B89" s="2" t="s">
        <v>255</v>
      </c>
      <c r="C89" s="2" t="s">
        <v>256</v>
      </c>
      <c r="D89" s="2" t="s">
        <v>217</v>
      </c>
      <c r="E89" s="2" t="s">
        <v>278</v>
      </c>
      <c r="F89" s="2" t="s">
        <v>278</v>
      </c>
      <c r="G89" s="2" t="s">
        <v>766</v>
      </c>
      <c r="I89" s="2" t="s">
        <v>766</v>
      </c>
      <c r="M89" s="3"/>
      <c r="N89" s="3"/>
      <c r="O89" s="3"/>
      <c r="P89" s="3"/>
    </row>
    <row r="90" spans="1:16">
      <c r="A90" s="2" t="s">
        <v>257</v>
      </c>
      <c r="B90" s="2" t="s">
        <v>258</v>
      </c>
      <c r="C90" s="2" t="s">
        <v>259</v>
      </c>
      <c r="D90" s="2" t="s">
        <v>217</v>
      </c>
      <c r="E90" s="2" t="s">
        <v>278</v>
      </c>
      <c r="F90" s="2" t="s">
        <v>278</v>
      </c>
      <c r="G90" s="2" t="s">
        <v>767</v>
      </c>
      <c r="H90" s="2" t="s">
        <v>879</v>
      </c>
      <c r="I90" s="2" t="s">
        <v>767</v>
      </c>
      <c r="J90" s="2" t="s">
        <v>910</v>
      </c>
      <c r="K90" s="2" t="s">
        <v>862</v>
      </c>
      <c r="L90" s="2" t="s">
        <v>921</v>
      </c>
      <c r="M90" s="3" t="str">
        <f>M80</f>
        <v>teal_snow</v>
      </c>
      <c r="N90" s="3" t="str">
        <f>N80</f>
        <v>teal_snow</v>
      </c>
      <c r="O90" s="3" t="s">
        <v>872</v>
      </c>
      <c r="P90" s="3"/>
    </row>
    <row r="91" spans="1:16">
      <c r="A91" s="2" t="s">
        <v>257</v>
      </c>
      <c r="B91" s="2" t="s">
        <v>260</v>
      </c>
      <c r="C91" s="2" t="s">
        <v>261</v>
      </c>
      <c r="D91" s="2" t="s">
        <v>217</v>
      </c>
      <c r="E91" s="2" t="s">
        <v>278</v>
      </c>
      <c r="F91" s="2" t="s">
        <v>278</v>
      </c>
      <c r="G91" s="2" t="s">
        <v>768</v>
      </c>
      <c r="H91" s="2" t="s">
        <v>879</v>
      </c>
      <c r="I91" s="2" t="s">
        <v>768</v>
      </c>
      <c r="J91" s="2" t="s">
        <v>217</v>
      </c>
      <c r="K91" s="2" t="s">
        <v>862</v>
      </c>
      <c r="L91" s="2" t="s">
        <v>921</v>
      </c>
      <c r="M91" s="3" t="str">
        <f t="shared" ref="M91:N98" si="1">M81</f>
        <v>number</v>
      </c>
      <c r="N91" s="3" t="str">
        <f t="shared" si="1"/>
        <v>number</v>
      </c>
      <c r="O91" s="3" t="s">
        <v>873</v>
      </c>
      <c r="P91" s="3"/>
    </row>
    <row r="92" spans="1:16">
      <c r="A92" s="2" t="s">
        <v>257</v>
      </c>
      <c r="B92" s="2" t="s">
        <v>262</v>
      </c>
      <c r="C92" s="2" t="s">
        <v>263</v>
      </c>
      <c r="D92" s="2" t="s">
        <v>217</v>
      </c>
      <c r="E92" s="2" t="s">
        <v>278</v>
      </c>
      <c r="F92" s="2" t="s">
        <v>278</v>
      </c>
      <c r="G92" s="2" t="s">
        <v>769</v>
      </c>
      <c r="H92" s="2" t="s">
        <v>879</v>
      </c>
      <c r="I92" s="2" t="s">
        <v>769</v>
      </c>
      <c r="J92" s="2" t="s">
        <v>217</v>
      </c>
      <c r="K92" s="2" t="s">
        <v>862</v>
      </c>
      <c r="L92" s="2" t="s">
        <v>921</v>
      </c>
      <c r="M92" s="3" t="str">
        <f t="shared" si="1"/>
        <v>number</v>
      </c>
      <c r="N92" s="3" t="str">
        <f t="shared" si="1"/>
        <v>number</v>
      </c>
      <c r="O92" s="3" t="s">
        <v>873</v>
      </c>
      <c r="P92" s="3"/>
    </row>
    <row r="93" spans="1:16">
      <c r="A93" s="2" t="s">
        <v>257</v>
      </c>
      <c r="B93" s="2" t="s">
        <v>264</v>
      </c>
      <c r="C93" s="2" t="s">
        <v>265</v>
      </c>
      <c r="D93" s="2" t="s">
        <v>217</v>
      </c>
      <c r="E93" s="2" t="s">
        <v>278</v>
      </c>
      <c r="F93" s="2" t="s">
        <v>278</v>
      </c>
      <c r="G93" s="2" t="s">
        <v>770</v>
      </c>
      <c r="H93" s="2" t="s">
        <v>879</v>
      </c>
      <c r="I93" s="2" t="s">
        <v>770</v>
      </c>
      <c r="J93" s="2" t="s">
        <v>217</v>
      </c>
      <c r="K93" s="2" t="s">
        <v>862</v>
      </c>
      <c r="L93" s="2" t="s">
        <v>921</v>
      </c>
      <c r="M93" s="3" t="str">
        <f t="shared" si="1"/>
        <v>number</v>
      </c>
      <c r="N93" s="3" t="str">
        <f t="shared" si="1"/>
        <v>number</v>
      </c>
      <c r="O93" s="3" t="s">
        <v>873</v>
      </c>
      <c r="P93" s="3"/>
    </row>
    <row r="94" spans="1:16">
      <c r="A94" s="2" t="s">
        <v>257</v>
      </c>
      <c r="B94" s="2" t="s">
        <v>266</v>
      </c>
      <c r="C94" s="2" t="s">
        <v>267</v>
      </c>
      <c r="D94" s="2" t="s">
        <v>217</v>
      </c>
      <c r="E94" s="2" t="s">
        <v>278</v>
      </c>
      <c r="F94" s="2" t="s">
        <v>278</v>
      </c>
      <c r="G94" s="2" t="s">
        <v>771</v>
      </c>
      <c r="H94" s="2" t="s">
        <v>879</v>
      </c>
      <c r="I94" s="2" t="s">
        <v>771</v>
      </c>
      <c r="J94" s="2" t="s">
        <v>217</v>
      </c>
      <c r="K94" s="2" t="s">
        <v>862</v>
      </c>
      <c r="L94" s="2" t="s">
        <v>921</v>
      </c>
      <c r="M94" s="3" t="str">
        <f t="shared" si="1"/>
        <v>number</v>
      </c>
      <c r="N94" s="3" t="str">
        <f t="shared" si="1"/>
        <v>number</v>
      </c>
      <c r="O94" s="3" t="s">
        <v>873</v>
      </c>
      <c r="P94" s="3"/>
    </row>
    <row r="95" spans="1:16">
      <c r="A95" s="2" t="s">
        <v>257</v>
      </c>
      <c r="B95" s="2" t="s">
        <v>268</v>
      </c>
      <c r="C95" s="2" t="s">
        <v>269</v>
      </c>
      <c r="D95" s="2" t="s">
        <v>217</v>
      </c>
      <c r="E95" s="2" t="s">
        <v>278</v>
      </c>
      <c r="F95" s="2" t="s">
        <v>278</v>
      </c>
      <c r="G95" s="2" t="s">
        <v>772</v>
      </c>
      <c r="H95" s="2" t="s">
        <v>879</v>
      </c>
      <c r="I95" s="2" t="s">
        <v>772</v>
      </c>
      <c r="J95" s="2" t="s">
        <v>217</v>
      </c>
      <c r="K95" s="2" t="s">
        <v>862</v>
      </c>
      <c r="L95" s="2" t="s">
        <v>921</v>
      </c>
      <c r="M95" s="3" t="str">
        <f t="shared" si="1"/>
        <v>number</v>
      </c>
      <c r="N95" s="3" t="str">
        <f t="shared" si="1"/>
        <v>number</v>
      </c>
      <c r="O95" s="3" t="s">
        <v>873</v>
      </c>
      <c r="P95" s="3"/>
    </row>
    <row r="96" spans="1:16">
      <c r="A96" s="2" t="s">
        <v>257</v>
      </c>
      <c r="B96" s="2" t="s">
        <v>270</v>
      </c>
      <c r="C96" s="2" t="s">
        <v>271</v>
      </c>
      <c r="D96" s="2" t="s">
        <v>217</v>
      </c>
      <c r="E96" s="2" t="s">
        <v>278</v>
      </c>
      <c r="F96" s="2" t="s">
        <v>278</v>
      </c>
      <c r="G96" s="2" t="s">
        <v>773</v>
      </c>
      <c r="H96" s="2" t="s">
        <v>879</v>
      </c>
      <c r="I96" s="2" t="s">
        <v>773</v>
      </c>
      <c r="J96" s="2" t="s">
        <v>217</v>
      </c>
      <c r="K96" s="2" t="s">
        <v>862</v>
      </c>
      <c r="L96" s="2" t="s">
        <v>921</v>
      </c>
      <c r="M96" s="3" t="str">
        <f t="shared" si="1"/>
        <v>number</v>
      </c>
      <c r="N96" s="3" t="str">
        <f t="shared" si="1"/>
        <v>number</v>
      </c>
      <c r="O96" s="3" t="s">
        <v>873</v>
      </c>
      <c r="P96" s="3"/>
    </row>
    <row r="97" spans="1:19">
      <c r="A97" s="2" t="s">
        <v>257</v>
      </c>
      <c r="B97" s="2" t="s">
        <v>272</v>
      </c>
      <c r="C97" s="2" t="s">
        <v>273</v>
      </c>
      <c r="D97" s="2" t="s">
        <v>217</v>
      </c>
      <c r="E97" s="2" t="s">
        <v>278</v>
      </c>
      <c r="F97" s="2" t="s">
        <v>278</v>
      </c>
      <c r="G97" s="2" t="s">
        <v>774</v>
      </c>
      <c r="H97" s="2" t="s">
        <v>879</v>
      </c>
      <c r="I97" s="2" t="s">
        <v>774</v>
      </c>
      <c r="J97" s="2" t="s">
        <v>217</v>
      </c>
      <c r="K97" s="2" t="s">
        <v>862</v>
      </c>
      <c r="L97" s="2" t="s">
        <v>921</v>
      </c>
      <c r="M97" s="3" t="str">
        <f t="shared" si="1"/>
        <v>number</v>
      </c>
      <c r="N97" s="3" t="str">
        <f t="shared" si="1"/>
        <v>number</v>
      </c>
      <c r="O97" s="3" t="s">
        <v>873</v>
      </c>
      <c r="P97" s="3"/>
    </row>
    <row r="98" spans="1:19">
      <c r="A98" s="2" t="s">
        <v>257</v>
      </c>
      <c r="B98" s="2" t="s">
        <v>274</v>
      </c>
      <c r="C98" s="2" t="s">
        <v>275</v>
      </c>
      <c r="D98" s="2" t="s">
        <v>217</v>
      </c>
      <c r="E98" s="2" t="s">
        <v>278</v>
      </c>
      <c r="F98" s="2" t="s">
        <v>278</v>
      </c>
      <c r="G98" s="2" t="s">
        <v>775</v>
      </c>
      <c r="H98" s="2" t="s">
        <v>879</v>
      </c>
      <c r="I98" s="2" t="s">
        <v>775</v>
      </c>
      <c r="J98" s="2" t="s">
        <v>217</v>
      </c>
      <c r="K98" s="2" t="s">
        <v>862</v>
      </c>
      <c r="L98" s="2" t="s">
        <v>921</v>
      </c>
      <c r="M98" s="3" t="str">
        <f t="shared" si="1"/>
        <v>number</v>
      </c>
      <c r="N98" s="3" t="str">
        <f t="shared" si="1"/>
        <v>number</v>
      </c>
      <c r="O98" s="3" t="s">
        <v>873</v>
      </c>
      <c r="P98" s="3"/>
    </row>
    <row r="99" spans="1:19">
      <c r="A99" s="2" t="s">
        <v>257</v>
      </c>
      <c r="B99" s="2" t="s">
        <v>276</v>
      </c>
      <c r="C99" s="2" t="s">
        <v>277</v>
      </c>
      <c r="D99" s="2" t="s">
        <v>217</v>
      </c>
      <c r="E99" s="2" t="s">
        <v>278</v>
      </c>
      <c r="F99" s="2" t="s">
        <v>278</v>
      </c>
      <c r="G99" s="2" t="s">
        <v>766</v>
      </c>
      <c r="I99" s="2" t="s">
        <v>766</v>
      </c>
      <c r="M99" s="3"/>
      <c r="N99" s="3"/>
      <c r="O99" s="3"/>
      <c r="P99" s="3"/>
    </row>
    <row r="100" spans="1:19">
      <c r="A100" s="8" t="s">
        <v>342</v>
      </c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9"/>
      <c r="N100" s="9"/>
      <c r="O100" s="9" t="s">
        <v>873</v>
      </c>
      <c r="P100" s="9"/>
    </row>
    <row r="101" spans="1:19">
      <c r="A101" s="5" t="s">
        <v>279</v>
      </c>
      <c r="B101" s="5" t="s">
        <v>22</v>
      </c>
      <c r="C101" s="6" t="s">
        <v>280</v>
      </c>
      <c r="D101" s="5" t="s">
        <v>58</v>
      </c>
      <c r="E101" s="2" t="s">
        <v>342</v>
      </c>
      <c r="F101" s="2" t="s">
        <v>342</v>
      </c>
      <c r="G101" s="5" t="s">
        <v>279</v>
      </c>
      <c r="I101" s="5" t="s">
        <v>279</v>
      </c>
      <c r="J101" s="5" t="s">
        <v>58</v>
      </c>
      <c r="K101" s="5"/>
      <c r="L101" s="15" t="s">
        <v>891</v>
      </c>
      <c r="M101" s="3" t="s">
        <v>751</v>
      </c>
      <c r="N101" s="3" t="s">
        <v>751</v>
      </c>
      <c r="O101" s="3" t="s">
        <v>872</v>
      </c>
      <c r="P101" s="3"/>
      <c r="R101" s="3" t="s">
        <v>903</v>
      </c>
      <c r="S101" s="3" t="s">
        <v>903</v>
      </c>
    </row>
    <row r="102" spans="1:19">
      <c r="A102" s="5" t="s">
        <v>279</v>
      </c>
      <c r="B102" s="5" t="s">
        <v>26</v>
      </c>
      <c r="C102" s="6" t="s">
        <v>281</v>
      </c>
      <c r="D102" s="5" t="s">
        <v>16</v>
      </c>
      <c r="E102" s="2" t="s">
        <v>342</v>
      </c>
      <c r="F102" s="2" t="s">
        <v>342</v>
      </c>
      <c r="G102" s="5" t="s">
        <v>279</v>
      </c>
      <c r="I102" s="5" t="s">
        <v>279</v>
      </c>
      <c r="J102" s="5" t="s">
        <v>781</v>
      </c>
      <c r="K102" s="5"/>
      <c r="L102" s="2" t="s">
        <v>731</v>
      </c>
      <c r="M102" s="3" t="s">
        <v>751</v>
      </c>
      <c r="N102" s="3" t="s">
        <v>751</v>
      </c>
      <c r="O102" s="3" t="s">
        <v>872</v>
      </c>
      <c r="P102" s="3"/>
      <c r="R102" s="3" t="s">
        <v>903</v>
      </c>
      <c r="S102" s="3" t="s">
        <v>903</v>
      </c>
    </row>
    <row r="103" spans="1:19">
      <c r="A103" s="5" t="s">
        <v>279</v>
      </c>
      <c r="B103" s="5" t="s">
        <v>18</v>
      </c>
      <c r="C103" s="6" t="s">
        <v>282</v>
      </c>
      <c r="D103" s="5" t="s">
        <v>16</v>
      </c>
      <c r="E103" s="2" t="s">
        <v>342</v>
      </c>
      <c r="F103" s="2" t="s">
        <v>342</v>
      </c>
      <c r="G103" s="5" t="s">
        <v>279</v>
      </c>
      <c r="I103" s="5" t="s">
        <v>279</v>
      </c>
      <c r="J103" s="5" t="s">
        <v>782</v>
      </c>
      <c r="K103" s="5"/>
      <c r="L103" s="2" t="s">
        <v>731</v>
      </c>
      <c r="M103" s="3" t="s">
        <v>751</v>
      </c>
      <c r="N103" s="3" t="s">
        <v>751</v>
      </c>
      <c r="O103" s="3" t="s">
        <v>872</v>
      </c>
      <c r="P103" s="3"/>
      <c r="R103" s="3" t="s">
        <v>903</v>
      </c>
      <c r="S103" s="3" t="s">
        <v>903</v>
      </c>
    </row>
    <row r="104" spans="1:19">
      <c r="A104" s="5" t="s">
        <v>283</v>
      </c>
      <c r="B104" s="5" t="s">
        <v>22</v>
      </c>
      <c r="C104" s="6" t="s">
        <v>284</v>
      </c>
      <c r="D104" s="5" t="s">
        <v>58</v>
      </c>
      <c r="E104" s="2" t="s">
        <v>342</v>
      </c>
      <c r="F104" s="2" t="s">
        <v>342</v>
      </c>
      <c r="G104" s="5" t="s">
        <v>283</v>
      </c>
      <c r="I104" s="5" t="s">
        <v>283</v>
      </c>
      <c r="J104" s="5" t="s">
        <v>58</v>
      </c>
      <c r="K104" s="5"/>
      <c r="L104" s="15" t="s">
        <v>891</v>
      </c>
      <c r="M104" s="3" t="s">
        <v>909</v>
      </c>
      <c r="N104" s="3" t="s">
        <v>909</v>
      </c>
      <c r="O104" s="3" t="s">
        <v>873</v>
      </c>
      <c r="P104" s="3"/>
      <c r="R104" s="3" t="s">
        <v>752</v>
      </c>
      <c r="S104" s="3" t="s">
        <v>752</v>
      </c>
    </row>
    <row r="105" spans="1:19">
      <c r="A105" s="5" t="s">
        <v>283</v>
      </c>
      <c r="B105" s="5" t="s">
        <v>26</v>
      </c>
      <c r="C105" s="6" t="s">
        <v>285</v>
      </c>
      <c r="D105" s="5" t="s">
        <v>16</v>
      </c>
      <c r="E105" s="2" t="s">
        <v>342</v>
      </c>
      <c r="F105" s="2" t="s">
        <v>342</v>
      </c>
      <c r="G105" s="5" t="s">
        <v>283</v>
      </c>
      <c r="I105" s="5" t="s">
        <v>283</v>
      </c>
      <c r="J105" s="5" t="s">
        <v>781</v>
      </c>
      <c r="K105" s="5"/>
      <c r="L105" s="2" t="s">
        <v>731</v>
      </c>
      <c r="M105" s="3" t="s">
        <v>909</v>
      </c>
      <c r="N105" s="3" t="s">
        <v>909</v>
      </c>
      <c r="O105" s="3" t="s">
        <v>873</v>
      </c>
      <c r="P105" s="3"/>
      <c r="R105" s="3" t="s">
        <v>752</v>
      </c>
      <c r="S105" s="3" t="s">
        <v>752</v>
      </c>
    </row>
    <row r="106" spans="1:19">
      <c r="A106" s="5" t="s">
        <v>283</v>
      </c>
      <c r="B106" s="5" t="s">
        <v>18</v>
      </c>
      <c r="C106" s="6" t="s">
        <v>286</v>
      </c>
      <c r="D106" s="5" t="s">
        <v>16</v>
      </c>
      <c r="E106" s="2" t="s">
        <v>342</v>
      </c>
      <c r="F106" s="2" t="s">
        <v>342</v>
      </c>
      <c r="G106" s="5" t="s">
        <v>283</v>
      </c>
      <c r="I106" s="5" t="s">
        <v>283</v>
      </c>
      <c r="J106" s="5" t="s">
        <v>782</v>
      </c>
      <c r="K106" s="5"/>
      <c r="L106" s="2" t="s">
        <v>731</v>
      </c>
      <c r="M106" s="3" t="s">
        <v>909</v>
      </c>
      <c r="N106" s="3" t="s">
        <v>909</v>
      </c>
      <c r="O106" s="3" t="s">
        <v>873</v>
      </c>
      <c r="P106" s="3"/>
      <c r="R106" s="3" t="s">
        <v>752</v>
      </c>
      <c r="S106" s="3" t="s">
        <v>752</v>
      </c>
    </row>
    <row r="107" spans="1:19">
      <c r="A107" s="5" t="s">
        <v>287</v>
      </c>
      <c r="B107" s="5" t="s">
        <v>22</v>
      </c>
      <c r="C107" s="6" t="s">
        <v>288</v>
      </c>
      <c r="D107" s="5" t="s">
        <v>58</v>
      </c>
      <c r="E107" s="2" t="s">
        <v>342</v>
      </c>
      <c r="F107" s="2" t="s">
        <v>342</v>
      </c>
      <c r="G107" s="5" t="s">
        <v>287</v>
      </c>
      <c r="I107" s="5" t="s">
        <v>287</v>
      </c>
      <c r="J107" s="5" t="s">
        <v>58</v>
      </c>
      <c r="K107" s="5"/>
      <c r="L107" s="15" t="s">
        <v>891</v>
      </c>
      <c r="M107" s="3" t="s">
        <v>909</v>
      </c>
      <c r="N107" s="3" t="s">
        <v>909</v>
      </c>
      <c r="O107" s="3" t="s">
        <v>873</v>
      </c>
      <c r="P107" s="3"/>
      <c r="R107" s="3" t="s">
        <v>753</v>
      </c>
      <c r="S107" s="3" t="s">
        <v>753</v>
      </c>
    </row>
    <row r="108" spans="1:19">
      <c r="A108" s="5" t="s">
        <v>287</v>
      </c>
      <c r="B108" s="5" t="s">
        <v>26</v>
      </c>
      <c r="C108" s="6" t="s">
        <v>289</v>
      </c>
      <c r="D108" s="5" t="s">
        <v>16</v>
      </c>
      <c r="E108" s="2" t="s">
        <v>342</v>
      </c>
      <c r="F108" s="2" t="s">
        <v>342</v>
      </c>
      <c r="G108" s="5" t="s">
        <v>287</v>
      </c>
      <c r="I108" s="5" t="s">
        <v>287</v>
      </c>
      <c r="J108" s="5" t="s">
        <v>781</v>
      </c>
      <c r="K108" s="5"/>
      <c r="L108" s="2" t="s">
        <v>731</v>
      </c>
      <c r="M108" s="3" t="s">
        <v>909</v>
      </c>
      <c r="N108" s="3" t="s">
        <v>909</v>
      </c>
      <c r="O108" s="3" t="s">
        <v>873</v>
      </c>
      <c r="P108" s="3"/>
      <c r="R108" s="3" t="s">
        <v>753</v>
      </c>
      <c r="S108" s="3" t="s">
        <v>753</v>
      </c>
    </row>
    <row r="109" spans="1:19">
      <c r="A109" s="5" t="s">
        <v>287</v>
      </c>
      <c r="B109" s="5" t="s">
        <v>18</v>
      </c>
      <c r="C109" s="6" t="s">
        <v>290</v>
      </c>
      <c r="D109" s="5" t="s">
        <v>16</v>
      </c>
      <c r="E109" s="2" t="s">
        <v>342</v>
      </c>
      <c r="F109" s="2" t="s">
        <v>342</v>
      </c>
      <c r="G109" s="5" t="s">
        <v>287</v>
      </c>
      <c r="I109" s="5" t="s">
        <v>287</v>
      </c>
      <c r="J109" s="5" t="s">
        <v>782</v>
      </c>
      <c r="K109" s="5"/>
      <c r="L109" s="2" t="s">
        <v>731</v>
      </c>
      <c r="M109" s="3" t="s">
        <v>909</v>
      </c>
      <c r="N109" s="3" t="s">
        <v>909</v>
      </c>
      <c r="O109" s="3" t="s">
        <v>873</v>
      </c>
      <c r="P109" s="3"/>
      <c r="R109" s="3" t="s">
        <v>753</v>
      </c>
      <c r="S109" s="3" t="s">
        <v>753</v>
      </c>
    </row>
    <row r="110" spans="1:19">
      <c r="A110" s="5" t="s">
        <v>291</v>
      </c>
      <c r="B110" s="5" t="s">
        <v>22</v>
      </c>
      <c r="C110" s="6" t="s">
        <v>292</v>
      </c>
      <c r="D110" s="5" t="s">
        <v>58</v>
      </c>
      <c r="E110" s="2" t="s">
        <v>342</v>
      </c>
      <c r="F110" s="2" t="s">
        <v>342</v>
      </c>
      <c r="G110" s="5" t="s">
        <v>291</v>
      </c>
      <c r="I110" s="5" t="s">
        <v>291</v>
      </c>
      <c r="J110" s="5" t="s">
        <v>58</v>
      </c>
      <c r="K110" s="5"/>
      <c r="L110" s="15" t="s">
        <v>891</v>
      </c>
      <c r="M110" s="3" t="s">
        <v>909</v>
      </c>
      <c r="N110" s="3" t="s">
        <v>909</v>
      </c>
      <c r="O110" s="3" t="s">
        <v>873</v>
      </c>
      <c r="P110" s="3"/>
      <c r="R110" s="3" t="s">
        <v>53</v>
      </c>
      <c r="S110" s="3" t="s">
        <v>53</v>
      </c>
    </row>
    <row r="111" spans="1:19">
      <c r="A111" s="5" t="s">
        <v>291</v>
      </c>
      <c r="B111" s="5" t="s">
        <v>26</v>
      </c>
      <c r="C111" s="6" t="s">
        <v>293</v>
      </c>
      <c r="D111" s="5" t="s">
        <v>16</v>
      </c>
      <c r="E111" s="2" t="s">
        <v>342</v>
      </c>
      <c r="F111" s="2" t="s">
        <v>342</v>
      </c>
      <c r="G111" s="5" t="s">
        <v>291</v>
      </c>
      <c r="I111" s="5" t="s">
        <v>291</v>
      </c>
      <c r="J111" s="5" t="s">
        <v>781</v>
      </c>
      <c r="K111" s="5"/>
      <c r="L111" s="2" t="s">
        <v>731</v>
      </c>
      <c r="M111" s="3" t="s">
        <v>909</v>
      </c>
      <c r="N111" s="3" t="s">
        <v>909</v>
      </c>
      <c r="O111" s="3" t="s">
        <v>873</v>
      </c>
      <c r="P111" s="3"/>
      <c r="R111" s="3" t="s">
        <v>53</v>
      </c>
      <c r="S111" s="3" t="s">
        <v>53</v>
      </c>
    </row>
    <row r="112" spans="1:19">
      <c r="A112" s="5" t="s">
        <v>291</v>
      </c>
      <c r="B112" s="5" t="s">
        <v>18</v>
      </c>
      <c r="C112" s="6" t="s">
        <v>294</v>
      </c>
      <c r="D112" s="5" t="s">
        <v>16</v>
      </c>
      <c r="E112" s="2" t="s">
        <v>342</v>
      </c>
      <c r="F112" s="2" t="s">
        <v>342</v>
      </c>
      <c r="G112" s="5" t="s">
        <v>291</v>
      </c>
      <c r="I112" s="5" t="s">
        <v>291</v>
      </c>
      <c r="J112" s="5" t="s">
        <v>782</v>
      </c>
      <c r="K112" s="5"/>
      <c r="L112" s="2" t="s">
        <v>731</v>
      </c>
      <c r="M112" s="3" t="s">
        <v>909</v>
      </c>
      <c r="N112" s="3" t="s">
        <v>909</v>
      </c>
      <c r="O112" s="3" t="s">
        <v>873</v>
      </c>
      <c r="P112" s="3"/>
      <c r="R112" s="3" t="s">
        <v>53</v>
      </c>
      <c r="S112" s="3" t="s">
        <v>53</v>
      </c>
    </row>
    <row r="113" spans="1:19">
      <c r="A113" s="5" t="s">
        <v>295</v>
      </c>
      <c r="B113" s="5" t="s">
        <v>22</v>
      </c>
      <c r="C113" s="6" t="s">
        <v>296</v>
      </c>
      <c r="D113" s="5" t="s">
        <v>58</v>
      </c>
      <c r="E113" s="2" t="s">
        <v>342</v>
      </c>
      <c r="F113" s="2" t="s">
        <v>342</v>
      </c>
      <c r="G113" s="5" t="s">
        <v>295</v>
      </c>
      <c r="I113" s="5" t="s">
        <v>295</v>
      </c>
      <c r="J113" s="5" t="s">
        <v>58</v>
      </c>
      <c r="K113" s="5"/>
      <c r="L113" s="15" t="s">
        <v>891</v>
      </c>
      <c r="M113" s="3" t="s">
        <v>909</v>
      </c>
      <c r="N113" s="3" t="s">
        <v>909</v>
      </c>
      <c r="O113" s="3" t="s">
        <v>873</v>
      </c>
      <c r="P113" s="3"/>
      <c r="R113" s="3" t="s">
        <v>754</v>
      </c>
      <c r="S113" s="3" t="s">
        <v>754</v>
      </c>
    </row>
    <row r="114" spans="1:19">
      <c r="A114" s="5" t="s">
        <v>295</v>
      </c>
      <c r="B114" s="5" t="s">
        <v>26</v>
      </c>
      <c r="C114" s="6" t="s">
        <v>297</v>
      </c>
      <c r="D114" s="5" t="s">
        <v>16</v>
      </c>
      <c r="E114" s="2" t="s">
        <v>342</v>
      </c>
      <c r="F114" s="2" t="s">
        <v>342</v>
      </c>
      <c r="G114" s="5" t="s">
        <v>295</v>
      </c>
      <c r="I114" s="5" t="s">
        <v>295</v>
      </c>
      <c r="J114" s="5" t="s">
        <v>781</v>
      </c>
      <c r="K114" s="5"/>
      <c r="L114" s="2" t="s">
        <v>731</v>
      </c>
      <c r="M114" s="3" t="s">
        <v>909</v>
      </c>
      <c r="N114" s="3" t="s">
        <v>909</v>
      </c>
      <c r="O114" s="3" t="s">
        <v>873</v>
      </c>
      <c r="P114" s="3"/>
      <c r="R114" s="3" t="s">
        <v>754</v>
      </c>
      <c r="S114" s="3" t="s">
        <v>754</v>
      </c>
    </row>
    <row r="115" spans="1:19">
      <c r="A115" s="5" t="s">
        <v>295</v>
      </c>
      <c r="B115" s="5" t="s">
        <v>18</v>
      </c>
      <c r="C115" s="6" t="s">
        <v>298</v>
      </c>
      <c r="D115" s="5" t="s">
        <v>16</v>
      </c>
      <c r="E115" s="2" t="s">
        <v>342</v>
      </c>
      <c r="F115" s="2" t="s">
        <v>342</v>
      </c>
      <c r="G115" s="5" t="s">
        <v>295</v>
      </c>
      <c r="I115" s="5" t="s">
        <v>295</v>
      </c>
      <c r="J115" s="5" t="s">
        <v>782</v>
      </c>
      <c r="K115" s="5"/>
      <c r="L115" s="2" t="s">
        <v>731</v>
      </c>
      <c r="M115" s="3" t="s">
        <v>909</v>
      </c>
      <c r="N115" s="3" t="s">
        <v>909</v>
      </c>
      <c r="O115" s="3" t="s">
        <v>873</v>
      </c>
      <c r="P115" s="3"/>
      <c r="R115" s="3" t="s">
        <v>754</v>
      </c>
      <c r="S115" s="3" t="s">
        <v>754</v>
      </c>
    </row>
    <row r="116" spans="1:19">
      <c r="A116" s="5" t="s">
        <v>299</v>
      </c>
      <c r="B116" s="5" t="s">
        <v>22</v>
      </c>
      <c r="C116" s="6" t="s">
        <v>300</v>
      </c>
      <c r="D116" s="5" t="s">
        <v>58</v>
      </c>
      <c r="E116" s="2" t="s">
        <v>342</v>
      </c>
      <c r="F116" s="2" t="s">
        <v>342</v>
      </c>
      <c r="G116" s="5" t="s">
        <v>299</v>
      </c>
      <c r="I116" s="5" t="s">
        <v>299</v>
      </c>
      <c r="J116" s="5" t="s">
        <v>58</v>
      </c>
      <c r="K116" s="5"/>
      <c r="L116" s="15" t="s">
        <v>891</v>
      </c>
      <c r="M116" s="3" t="s">
        <v>909</v>
      </c>
      <c r="N116" s="3" t="s">
        <v>909</v>
      </c>
      <c r="O116" s="3" t="s">
        <v>873</v>
      </c>
      <c r="P116" s="3"/>
      <c r="R116" s="3" t="s">
        <v>755</v>
      </c>
      <c r="S116" s="3" t="s">
        <v>755</v>
      </c>
    </row>
    <row r="117" spans="1:19">
      <c r="A117" s="5" t="s">
        <v>299</v>
      </c>
      <c r="B117" s="5" t="s">
        <v>26</v>
      </c>
      <c r="C117" s="6" t="s">
        <v>301</v>
      </c>
      <c r="D117" s="5" t="s">
        <v>16</v>
      </c>
      <c r="E117" s="2" t="s">
        <v>342</v>
      </c>
      <c r="F117" s="2" t="s">
        <v>342</v>
      </c>
      <c r="G117" s="5" t="s">
        <v>299</v>
      </c>
      <c r="I117" s="5" t="s">
        <v>299</v>
      </c>
      <c r="J117" s="5" t="s">
        <v>781</v>
      </c>
      <c r="K117" s="5"/>
      <c r="L117" s="2" t="s">
        <v>731</v>
      </c>
      <c r="M117" s="3" t="s">
        <v>909</v>
      </c>
      <c r="N117" s="3" t="s">
        <v>909</v>
      </c>
      <c r="O117" s="3" t="s">
        <v>873</v>
      </c>
      <c r="P117" s="3"/>
      <c r="R117" s="3" t="s">
        <v>755</v>
      </c>
      <c r="S117" s="3" t="s">
        <v>755</v>
      </c>
    </row>
    <row r="118" spans="1:19">
      <c r="A118" s="5" t="s">
        <v>299</v>
      </c>
      <c r="B118" s="5" t="s">
        <v>18</v>
      </c>
      <c r="C118" s="6" t="s">
        <v>302</v>
      </c>
      <c r="D118" s="5" t="s">
        <v>16</v>
      </c>
      <c r="E118" s="2" t="s">
        <v>342</v>
      </c>
      <c r="F118" s="2" t="s">
        <v>342</v>
      </c>
      <c r="G118" s="5" t="s">
        <v>299</v>
      </c>
      <c r="I118" s="5" t="s">
        <v>299</v>
      </c>
      <c r="J118" s="5" t="s">
        <v>782</v>
      </c>
      <c r="K118" s="5"/>
      <c r="L118" s="2" t="s">
        <v>731</v>
      </c>
      <c r="M118" s="3" t="s">
        <v>909</v>
      </c>
      <c r="N118" s="3" t="s">
        <v>909</v>
      </c>
      <c r="O118" s="3" t="s">
        <v>873</v>
      </c>
      <c r="P118" s="3"/>
      <c r="R118" s="3" t="s">
        <v>755</v>
      </c>
      <c r="S118" s="3" t="s">
        <v>755</v>
      </c>
    </row>
    <row r="119" spans="1:19">
      <c r="A119" s="5" t="s">
        <v>303</v>
      </c>
      <c r="B119" s="5" t="s">
        <v>22</v>
      </c>
      <c r="C119" s="6" t="s">
        <v>304</v>
      </c>
      <c r="D119" s="5" t="s">
        <v>58</v>
      </c>
      <c r="E119" s="2" t="s">
        <v>342</v>
      </c>
      <c r="F119" s="2" t="s">
        <v>342</v>
      </c>
      <c r="G119" s="5" t="s">
        <v>303</v>
      </c>
      <c r="I119" s="5" t="s">
        <v>303</v>
      </c>
      <c r="J119" s="5" t="s">
        <v>58</v>
      </c>
      <c r="K119" s="5"/>
      <c r="L119" s="15" t="s">
        <v>891</v>
      </c>
      <c r="M119" s="3" t="s">
        <v>909</v>
      </c>
      <c r="N119" s="3" t="s">
        <v>909</v>
      </c>
      <c r="O119" s="3" t="s">
        <v>873</v>
      </c>
      <c r="P119" s="3"/>
      <c r="R119" s="3" t="s">
        <v>758</v>
      </c>
      <c r="S119" s="3" t="s">
        <v>758</v>
      </c>
    </row>
    <row r="120" spans="1:19">
      <c r="A120" s="5" t="s">
        <v>303</v>
      </c>
      <c r="B120" s="5" t="s">
        <v>26</v>
      </c>
      <c r="C120" s="6" t="s">
        <v>305</v>
      </c>
      <c r="D120" s="5" t="s">
        <v>16</v>
      </c>
      <c r="E120" s="2" t="s">
        <v>342</v>
      </c>
      <c r="F120" s="2" t="s">
        <v>342</v>
      </c>
      <c r="G120" s="5" t="s">
        <v>303</v>
      </c>
      <c r="I120" s="5" t="s">
        <v>303</v>
      </c>
      <c r="J120" s="5" t="s">
        <v>781</v>
      </c>
      <c r="K120" s="5"/>
      <c r="L120" s="2" t="s">
        <v>731</v>
      </c>
      <c r="M120" s="3" t="s">
        <v>909</v>
      </c>
      <c r="N120" s="3" t="s">
        <v>909</v>
      </c>
      <c r="O120" s="3" t="s">
        <v>873</v>
      </c>
      <c r="P120" s="3"/>
      <c r="R120" s="3" t="s">
        <v>758</v>
      </c>
      <c r="S120" s="3" t="s">
        <v>758</v>
      </c>
    </row>
    <row r="121" spans="1:19">
      <c r="A121" s="5" t="s">
        <v>303</v>
      </c>
      <c r="B121" s="5" t="s">
        <v>18</v>
      </c>
      <c r="C121" s="6" t="s">
        <v>306</v>
      </c>
      <c r="D121" s="5" t="s">
        <v>16</v>
      </c>
      <c r="E121" s="2" t="s">
        <v>342</v>
      </c>
      <c r="F121" s="2" t="s">
        <v>342</v>
      </c>
      <c r="G121" s="5" t="s">
        <v>303</v>
      </c>
      <c r="I121" s="5" t="s">
        <v>303</v>
      </c>
      <c r="J121" s="5" t="s">
        <v>782</v>
      </c>
      <c r="K121" s="5"/>
      <c r="L121" s="2" t="s">
        <v>731</v>
      </c>
      <c r="M121" s="3" t="s">
        <v>909</v>
      </c>
      <c r="N121" s="3" t="s">
        <v>909</v>
      </c>
      <c r="O121" s="3" t="s">
        <v>873</v>
      </c>
      <c r="P121" s="3"/>
      <c r="R121" s="3" t="s">
        <v>758</v>
      </c>
      <c r="S121" s="3" t="s">
        <v>758</v>
      </c>
    </row>
    <row r="122" spans="1:19">
      <c r="A122" s="5" t="s">
        <v>307</v>
      </c>
      <c r="B122" s="5" t="s">
        <v>22</v>
      </c>
      <c r="C122" s="6" t="s">
        <v>308</v>
      </c>
      <c r="D122" s="5" t="s">
        <v>58</v>
      </c>
      <c r="E122" s="2" t="s">
        <v>342</v>
      </c>
      <c r="F122" s="2" t="s">
        <v>342</v>
      </c>
      <c r="G122" s="5" t="s">
        <v>307</v>
      </c>
      <c r="I122" s="5" t="s">
        <v>307</v>
      </c>
      <c r="J122" s="5" t="s">
        <v>58</v>
      </c>
      <c r="K122" s="5"/>
      <c r="L122" s="15" t="s">
        <v>891</v>
      </c>
      <c r="M122" s="3" t="s">
        <v>909</v>
      </c>
      <c r="N122" s="3" t="s">
        <v>909</v>
      </c>
      <c r="O122" s="3" t="s">
        <v>873</v>
      </c>
      <c r="P122" s="3"/>
      <c r="R122" s="3" t="s">
        <v>749</v>
      </c>
      <c r="S122" s="3" t="s">
        <v>749</v>
      </c>
    </row>
    <row r="123" spans="1:19">
      <c r="A123" s="5" t="s">
        <v>307</v>
      </c>
      <c r="B123" s="5" t="s">
        <v>26</v>
      </c>
      <c r="C123" s="6" t="s">
        <v>309</v>
      </c>
      <c r="D123" s="5" t="s">
        <v>16</v>
      </c>
      <c r="E123" s="2" t="s">
        <v>342</v>
      </c>
      <c r="F123" s="2" t="s">
        <v>342</v>
      </c>
      <c r="G123" s="5" t="s">
        <v>307</v>
      </c>
      <c r="I123" s="5" t="s">
        <v>307</v>
      </c>
      <c r="J123" s="5" t="s">
        <v>781</v>
      </c>
      <c r="K123" s="5"/>
      <c r="L123" s="2" t="s">
        <v>731</v>
      </c>
      <c r="M123" s="3" t="s">
        <v>909</v>
      </c>
      <c r="N123" s="3" t="s">
        <v>909</v>
      </c>
      <c r="O123" s="3" t="s">
        <v>873</v>
      </c>
      <c r="P123" s="3"/>
      <c r="R123" s="3" t="s">
        <v>749</v>
      </c>
      <c r="S123" s="3" t="s">
        <v>749</v>
      </c>
    </row>
    <row r="124" spans="1:19">
      <c r="A124" s="5" t="s">
        <v>307</v>
      </c>
      <c r="B124" s="5" t="s">
        <v>18</v>
      </c>
      <c r="C124" s="6" t="s">
        <v>310</v>
      </c>
      <c r="D124" s="5" t="s">
        <v>16</v>
      </c>
      <c r="E124" s="2" t="s">
        <v>342</v>
      </c>
      <c r="F124" s="2" t="s">
        <v>342</v>
      </c>
      <c r="G124" s="5" t="s">
        <v>307</v>
      </c>
      <c r="I124" s="5" t="s">
        <v>307</v>
      </c>
      <c r="J124" s="5" t="s">
        <v>782</v>
      </c>
      <c r="K124" s="5"/>
      <c r="L124" s="2" t="s">
        <v>731</v>
      </c>
      <c r="M124" s="3" t="s">
        <v>909</v>
      </c>
      <c r="N124" s="3" t="s">
        <v>909</v>
      </c>
      <c r="O124" s="3" t="s">
        <v>873</v>
      </c>
      <c r="P124" s="3"/>
      <c r="R124" s="3" t="s">
        <v>749</v>
      </c>
      <c r="S124" s="3" t="s">
        <v>749</v>
      </c>
    </row>
    <row r="125" spans="1:19">
      <c r="A125" s="5" t="s">
        <v>311</v>
      </c>
      <c r="B125" s="5" t="s">
        <v>26</v>
      </c>
      <c r="C125" s="6" t="s">
        <v>312</v>
      </c>
      <c r="D125" s="5" t="s">
        <v>16</v>
      </c>
      <c r="E125" s="2" t="s">
        <v>342</v>
      </c>
      <c r="F125" s="2" t="s">
        <v>342</v>
      </c>
      <c r="G125" s="5" t="s">
        <v>311</v>
      </c>
      <c r="I125" s="5" t="s">
        <v>311</v>
      </c>
      <c r="J125" s="5" t="s">
        <v>781</v>
      </c>
      <c r="K125" s="5"/>
      <c r="L125" s="2" t="s">
        <v>731</v>
      </c>
      <c r="M125" s="3" t="s">
        <v>909</v>
      </c>
      <c r="N125" s="3" t="s">
        <v>909</v>
      </c>
      <c r="O125" s="3" t="s">
        <v>873</v>
      </c>
      <c r="P125" s="3"/>
      <c r="R125" s="3" t="s">
        <v>756</v>
      </c>
      <c r="S125" s="3" t="s">
        <v>756</v>
      </c>
    </row>
    <row r="126" spans="1:19">
      <c r="A126" s="5" t="s">
        <v>311</v>
      </c>
      <c r="B126" s="5" t="s">
        <v>18</v>
      </c>
      <c r="C126" s="6" t="s">
        <v>313</v>
      </c>
      <c r="D126" s="5" t="s">
        <v>16</v>
      </c>
      <c r="E126" s="2" t="s">
        <v>342</v>
      </c>
      <c r="F126" s="2" t="s">
        <v>342</v>
      </c>
      <c r="G126" s="5" t="s">
        <v>311</v>
      </c>
      <c r="I126" s="5" t="s">
        <v>311</v>
      </c>
      <c r="J126" s="5" t="s">
        <v>782</v>
      </c>
      <c r="K126" s="5"/>
      <c r="L126" s="2" t="s">
        <v>731</v>
      </c>
      <c r="M126" s="3" t="s">
        <v>909</v>
      </c>
      <c r="N126" s="3" t="s">
        <v>909</v>
      </c>
      <c r="O126" s="3" t="s">
        <v>873</v>
      </c>
      <c r="P126" s="3"/>
      <c r="R126" s="3" t="s">
        <v>756</v>
      </c>
      <c r="S126" s="3" t="s">
        <v>756</v>
      </c>
    </row>
    <row r="127" spans="1:19">
      <c r="A127" s="5" t="s">
        <v>314</v>
      </c>
      <c r="B127" s="5" t="s">
        <v>26</v>
      </c>
      <c r="C127" s="6" t="s">
        <v>315</v>
      </c>
      <c r="D127" s="5" t="s">
        <v>16</v>
      </c>
      <c r="E127" s="2" t="s">
        <v>342</v>
      </c>
      <c r="F127" s="2" t="s">
        <v>342</v>
      </c>
      <c r="G127" s="5" t="s">
        <v>314</v>
      </c>
      <c r="I127" s="5" t="s">
        <v>314</v>
      </c>
      <c r="J127" s="5" t="s">
        <v>781</v>
      </c>
      <c r="K127" s="5"/>
      <c r="L127" s="2" t="s">
        <v>731</v>
      </c>
      <c r="M127" s="3" t="s">
        <v>909</v>
      </c>
      <c r="N127" s="3" t="s">
        <v>909</v>
      </c>
      <c r="O127" s="3" t="s">
        <v>873</v>
      </c>
      <c r="P127" s="3"/>
      <c r="R127" s="3" t="s">
        <v>757</v>
      </c>
      <c r="S127" s="3" t="s">
        <v>757</v>
      </c>
    </row>
    <row r="128" spans="1:19">
      <c r="A128" s="5" t="s">
        <v>314</v>
      </c>
      <c r="B128" s="5" t="s">
        <v>18</v>
      </c>
      <c r="C128" s="6" t="s">
        <v>316</v>
      </c>
      <c r="D128" s="5" t="s">
        <v>16</v>
      </c>
      <c r="E128" s="2" t="s">
        <v>342</v>
      </c>
      <c r="F128" s="2" t="s">
        <v>342</v>
      </c>
      <c r="G128" s="5" t="s">
        <v>314</v>
      </c>
      <c r="I128" s="5" t="s">
        <v>314</v>
      </c>
      <c r="J128" s="5" t="s">
        <v>782</v>
      </c>
      <c r="K128" s="5"/>
      <c r="L128" s="2" t="s">
        <v>731</v>
      </c>
      <c r="M128" s="3" t="s">
        <v>909</v>
      </c>
      <c r="N128" s="3" t="s">
        <v>909</v>
      </c>
      <c r="O128" s="3" t="s">
        <v>873</v>
      </c>
      <c r="P128" s="3"/>
      <c r="R128" s="3" t="s">
        <v>757</v>
      </c>
      <c r="S128" s="3" t="s">
        <v>757</v>
      </c>
    </row>
    <row r="129" spans="1:19">
      <c r="A129" s="5" t="s">
        <v>317</v>
      </c>
      <c r="B129" s="5" t="s">
        <v>18</v>
      </c>
      <c r="C129" s="6" t="s">
        <v>318</v>
      </c>
      <c r="D129" s="5" t="s">
        <v>16</v>
      </c>
      <c r="E129" s="2" t="s">
        <v>342</v>
      </c>
      <c r="F129" s="2" t="s">
        <v>342</v>
      </c>
      <c r="G129" s="5" t="s">
        <v>317</v>
      </c>
      <c r="I129" s="5" t="s">
        <v>317</v>
      </c>
      <c r="J129" s="5" t="s">
        <v>782</v>
      </c>
      <c r="K129" s="5"/>
      <c r="L129" s="2" t="s">
        <v>731</v>
      </c>
      <c r="M129" s="3" t="s">
        <v>909</v>
      </c>
      <c r="N129" s="3" t="s">
        <v>909</v>
      </c>
      <c r="O129" s="3" t="s">
        <v>873</v>
      </c>
      <c r="P129" s="3"/>
      <c r="R129" s="3" t="s">
        <v>749</v>
      </c>
      <c r="S129" s="3" t="s">
        <v>749</v>
      </c>
    </row>
    <row r="130" spans="1:19">
      <c r="A130" s="5" t="s">
        <v>319</v>
      </c>
      <c r="B130" s="5" t="s">
        <v>18</v>
      </c>
      <c r="C130" s="6" t="s">
        <v>320</v>
      </c>
      <c r="D130" s="5" t="s">
        <v>16</v>
      </c>
      <c r="E130" s="2" t="s">
        <v>342</v>
      </c>
      <c r="F130" s="2" t="s">
        <v>342</v>
      </c>
      <c r="G130" s="5" t="s">
        <v>319</v>
      </c>
      <c r="I130" s="5" t="s">
        <v>319</v>
      </c>
      <c r="J130" s="5" t="s">
        <v>782</v>
      </c>
      <c r="K130" s="5"/>
      <c r="L130" s="2" t="s">
        <v>731</v>
      </c>
      <c r="M130" s="3" t="s">
        <v>909</v>
      </c>
      <c r="N130" s="3" t="s">
        <v>909</v>
      </c>
      <c r="O130" s="3" t="s">
        <v>873</v>
      </c>
      <c r="P130" s="3"/>
      <c r="R130" s="3" t="s">
        <v>760</v>
      </c>
      <c r="S130" s="3" t="s">
        <v>760</v>
      </c>
    </row>
    <row r="131" spans="1:19">
      <c r="A131" s="5" t="s">
        <v>321</v>
      </c>
      <c r="B131" s="5" t="s">
        <v>18</v>
      </c>
      <c r="C131" s="6" t="s">
        <v>322</v>
      </c>
      <c r="D131"/>
      <c r="E131" s="2" t="s">
        <v>342</v>
      </c>
      <c r="F131" s="2" t="s">
        <v>342</v>
      </c>
      <c r="G131" s="5" t="s">
        <v>321</v>
      </c>
      <c r="I131" s="5" t="s">
        <v>321</v>
      </c>
      <c r="J131" s="5" t="s">
        <v>782</v>
      </c>
      <c r="K131" s="5"/>
      <c r="L131" s="2" t="s">
        <v>731</v>
      </c>
      <c r="M131" s="3" t="s">
        <v>909</v>
      </c>
      <c r="N131" s="3" t="s">
        <v>909</v>
      </c>
      <c r="O131" s="3" t="s">
        <v>873</v>
      </c>
      <c r="P131" s="3"/>
      <c r="R131" s="3" t="s">
        <v>758</v>
      </c>
      <c r="S131" s="3" t="s">
        <v>758</v>
      </c>
    </row>
    <row r="132" spans="1:19">
      <c r="A132" s="5" t="s">
        <v>323</v>
      </c>
      <c r="B132" s="5" t="s">
        <v>18</v>
      </c>
      <c r="C132" s="6" t="s">
        <v>324</v>
      </c>
      <c r="D132"/>
      <c r="E132" s="2" t="s">
        <v>342</v>
      </c>
      <c r="F132" s="2" t="s">
        <v>342</v>
      </c>
      <c r="G132" s="5" t="s">
        <v>323</v>
      </c>
      <c r="I132" s="5" t="s">
        <v>323</v>
      </c>
      <c r="J132" s="5" t="s">
        <v>782</v>
      </c>
      <c r="K132" s="5"/>
      <c r="L132" s="2" t="s">
        <v>731</v>
      </c>
      <c r="M132" s="3" t="s">
        <v>909</v>
      </c>
      <c r="N132" s="3" t="s">
        <v>909</v>
      </c>
      <c r="O132" s="3" t="s">
        <v>873</v>
      </c>
      <c r="P132" s="3"/>
      <c r="R132" s="3" t="s">
        <v>756</v>
      </c>
      <c r="S132" s="3" t="s">
        <v>756</v>
      </c>
    </row>
    <row r="133" spans="1:19">
      <c r="A133" s="5" t="s">
        <v>325</v>
      </c>
      <c r="B133" s="5" t="s">
        <v>22</v>
      </c>
      <c r="C133" s="6" t="s">
        <v>326</v>
      </c>
      <c r="D133" s="5" t="s">
        <v>58</v>
      </c>
      <c r="E133" s="2" t="s">
        <v>342</v>
      </c>
      <c r="F133" s="2" t="s">
        <v>342</v>
      </c>
      <c r="G133" s="5" t="s">
        <v>325</v>
      </c>
      <c r="I133" s="5" t="s">
        <v>325</v>
      </c>
      <c r="J133" s="5" t="s">
        <v>58</v>
      </c>
      <c r="K133" s="5"/>
      <c r="L133" s="15" t="s">
        <v>891</v>
      </c>
      <c r="M133" s="3" t="s">
        <v>909</v>
      </c>
      <c r="N133" s="3" t="s">
        <v>909</v>
      </c>
      <c r="O133" s="3" t="s">
        <v>873</v>
      </c>
      <c r="P133" s="3"/>
      <c r="R133" s="3" t="s">
        <v>757</v>
      </c>
      <c r="S133" s="3" t="s">
        <v>757</v>
      </c>
    </row>
    <row r="134" spans="1:19">
      <c r="A134" s="5" t="s">
        <v>325</v>
      </c>
      <c r="B134" s="5" t="s">
        <v>26</v>
      </c>
      <c r="C134" s="6" t="s">
        <v>327</v>
      </c>
      <c r="D134" s="5" t="s">
        <v>16</v>
      </c>
      <c r="E134" s="2" t="s">
        <v>342</v>
      </c>
      <c r="F134" s="2" t="s">
        <v>342</v>
      </c>
      <c r="G134" s="5" t="s">
        <v>325</v>
      </c>
      <c r="I134" s="5" t="s">
        <v>325</v>
      </c>
      <c r="J134" s="5" t="s">
        <v>781</v>
      </c>
      <c r="K134" s="5"/>
      <c r="L134" s="2" t="s">
        <v>731</v>
      </c>
      <c r="M134" s="3" t="s">
        <v>909</v>
      </c>
      <c r="N134" s="3" t="s">
        <v>909</v>
      </c>
      <c r="O134" s="3" t="s">
        <v>873</v>
      </c>
      <c r="P134" s="3"/>
      <c r="R134" s="3" t="s">
        <v>757</v>
      </c>
      <c r="S134" s="3" t="s">
        <v>757</v>
      </c>
    </row>
    <row r="135" spans="1:19">
      <c r="A135" s="5" t="s">
        <v>325</v>
      </c>
      <c r="B135" s="5" t="s">
        <v>18</v>
      </c>
      <c r="C135" s="6" t="s">
        <v>328</v>
      </c>
      <c r="D135" s="5" t="s">
        <v>16</v>
      </c>
      <c r="E135" s="2" t="s">
        <v>342</v>
      </c>
      <c r="F135" s="2" t="s">
        <v>342</v>
      </c>
      <c r="G135" s="5" t="s">
        <v>325</v>
      </c>
      <c r="I135" s="5" t="s">
        <v>325</v>
      </c>
      <c r="J135" s="5" t="s">
        <v>782</v>
      </c>
      <c r="K135" s="5"/>
      <c r="L135" s="2" t="s">
        <v>731</v>
      </c>
      <c r="M135" s="3" t="s">
        <v>909</v>
      </c>
      <c r="N135" s="3" t="s">
        <v>909</v>
      </c>
      <c r="O135" s="3" t="s">
        <v>873</v>
      </c>
      <c r="P135" s="3"/>
      <c r="R135" s="3" t="s">
        <v>757</v>
      </c>
      <c r="S135" s="3" t="s">
        <v>757</v>
      </c>
    </row>
    <row r="136" spans="1:19">
      <c r="A136" s="5" t="s">
        <v>329</v>
      </c>
      <c r="B136" s="5" t="s">
        <v>39</v>
      </c>
      <c r="C136" s="6" t="s">
        <v>330</v>
      </c>
      <c r="D136" s="5" t="s">
        <v>58</v>
      </c>
      <c r="E136" s="2" t="s">
        <v>342</v>
      </c>
      <c r="F136" s="2" t="s">
        <v>342</v>
      </c>
      <c r="G136" s="5" t="s">
        <v>329</v>
      </c>
      <c r="I136" s="5" t="s">
        <v>329</v>
      </c>
      <c r="J136" s="5" t="s">
        <v>58</v>
      </c>
      <c r="K136" s="5"/>
      <c r="L136" s="15" t="s">
        <v>891</v>
      </c>
      <c r="M136" s="3" t="s">
        <v>909</v>
      </c>
      <c r="N136" s="3" t="s">
        <v>909</v>
      </c>
      <c r="O136" s="3" t="s">
        <v>873</v>
      </c>
      <c r="P136" s="3"/>
      <c r="R136" s="3" t="s">
        <v>759</v>
      </c>
      <c r="S136" s="3" t="s">
        <v>759</v>
      </c>
    </row>
    <row r="137" spans="1:19">
      <c r="A137" s="5" t="s">
        <v>329</v>
      </c>
      <c r="B137" s="5" t="s">
        <v>14</v>
      </c>
      <c r="C137" s="6" t="s">
        <v>331</v>
      </c>
      <c r="D137"/>
      <c r="E137" s="2" t="s">
        <v>342</v>
      </c>
      <c r="F137" s="2" t="s">
        <v>342</v>
      </c>
      <c r="G137" s="5" t="s">
        <v>329</v>
      </c>
      <c r="I137" s="5" t="s">
        <v>329</v>
      </c>
      <c r="J137" s="5" t="s">
        <v>781</v>
      </c>
      <c r="K137" s="5"/>
      <c r="L137" s="2" t="s">
        <v>731</v>
      </c>
      <c r="M137" s="3" t="s">
        <v>909</v>
      </c>
      <c r="N137" s="3" t="s">
        <v>909</v>
      </c>
      <c r="O137" s="3" t="s">
        <v>873</v>
      </c>
      <c r="P137" s="3"/>
      <c r="R137" s="3" t="s">
        <v>759</v>
      </c>
      <c r="S137" s="3" t="s">
        <v>759</v>
      </c>
    </row>
    <row r="138" spans="1:19">
      <c r="A138" s="5" t="s">
        <v>329</v>
      </c>
      <c r="B138" s="5" t="s">
        <v>332</v>
      </c>
      <c r="C138" s="6" t="s">
        <v>333</v>
      </c>
      <c r="D138" s="5" t="s">
        <v>16</v>
      </c>
      <c r="E138" s="2" t="s">
        <v>342</v>
      </c>
      <c r="F138" s="2" t="s">
        <v>342</v>
      </c>
      <c r="G138" s="5" t="s">
        <v>329</v>
      </c>
      <c r="I138" s="5" t="s">
        <v>329</v>
      </c>
      <c r="J138" s="5" t="s">
        <v>782</v>
      </c>
      <c r="K138" s="5"/>
      <c r="L138" s="2" t="s">
        <v>731</v>
      </c>
      <c r="M138" s="3" t="s">
        <v>909</v>
      </c>
      <c r="N138" s="3" t="s">
        <v>909</v>
      </c>
      <c r="O138" s="3" t="s">
        <v>873</v>
      </c>
      <c r="P138" s="3"/>
      <c r="R138" s="3" t="s">
        <v>759</v>
      </c>
      <c r="S138" s="3" t="s">
        <v>759</v>
      </c>
    </row>
    <row r="139" spans="1:19">
      <c r="A139" s="5" t="s">
        <v>334</v>
      </c>
      <c r="B139" s="5" t="s">
        <v>22</v>
      </c>
      <c r="C139" s="6" t="s">
        <v>335</v>
      </c>
      <c r="D139"/>
      <c r="E139" s="2" t="s">
        <v>342</v>
      </c>
      <c r="F139" s="2" t="s">
        <v>342</v>
      </c>
      <c r="G139" s="5" t="s">
        <v>334</v>
      </c>
      <c r="I139" s="5" t="s">
        <v>334</v>
      </c>
      <c r="J139" s="5" t="s">
        <v>58</v>
      </c>
      <c r="K139" s="5"/>
      <c r="L139" s="15" t="s">
        <v>891</v>
      </c>
      <c r="M139" s="3" t="s">
        <v>909</v>
      </c>
      <c r="N139" s="3" t="s">
        <v>909</v>
      </c>
      <c r="O139" s="3" t="s">
        <v>873</v>
      </c>
      <c r="P139" s="3"/>
      <c r="R139" s="3" t="s">
        <v>755</v>
      </c>
      <c r="S139" s="3" t="s">
        <v>755</v>
      </c>
    </row>
    <row r="140" spans="1:19">
      <c r="A140" s="5" t="s">
        <v>334</v>
      </c>
      <c r="B140" s="5" t="s">
        <v>26</v>
      </c>
      <c r="C140" s="6" t="s">
        <v>336</v>
      </c>
      <c r="D140" s="5" t="s">
        <v>16</v>
      </c>
      <c r="E140" s="2" t="s">
        <v>342</v>
      </c>
      <c r="F140" s="2" t="s">
        <v>342</v>
      </c>
      <c r="G140" s="5" t="s">
        <v>334</v>
      </c>
      <c r="I140" s="5" t="s">
        <v>334</v>
      </c>
      <c r="J140" s="5" t="s">
        <v>781</v>
      </c>
      <c r="K140" s="5"/>
      <c r="L140" s="2" t="s">
        <v>731</v>
      </c>
      <c r="M140" s="3" t="s">
        <v>909</v>
      </c>
      <c r="N140" s="3" t="s">
        <v>909</v>
      </c>
      <c r="O140" s="3" t="s">
        <v>873</v>
      </c>
      <c r="P140" s="3"/>
      <c r="R140" s="3" t="s">
        <v>755</v>
      </c>
      <c r="S140" s="3" t="s">
        <v>755</v>
      </c>
    </row>
    <row r="141" spans="1:19">
      <c r="A141" s="5" t="s">
        <v>334</v>
      </c>
      <c r="B141" s="5" t="s">
        <v>18</v>
      </c>
      <c r="C141" s="6" t="s">
        <v>337</v>
      </c>
      <c r="D141" s="5" t="s">
        <v>16</v>
      </c>
      <c r="E141" s="2" t="s">
        <v>342</v>
      </c>
      <c r="F141" s="2" t="s">
        <v>342</v>
      </c>
      <c r="G141" s="5" t="s">
        <v>334</v>
      </c>
      <c r="I141" s="5" t="s">
        <v>334</v>
      </c>
      <c r="J141" s="5" t="s">
        <v>782</v>
      </c>
      <c r="K141" s="5"/>
      <c r="L141" s="2" t="s">
        <v>731</v>
      </c>
      <c r="M141" s="3" t="s">
        <v>909</v>
      </c>
      <c r="N141" s="3" t="s">
        <v>909</v>
      </c>
      <c r="O141" s="3" t="s">
        <v>873</v>
      </c>
      <c r="P141" s="3"/>
      <c r="R141" s="3" t="s">
        <v>755</v>
      </c>
      <c r="S141" s="3" t="s">
        <v>755</v>
      </c>
    </row>
    <row r="142" spans="1:19">
      <c r="A142" s="5" t="s">
        <v>338</v>
      </c>
      <c r="B142" s="5" t="s">
        <v>22</v>
      </c>
      <c r="C142" s="6" t="s">
        <v>339</v>
      </c>
      <c r="D142"/>
      <c r="E142" s="2" t="s">
        <v>342</v>
      </c>
      <c r="F142" s="2" t="s">
        <v>342</v>
      </c>
      <c r="G142" s="5" t="s">
        <v>338</v>
      </c>
      <c r="I142" s="5" t="s">
        <v>338</v>
      </c>
      <c r="J142" s="5" t="s">
        <v>58</v>
      </c>
      <c r="K142" s="5"/>
      <c r="L142" s="15" t="s">
        <v>891</v>
      </c>
      <c r="M142" s="3" t="s">
        <v>909</v>
      </c>
      <c r="N142" s="3" t="s">
        <v>909</v>
      </c>
      <c r="O142" s="3" t="s">
        <v>873</v>
      </c>
      <c r="P142" s="3"/>
      <c r="R142" s="3" t="s">
        <v>758</v>
      </c>
      <c r="S142" s="3" t="s">
        <v>758</v>
      </c>
    </row>
    <row r="143" spans="1:19">
      <c r="A143" s="5" t="s">
        <v>338</v>
      </c>
      <c r="B143" s="5" t="s">
        <v>26</v>
      </c>
      <c r="C143" s="6" t="s">
        <v>340</v>
      </c>
      <c r="D143" s="5" t="s">
        <v>16</v>
      </c>
      <c r="E143" s="2" t="s">
        <v>342</v>
      </c>
      <c r="F143" s="2" t="s">
        <v>342</v>
      </c>
      <c r="G143" s="5" t="s">
        <v>338</v>
      </c>
      <c r="I143" s="5" t="s">
        <v>338</v>
      </c>
      <c r="J143" s="5" t="s">
        <v>781</v>
      </c>
      <c r="K143" s="5"/>
      <c r="L143" s="2" t="s">
        <v>731</v>
      </c>
      <c r="M143" s="3" t="s">
        <v>909</v>
      </c>
      <c r="N143" s="3" t="s">
        <v>909</v>
      </c>
      <c r="O143" s="3" t="s">
        <v>873</v>
      </c>
      <c r="P143" s="3"/>
      <c r="R143" s="3" t="s">
        <v>758</v>
      </c>
      <c r="S143" s="3" t="s">
        <v>758</v>
      </c>
    </row>
    <row r="144" spans="1:19">
      <c r="A144" s="5" t="s">
        <v>338</v>
      </c>
      <c r="B144" s="5" t="s">
        <v>18</v>
      </c>
      <c r="C144" s="6" t="s">
        <v>341</v>
      </c>
      <c r="D144" s="5" t="s">
        <v>16</v>
      </c>
      <c r="E144" s="2" t="s">
        <v>342</v>
      </c>
      <c r="F144" s="2" t="s">
        <v>342</v>
      </c>
      <c r="G144" s="5" t="s">
        <v>338</v>
      </c>
      <c r="I144" s="5" t="s">
        <v>338</v>
      </c>
      <c r="J144" s="5" t="s">
        <v>782</v>
      </c>
      <c r="K144" s="5"/>
      <c r="L144" s="2" t="s">
        <v>731</v>
      </c>
      <c r="M144" s="3" t="s">
        <v>909</v>
      </c>
      <c r="N144" s="3" t="s">
        <v>909</v>
      </c>
      <c r="O144" s="3" t="s">
        <v>873</v>
      </c>
      <c r="P144" s="3"/>
      <c r="R144" s="3" t="s">
        <v>758</v>
      </c>
      <c r="S144" s="3" t="s">
        <v>758</v>
      </c>
    </row>
    <row r="145" spans="1:19">
      <c r="A145" s="8" t="s">
        <v>373</v>
      </c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 t="s">
        <v>731</v>
      </c>
      <c r="M145" s="9" t="s">
        <v>52</v>
      </c>
      <c r="N145" s="9" t="s">
        <v>53</v>
      </c>
      <c r="O145" s="9" t="s">
        <v>873</v>
      </c>
      <c r="P145" s="9"/>
      <c r="R145" s="3" t="s">
        <v>892</v>
      </c>
      <c r="S145" s="3" t="s">
        <v>752</v>
      </c>
    </row>
    <row r="146" spans="1:19">
      <c r="A146" s="5" t="s">
        <v>343</v>
      </c>
      <c r="B146" s="5" t="s">
        <v>11</v>
      </c>
      <c r="C146" s="6" t="s">
        <v>344</v>
      </c>
      <c r="D146" s="5" t="s">
        <v>217</v>
      </c>
      <c r="E146" s="2" t="s">
        <v>373</v>
      </c>
      <c r="F146" s="2" t="s">
        <v>373</v>
      </c>
      <c r="G146" s="5" t="s">
        <v>343</v>
      </c>
      <c r="I146" s="5" t="s">
        <v>783</v>
      </c>
      <c r="J146" s="2" t="s">
        <v>217</v>
      </c>
      <c r="L146" s="17" t="s">
        <v>921</v>
      </c>
      <c r="M146" s="3" t="s">
        <v>892</v>
      </c>
      <c r="N146" s="3" t="s">
        <v>892</v>
      </c>
      <c r="O146" s="3" t="s">
        <v>873</v>
      </c>
      <c r="P146" s="3"/>
      <c r="R146" s="3" t="s">
        <v>52</v>
      </c>
      <c r="S146" s="3" t="s">
        <v>52</v>
      </c>
    </row>
    <row r="147" spans="1:19">
      <c r="A147" s="5" t="s">
        <v>343</v>
      </c>
      <c r="B147" s="5" t="s">
        <v>6</v>
      </c>
      <c r="C147" s="6" t="s">
        <v>345</v>
      </c>
      <c r="D147" s="5" t="s">
        <v>346</v>
      </c>
      <c r="E147" s="2" t="s">
        <v>373</v>
      </c>
      <c r="F147" s="2" t="s">
        <v>373</v>
      </c>
      <c r="G147" s="5" t="s">
        <v>343</v>
      </c>
      <c r="I147" s="5" t="s">
        <v>784</v>
      </c>
      <c r="J147" s="2" t="s">
        <v>217</v>
      </c>
      <c r="L147" s="17" t="s">
        <v>921</v>
      </c>
      <c r="M147" s="3" t="s">
        <v>892</v>
      </c>
      <c r="N147" s="3" t="s">
        <v>892</v>
      </c>
      <c r="O147" s="3" t="s">
        <v>873</v>
      </c>
      <c r="P147" s="3"/>
      <c r="R147" s="3" t="s">
        <v>758</v>
      </c>
      <c r="S147" s="3" t="s">
        <v>758</v>
      </c>
    </row>
    <row r="148" spans="1:19">
      <c r="A148" s="5" t="s">
        <v>343</v>
      </c>
      <c r="B148" s="5" t="s">
        <v>14</v>
      </c>
      <c r="C148" s="6" t="s">
        <v>347</v>
      </c>
      <c r="D148" s="5" t="s">
        <v>348</v>
      </c>
      <c r="E148" s="2" t="s">
        <v>373</v>
      </c>
      <c r="F148" s="2" t="s">
        <v>373</v>
      </c>
      <c r="G148" s="5" t="s">
        <v>343</v>
      </c>
      <c r="I148" s="5" t="s">
        <v>785</v>
      </c>
      <c r="J148" s="2" t="s">
        <v>16</v>
      </c>
      <c r="L148" s="2" t="s">
        <v>891</v>
      </c>
      <c r="M148" s="3" t="s">
        <v>892</v>
      </c>
      <c r="N148" s="3" t="s">
        <v>892</v>
      </c>
      <c r="O148" s="3" t="s">
        <v>873</v>
      </c>
      <c r="P148" s="3"/>
      <c r="R148" s="3" t="s">
        <v>756</v>
      </c>
      <c r="S148" s="3" t="s">
        <v>756</v>
      </c>
    </row>
    <row r="149" spans="1:19">
      <c r="A149" s="5" t="s">
        <v>343</v>
      </c>
      <c r="B149" s="5" t="s">
        <v>18</v>
      </c>
      <c r="C149" s="6" t="s">
        <v>349</v>
      </c>
      <c r="D149" s="5" t="s">
        <v>16</v>
      </c>
      <c r="E149" s="2" t="s">
        <v>373</v>
      </c>
      <c r="F149" s="2" t="s">
        <v>373</v>
      </c>
      <c r="G149" s="5" t="s">
        <v>343</v>
      </c>
      <c r="I149" s="5" t="s">
        <v>786</v>
      </c>
      <c r="J149" s="2" t="s">
        <v>16</v>
      </c>
      <c r="L149" s="2" t="s">
        <v>891</v>
      </c>
      <c r="M149" s="3" t="s">
        <v>892</v>
      </c>
      <c r="N149" s="3" t="s">
        <v>892</v>
      </c>
      <c r="O149" s="3" t="s">
        <v>873</v>
      </c>
      <c r="P149" s="3"/>
      <c r="R149" s="3" t="s">
        <v>755</v>
      </c>
      <c r="S149" s="3" t="s">
        <v>755</v>
      </c>
    </row>
    <row r="150" spans="1:19">
      <c r="A150" s="5" t="s">
        <v>350</v>
      </c>
      <c r="B150" s="5" t="s">
        <v>11</v>
      </c>
      <c r="C150" s="6" t="s">
        <v>351</v>
      </c>
      <c r="D150" s="5" t="s">
        <v>352</v>
      </c>
      <c r="E150" s="2" t="s">
        <v>373</v>
      </c>
      <c r="F150" s="2" t="s">
        <v>373</v>
      </c>
      <c r="G150" s="5" t="s">
        <v>350</v>
      </c>
      <c r="I150" s="5" t="s">
        <v>787</v>
      </c>
      <c r="J150" s="2" t="s">
        <v>217</v>
      </c>
      <c r="L150" s="17" t="s">
        <v>921</v>
      </c>
      <c r="M150" s="3" t="s">
        <v>892</v>
      </c>
      <c r="N150" s="3" t="s">
        <v>892</v>
      </c>
      <c r="O150" s="3" t="s">
        <v>873</v>
      </c>
      <c r="P150" s="3"/>
      <c r="R150" s="3" t="s">
        <v>760</v>
      </c>
      <c r="S150" s="3" t="s">
        <v>760</v>
      </c>
    </row>
    <row r="151" spans="1:19">
      <c r="A151" s="5" t="s">
        <v>350</v>
      </c>
      <c r="B151" s="5" t="s">
        <v>6</v>
      </c>
      <c r="C151" s="6" t="s">
        <v>353</v>
      </c>
      <c r="D151" s="5" t="s">
        <v>354</v>
      </c>
      <c r="E151" s="2" t="s">
        <v>373</v>
      </c>
      <c r="F151" s="2" t="s">
        <v>373</v>
      </c>
      <c r="G151" s="5" t="s">
        <v>350</v>
      </c>
      <c r="I151" s="5" t="s">
        <v>788</v>
      </c>
      <c r="J151" s="2" t="s">
        <v>217</v>
      </c>
      <c r="L151" s="17" t="s">
        <v>921</v>
      </c>
      <c r="M151" s="3" t="s">
        <v>892</v>
      </c>
      <c r="N151" s="3" t="s">
        <v>892</v>
      </c>
      <c r="O151" s="3" t="s">
        <v>873</v>
      </c>
      <c r="P151" s="3"/>
      <c r="R151" s="3" t="s">
        <v>759</v>
      </c>
      <c r="S151" s="3" t="s">
        <v>759</v>
      </c>
    </row>
    <row r="152" spans="1:19">
      <c r="A152" s="5" t="s">
        <v>350</v>
      </c>
      <c r="B152" s="5" t="s">
        <v>14</v>
      </c>
      <c r="C152" s="6" t="s">
        <v>355</v>
      </c>
      <c r="D152" s="5" t="s">
        <v>356</v>
      </c>
      <c r="E152" s="2" t="s">
        <v>373</v>
      </c>
      <c r="F152" s="2" t="s">
        <v>373</v>
      </c>
      <c r="G152" s="5" t="s">
        <v>350</v>
      </c>
      <c r="I152" s="5" t="s">
        <v>789</v>
      </c>
      <c r="J152" s="2" t="s">
        <v>16</v>
      </c>
      <c r="L152" s="2" t="s">
        <v>891</v>
      </c>
      <c r="M152" s="3" t="s">
        <v>892</v>
      </c>
      <c r="N152" s="3" t="s">
        <v>892</v>
      </c>
      <c r="O152" s="3" t="s">
        <v>873</v>
      </c>
      <c r="P152" s="3"/>
      <c r="R152" s="14" t="s">
        <v>53</v>
      </c>
      <c r="S152" s="14" t="s">
        <v>53</v>
      </c>
    </row>
    <row r="153" spans="1:19">
      <c r="A153" s="5" t="s">
        <v>350</v>
      </c>
      <c r="B153" s="5" t="s">
        <v>18</v>
      </c>
      <c r="C153" s="6" t="s">
        <v>357</v>
      </c>
      <c r="D153" s="5" t="s">
        <v>358</v>
      </c>
      <c r="E153" s="2" t="s">
        <v>373</v>
      </c>
      <c r="F153" s="2" t="s">
        <v>373</v>
      </c>
      <c r="G153" s="5" t="s">
        <v>350</v>
      </c>
      <c r="I153" s="5" t="s">
        <v>790</v>
      </c>
      <c r="J153" s="2" t="s">
        <v>16</v>
      </c>
      <c r="L153" s="2" t="s">
        <v>891</v>
      </c>
      <c r="M153" s="3" t="s">
        <v>892</v>
      </c>
      <c r="N153" s="3" t="s">
        <v>892</v>
      </c>
      <c r="O153" s="3" t="s">
        <v>873</v>
      </c>
      <c r="P153" s="3"/>
      <c r="R153" s="14" t="s">
        <v>52</v>
      </c>
      <c r="S153" s="14" t="s">
        <v>52</v>
      </c>
    </row>
    <row r="154" spans="1:19">
      <c r="A154" s="5" t="s">
        <v>359</v>
      </c>
      <c r="B154" s="5" t="s">
        <v>360</v>
      </c>
      <c r="C154" s="6" t="s">
        <v>361</v>
      </c>
      <c r="D154" s="5" t="s">
        <v>352</v>
      </c>
      <c r="E154" s="2" t="s">
        <v>373</v>
      </c>
      <c r="F154" s="2" t="s">
        <v>373</v>
      </c>
      <c r="G154" s="5" t="s">
        <v>359</v>
      </c>
      <c r="I154" s="5" t="s">
        <v>791</v>
      </c>
      <c r="J154" s="2" t="s">
        <v>217</v>
      </c>
      <c r="L154" s="17" t="s">
        <v>921</v>
      </c>
      <c r="M154" s="3" t="s">
        <v>892</v>
      </c>
      <c r="N154" s="3" t="s">
        <v>892</v>
      </c>
      <c r="O154" s="3" t="s">
        <v>873</v>
      </c>
      <c r="P154" s="3"/>
      <c r="R154" s="14" t="s">
        <v>863</v>
      </c>
      <c r="S154" s="14" t="s">
        <v>863</v>
      </c>
    </row>
    <row r="155" spans="1:19" ht="25.5">
      <c r="A155" s="5" t="s">
        <v>359</v>
      </c>
      <c r="B155" s="5" t="s">
        <v>362</v>
      </c>
      <c r="C155" s="6" t="s">
        <v>363</v>
      </c>
      <c r="D155" s="5" t="s">
        <v>354</v>
      </c>
      <c r="E155" s="2" t="s">
        <v>373</v>
      </c>
      <c r="F155" s="2" t="s">
        <v>373</v>
      </c>
      <c r="G155" s="5" t="s">
        <v>359</v>
      </c>
      <c r="I155" s="5" t="s">
        <v>792</v>
      </c>
      <c r="J155" s="2" t="s">
        <v>217</v>
      </c>
      <c r="L155" s="17" t="s">
        <v>921</v>
      </c>
      <c r="M155" s="3" t="s">
        <v>892</v>
      </c>
      <c r="N155" s="3" t="s">
        <v>892</v>
      </c>
      <c r="O155" s="3" t="s">
        <v>873</v>
      </c>
      <c r="P155" s="3"/>
      <c r="R155" s="14" t="s">
        <v>751</v>
      </c>
      <c r="S155" s="14" t="s">
        <v>751</v>
      </c>
    </row>
    <row r="156" spans="1:19">
      <c r="A156" s="5" t="s">
        <v>359</v>
      </c>
      <c r="B156" s="5" t="s">
        <v>364</v>
      </c>
      <c r="C156" s="6" t="s">
        <v>365</v>
      </c>
      <c r="D156" s="5" t="s">
        <v>356</v>
      </c>
      <c r="E156" s="2" t="s">
        <v>373</v>
      </c>
      <c r="F156" s="2" t="s">
        <v>373</v>
      </c>
      <c r="G156" s="5" t="s">
        <v>359</v>
      </c>
      <c r="I156" s="5" t="s">
        <v>793</v>
      </c>
      <c r="J156" s="2" t="s">
        <v>16</v>
      </c>
      <c r="L156" s="2" t="s">
        <v>891</v>
      </c>
      <c r="M156" s="3" t="s">
        <v>892</v>
      </c>
      <c r="N156" s="3" t="s">
        <v>892</v>
      </c>
      <c r="O156" s="3" t="s">
        <v>873</v>
      </c>
      <c r="P156" s="3"/>
      <c r="R156" s="10" t="s">
        <v>761</v>
      </c>
      <c r="S156" s="10" t="s">
        <v>761</v>
      </c>
    </row>
    <row r="157" spans="1:19">
      <c r="A157" s="5" t="s">
        <v>359</v>
      </c>
      <c r="B157" s="5" t="s">
        <v>366</v>
      </c>
      <c r="C157" s="6" t="s">
        <v>367</v>
      </c>
      <c r="D157" s="5" t="s">
        <v>358</v>
      </c>
      <c r="E157" s="2" t="s">
        <v>373</v>
      </c>
      <c r="F157" s="2" t="s">
        <v>373</v>
      </c>
      <c r="G157" s="5" t="s">
        <v>359</v>
      </c>
      <c r="I157" s="5" t="s">
        <v>794</v>
      </c>
      <c r="J157" s="2" t="s">
        <v>16</v>
      </c>
      <c r="L157" s="2" t="s">
        <v>891</v>
      </c>
      <c r="M157" s="3" t="s">
        <v>892</v>
      </c>
      <c r="N157" s="3" t="s">
        <v>892</v>
      </c>
      <c r="O157" s="3" t="s">
        <v>873</v>
      </c>
      <c r="P157" s="3"/>
      <c r="R157" s="10" t="s">
        <v>758</v>
      </c>
      <c r="S157" s="10" t="s">
        <v>758</v>
      </c>
    </row>
    <row r="158" spans="1:19" ht="25.5">
      <c r="A158" s="5" t="s">
        <v>368</v>
      </c>
      <c r="B158" s="5" t="s">
        <v>360</v>
      </c>
      <c r="C158" s="6" t="s">
        <v>369</v>
      </c>
      <c r="D158" s="5" t="s">
        <v>352</v>
      </c>
      <c r="E158" s="2" t="s">
        <v>373</v>
      </c>
      <c r="F158" s="2" t="s">
        <v>373</v>
      </c>
      <c r="G158" s="5" t="s">
        <v>368</v>
      </c>
      <c r="I158" s="5" t="s">
        <v>795</v>
      </c>
      <c r="J158" s="2" t="s">
        <v>217</v>
      </c>
      <c r="L158" s="17" t="s">
        <v>921</v>
      </c>
      <c r="M158" s="3" t="s">
        <v>892</v>
      </c>
      <c r="N158" s="3" t="s">
        <v>892</v>
      </c>
      <c r="O158" s="3" t="s">
        <v>873</v>
      </c>
      <c r="P158" s="3"/>
      <c r="R158" s="10" t="s">
        <v>864</v>
      </c>
      <c r="S158" s="10" t="s">
        <v>864</v>
      </c>
    </row>
    <row r="159" spans="1:19" ht="25.5">
      <c r="A159" s="5" t="s">
        <v>368</v>
      </c>
      <c r="B159" s="5" t="s">
        <v>362</v>
      </c>
      <c r="C159" s="6" t="s">
        <v>370</v>
      </c>
      <c r="D159" s="5" t="s">
        <v>354</v>
      </c>
      <c r="E159" s="2" t="s">
        <v>373</v>
      </c>
      <c r="F159" s="2" t="s">
        <v>373</v>
      </c>
      <c r="G159" s="5" t="s">
        <v>368</v>
      </c>
      <c r="I159" s="5" t="s">
        <v>796</v>
      </c>
      <c r="J159" s="2" t="s">
        <v>217</v>
      </c>
      <c r="L159" s="17" t="s">
        <v>921</v>
      </c>
      <c r="M159" s="3" t="s">
        <v>892</v>
      </c>
      <c r="N159" s="3" t="s">
        <v>892</v>
      </c>
      <c r="O159" s="3" t="s">
        <v>873</v>
      </c>
      <c r="P159" s="3"/>
      <c r="R159" s="10" t="s">
        <v>865</v>
      </c>
      <c r="S159" s="10" t="s">
        <v>865</v>
      </c>
    </row>
    <row r="160" spans="1:19" ht="25.5">
      <c r="A160" s="5" t="s">
        <v>368</v>
      </c>
      <c r="B160" s="5" t="s">
        <v>364</v>
      </c>
      <c r="C160" s="6" t="s">
        <v>371</v>
      </c>
      <c r="D160" s="5" t="s">
        <v>356</v>
      </c>
      <c r="E160" s="2" t="s">
        <v>373</v>
      </c>
      <c r="F160" s="2" t="s">
        <v>373</v>
      </c>
      <c r="G160" s="5" t="s">
        <v>368</v>
      </c>
      <c r="I160" s="5" t="s">
        <v>797</v>
      </c>
      <c r="J160" s="2" t="s">
        <v>16</v>
      </c>
      <c r="L160" s="2" t="s">
        <v>891</v>
      </c>
      <c r="M160" s="3" t="s">
        <v>892</v>
      </c>
      <c r="N160" s="3" t="s">
        <v>892</v>
      </c>
      <c r="O160" s="3" t="s">
        <v>873</v>
      </c>
      <c r="P160" s="3"/>
      <c r="R160" s="13" t="s">
        <v>759</v>
      </c>
      <c r="S160" s="13" t="s">
        <v>759</v>
      </c>
    </row>
    <row r="161" spans="1:19" ht="25.5">
      <c r="A161" s="5" t="s">
        <v>368</v>
      </c>
      <c r="B161" s="5" t="s">
        <v>366</v>
      </c>
      <c r="C161" s="6" t="s">
        <v>372</v>
      </c>
      <c r="D161" s="5" t="s">
        <v>358</v>
      </c>
      <c r="E161" s="2" t="s">
        <v>373</v>
      </c>
      <c r="F161" s="2" t="s">
        <v>373</v>
      </c>
      <c r="G161" s="5" t="s">
        <v>368</v>
      </c>
      <c r="I161" s="5" t="s">
        <v>798</v>
      </c>
      <c r="J161" s="2" t="s">
        <v>16</v>
      </c>
      <c r="L161" s="2" t="s">
        <v>891</v>
      </c>
      <c r="M161" s="3" t="s">
        <v>892</v>
      </c>
      <c r="N161" s="3" t="s">
        <v>892</v>
      </c>
      <c r="O161" s="3" t="s">
        <v>873</v>
      </c>
      <c r="P161" s="3"/>
      <c r="R161" s="13" t="s">
        <v>866</v>
      </c>
      <c r="S161" s="13" t="s">
        <v>866</v>
      </c>
    </row>
    <row r="162" spans="1:19">
      <c r="A162" s="8" t="s">
        <v>393</v>
      </c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 t="s">
        <v>731</v>
      </c>
      <c r="M162" s="9" t="s">
        <v>52</v>
      </c>
      <c r="N162" s="9" t="s">
        <v>53</v>
      </c>
      <c r="O162" s="9" t="s">
        <v>873</v>
      </c>
      <c r="P162" s="9"/>
      <c r="R162" s="10" t="s">
        <v>749</v>
      </c>
      <c r="S162" s="10" t="s">
        <v>749</v>
      </c>
    </row>
    <row r="163" spans="1:19" ht="25.5">
      <c r="A163" s="5" t="s">
        <v>374</v>
      </c>
      <c r="B163" s="5" t="s">
        <v>375</v>
      </c>
      <c r="C163" s="6" t="s">
        <v>376</v>
      </c>
      <c r="D163" s="5" t="s">
        <v>377</v>
      </c>
      <c r="E163" s="2" t="s">
        <v>393</v>
      </c>
      <c r="F163" s="2" t="s">
        <v>393</v>
      </c>
      <c r="G163" s="16" t="s">
        <v>911</v>
      </c>
      <c r="H163" s="5" t="s">
        <v>904</v>
      </c>
      <c r="I163" s="5" t="s">
        <v>799</v>
      </c>
      <c r="J163" s="5" t="s">
        <v>811</v>
      </c>
      <c r="K163" s="5"/>
      <c r="L163" s="17" t="s">
        <v>921</v>
      </c>
      <c r="M163" s="3" t="s">
        <v>892</v>
      </c>
      <c r="N163" s="3" t="s">
        <v>892</v>
      </c>
      <c r="O163" s="3" t="s">
        <v>873</v>
      </c>
      <c r="P163" s="3"/>
      <c r="R163" s="10" t="s">
        <v>756</v>
      </c>
      <c r="S163" s="10" t="s">
        <v>756</v>
      </c>
    </row>
    <row r="164" spans="1:19">
      <c r="A164" s="5" t="s">
        <v>374</v>
      </c>
      <c r="B164" s="5" t="s">
        <v>14</v>
      </c>
      <c r="C164" s="6" t="s">
        <v>378</v>
      </c>
      <c r="D164" s="5" t="s">
        <v>348</v>
      </c>
      <c r="E164" s="2" t="s">
        <v>393</v>
      </c>
      <c r="F164" s="2" t="s">
        <v>393</v>
      </c>
      <c r="G164" s="16" t="s">
        <v>912</v>
      </c>
      <c r="H164" s="5" t="s">
        <v>904</v>
      </c>
      <c r="I164" s="5" t="s">
        <v>800</v>
      </c>
      <c r="J164" s="5" t="s">
        <v>781</v>
      </c>
      <c r="K164" s="5"/>
      <c r="L164" s="2" t="s">
        <v>891</v>
      </c>
      <c r="M164" s="3" t="s">
        <v>892</v>
      </c>
      <c r="N164" s="3" t="s">
        <v>892</v>
      </c>
      <c r="O164" s="3" t="s">
        <v>873</v>
      </c>
      <c r="P164" s="3"/>
      <c r="R164" s="11" t="s">
        <v>757</v>
      </c>
      <c r="S164" s="11" t="s">
        <v>757</v>
      </c>
    </row>
    <row r="165" spans="1:19" ht="25.5">
      <c r="A165" s="5" t="s">
        <v>379</v>
      </c>
      <c r="B165" s="5" t="s">
        <v>360</v>
      </c>
      <c r="C165" s="6" t="s">
        <v>380</v>
      </c>
      <c r="D165" s="5" t="s">
        <v>352</v>
      </c>
      <c r="E165" s="2" t="s">
        <v>393</v>
      </c>
      <c r="F165" s="2" t="s">
        <v>393</v>
      </c>
      <c r="G165" s="16" t="s">
        <v>913</v>
      </c>
      <c r="H165" s="5" t="s">
        <v>818</v>
      </c>
      <c r="I165" s="5" t="s">
        <v>801</v>
      </c>
      <c r="J165" s="5" t="s">
        <v>812</v>
      </c>
      <c r="K165" s="5"/>
      <c r="L165" s="2" t="s">
        <v>921</v>
      </c>
      <c r="M165" s="3" t="s">
        <v>892</v>
      </c>
      <c r="N165" s="3" t="s">
        <v>892</v>
      </c>
      <c r="O165" s="3" t="s">
        <v>873</v>
      </c>
      <c r="P165" s="3"/>
      <c r="R165" s="11" t="s">
        <v>867</v>
      </c>
      <c r="S165" s="11" t="s">
        <v>867</v>
      </c>
    </row>
    <row r="166" spans="1:19" ht="25.5">
      <c r="A166" s="5" t="s">
        <v>379</v>
      </c>
      <c r="B166" s="5" t="s">
        <v>362</v>
      </c>
      <c r="C166" s="6" t="s">
        <v>381</v>
      </c>
      <c r="D166" s="5" t="s">
        <v>354</v>
      </c>
      <c r="E166" s="2" t="s">
        <v>393</v>
      </c>
      <c r="F166" s="2" t="s">
        <v>393</v>
      </c>
      <c r="G166" s="16" t="s">
        <v>914</v>
      </c>
      <c r="H166" s="5" t="s">
        <v>818</v>
      </c>
      <c r="I166" s="5" t="s">
        <v>802</v>
      </c>
      <c r="J166" s="5" t="s">
        <v>812</v>
      </c>
      <c r="K166" s="5"/>
      <c r="L166" s="2" t="s">
        <v>921</v>
      </c>
      <c r="M166" s="3" t="s">
        <v>892</v>
      </c>
      <c r="N166" s="3" t="s">
        <v>892</v>
      </c>
      <c r="O166" s="3" t="s">
        <v>873</v>
      </c>
      <c r="P166" s="3"/>
      <c r="R166" s="12" t="s">
        <v>752</v>
      </c>
      <c r="S166" s="12" t="s">
        <v>752</v>
      </c>
    </row>
    <row r="167" spans="1:19" ht="25.5">
      <c r="A167" s="5" t="s">
        <v>379</v>
      </c>
      <c r="B167" s="5" t="s">
        <v>382</v>
      </c>
      <c r="C167" s="6" t="s">
        <v>383</v>
      </c>
      <c r="D167" s="5" t="s">
        <v>356</v>
      </c>
      <c r="E167" s="2" t="s">
        <v>393</v>
      </c>
      <c r="F167" s="2" t="s">
        <v>393</v>
      </c>
      <c r="G167" s="16" t="s">
        <v>915</v>
      </c>
      <c r="H167" s="5" t="s">
        <v>818</v>
      </c>
      <c r="I167" s="5" t="s">
        <v>803</v>
      </c>
      <c r="J167" s="5" t="s">
        <v>813</v>
      </c>
      <c r="K167" s="5"/>
      <c r="L167" s="2" t="s">
        <v>891</v>
      </c>
      <c r="M167" s="3" t="s">
        <v>892</v>
      </c>
      <c r="N167" s="3" t="s">
        <v>892</v>
      </c>
      <c r="O167" s="3" t="s">
        <v>873</v>
      </c>
      <c r="P167" s="3"/>
      <c r="R167" s="12" t="s">
        <v>750</v>
      </c>
      <c r="S167" s="12" t="s">
        <v>750</v>
      </c>
    </row>
    <row r="168" spans="1:19" ht="25.5">
      <c r="A168" s="5" t="s">
        <v>379</v>
      </c>
      <c r="B168" s="5" t="s">
        <v>366</v>
      </c>
      <c r="C168" s="6" t="s">
        <v>384</v>
      </c>
      <c r="D168" s="5" t="s">
        <v>358</v>
      </c>
      <c r="E168" s="2" t="s">
        <v>393</v>
      </c>
      <c r="F168" s="2" t="s">
        <v>393</v>
      </c>
      <c r="G168" s="16" t="s">
        <v>916</v>
      </c>
      <c r="H168" s="5" t="s">
        <v>818</v>
      </c>
      <c r="I168" s="5" t="s">
        <v>804</v>
      </c>
      <c r="J168" s="5" t="s">
        <v>814</v>
      </c>
      <c r="K168" s="5"/>
      <c r="L168" s="2" t="s">
        <v>891</v>
      </c>
      <c r="M168" s="3" t="s">
        <v>892</v>
      </c>
      <c r="N168" s="3" t="s">
        <v>892</v>
      </c>
      <c r="O168" s="3" t="s">
        <v>873</v>
      </c>
      <c r="P168" s="3"/>
      <c r="R168" s="14" t="s">
        <v>53</v>
      </c>
      <c r="S168" s="14" t="s">
        <v>53</v>
      </c>
    </row>
    <row r="169" spans="1:19" ht="25.5">
      <c r="A169" s="5" t="s">
        <v>385</v>
      </c>
      <c r="B169" s="5" t="s">
        <v>360</v>
      </c>
      <c r="C169" s="6" t="s">
        <v>386</v>
      </c>
      <c r="D169" s="5" t="s">
        <v>352</v>
      </c>
      <c r="E169" s="2" t="s">
        <v>393</v>
      </c>
      <c r="F169" s="2" t="s">
        <v>393</v>
      </c>
      <c r="G169" s="16" t="s">
        <v>917</v>
      </c>
      <c r="H169" s="5" t="s">
        <v>818</v>
      </c>
      <c r="I169" s="5" t="s">
        <v>805</v>
      </c>
      <c r="J169" s="5" t="s">
        <v>812</v>
      </c>
      <c r="K169" s="5"/>
      <c r="L169" s="2" t="s">
        <v>921</v>
      </c>
      <c r="M169" s="3" t="s">
        <v>892</v>
      </c>
      <c r="N169" s="3" t="s">
        <v>892</v>
      </c>
      <c r="O169" s="3" t="s">
        <v>873</v>
      </c>
      <c r="P169" s="3"/>
      <c r="R169" s="14" t="s">
        <v>52</v>
      </c>
      <c r="S169" s="14" t="s">
        <v>52</v>
      </c>
    </row>
    <row r="170" spans="1:19" ht="25.5">
      <c r="A170" s="5" t="s">
        <v>385</v>
      </c>
      <c r="B170" s="5" t="s">
        <v>362</v>
      </c>
      <c r="C170" s="6" t="s">
        <v>387</v>
      </c>
      <c r="D170" s="5" t="s">
        <v>354</v>
      </c>
      <c r="E170" s="2" t="s">
        <v>393</v>
      </c>
      <c r="F170" s="2" t="s">
        <v>393</v>
      </c>
      <c r="G170" s="16" t="s">
        <v>918</v>
      </c>
      <c r="H170" s="5" t="s">
        <v>818</v>
      </c>
      <c r="I170" s="5" t="s">
        <v>806</v>
      </c>
      <c r="J170" s="5" t="s">
        <v>812</v>
      </c>
      <c r="K170" s="5"/>
      <c r="L170" s="2" t="s">
        <v>921</v>
      </c>
      <c r="M170" s="3" t="s">
        <v>892</v>
      </c>
      <c r="N170" s="3" t="s">
        <v>892</v>
      </c>
      <c r="O170" s="3" t="s">
        <v>873</v>
      </c>
      <c r="P170" s="3"/>
      <c r="R170" s="10" t="s">
        <v>761</v>
      </c>
      <c r="S170" s="10" t="s">
        <v>761</v>
      </c>
    </row>
    <row r="171" spans="1:19" ht="25.5">
      <c r="A171" s="5" t="s">
        <v>385</v>
      </c>
      <c r="B171" s="5" t="s">
        <v>364</v>
      </c>
      <c r="C171" s="6" t="s">
        <v>388</v>
      </c>
      <c r="D171" s="5" t="s">
        <v>356</v>
      </c>
      <c r="E171" s="2" t="s">
        <v>393</v>
      </c>
      <c r="F171" s="2" t="s">
        <v>393</v>
      </c>
      <c r="G171" s="16" t="s">
        <v>919</v>
      </c>
      <c r="H171" s="5" t="s">
        <v>818</v>
      </c>
      <c r="I171" s="5" t="s">
        <v>807</v>
      </c>
      <c r="J171" s="5" t="s">
        <v>813</v>
      </c>
      <c r="K171" s="5"/>
      <c r="L171" s="2" t="s">
        <v>891</v>
      </c>
      <c r="M171" s="3" t="s">
        <v>892</v>
      </c>
      <c r="N171" s="3" t="s">
        <v>892</v>
      </c>
      <c r="O171" s="3" t="s">
        <v>873</v>
      </c>
      <c r="P171" s="3"/>
      <c r="R171" s="10" t="s">
        <v>758</v>
      </c>
      <c r="S171" s="10" t="s">
        <v>758</v>
      </c>
    </row>
    <row r="172" spans="1:19" ht="25.5">
      <c r="A172" s="5" t="s">
        <v>385</v>
      </c>
      <c r="B172" s="5" t="s">
        <v>366</v>
      </c>
      <c r="C172" s="6" t="s">
        <v>389</v>
      </c>
      <c r="D172" s="5" t="s">
        <v>358</v>
      </c>
      <c r="E172" s="2" t="s">
        <v>393</v>
      </c>
      <c r="F172" s="2" t="s">
        <v>393</v>
      </c>
      <c r="G172" s="16" t="s">
        <v>920</v>
      </c>
      <c r="H172" s="5" t="s">
        <v>818</v>
      </c>
      <c r="I172" s="5" t="s">
        <v>808</v>
      </c>
      <c r="J172" s="5" t="s">
        <v>814</v>
      </c>
      <c r="K172" s="5"/>
      <c r="L172" s="2" t="s">
        <v>891</v>
      </c>
      <c r="M172" s="3" t="s">
        <v>892</v>
      </c>
      <c r="N172" s="3" t="s">
        <v>892</v>
      </c>
      <c r="O172" s="3" t="s">
        <v>873</v>
      </c>
      <c r="P172" s="3"/>
      <c r="R172" s="10" t="s">
        <v>749</v>
      </c>
      <c r="S172" s="10" t="s">
        <v>749</v>
      </c>
    </row>
    <row r="173" spans="1:19">
      <c r="A173" s="5" t="s">
        <v>390</v>
      </c>
      <c r="B173" s="5" t="s">
        <v>360</v>
      </c>
      <c r="C173" s="6" t="s">
        <v>391</v>
      </c>
      <c r="D173" s="5" t="s">
        <v>352</v>
      </c>
      <c r="E173" s="2" t="s">
        <v>393</v>
      </c>
      <c r="F173" s="2" t="s">
        <v>393</v>
      </c>
      <c r="G173" s="5" t="s">
        <v>809</v>
      </c>
      <c r="H173" s="5" t="s">
        <v>446</v>
      </c>
      <c r="I173" s="5" t="s">
        <v>809</v>
      </c>
      <c r="J173" s="5" t="s">
        <v>812</v>
      </c>
      <c r="K173" s="5"/>
      <c r="L173" s="17" t="s">
        <v>921</v>
      </c>
      <c r="M173" s="3" t="s">
        <v>892</v>
      </c>
      <c r="N173" s="3" t="s">
        <v>892</v>
      </c>
      <c r="O173" s="3" t="s">
        <v>873</v>
      </c>
      <c r="P173" s="3"/>
      <c r="R173" s="10" t="s">
        <v>756</v>
      </c>
      <c r="S173" s="10" t="s">
        <v>756</v>
      </c>
    </row>
    <row r="174" spans="1:19">
      <c r="A174" s="5" t="s">
        <v>390</v>
      </c>
      <c r="B174" s="5" t="s">
        <v>362</v>
      </c>
      <c r="C174" s="6" t="s">
        <v>392</v>
      </c>
      <c r="D174" s="5" t="s">
        <v>354</v>
      </c>
      <c r="E174" s="2" t="s">
        <v>393</v>
      </c>
      <c r="F174" s="2" t="s">
        <v>393</v>
      </c>
      <c r="G174" s="5" t="s">
        <v>810</v>
      </c>
      <c r="H174" s="5" t="s">
        <v>446</v>
      </c>
      <c r="I174" s="5" t="s">
        <v>810</v>
      </c>
      <c r="J174" s="5" t="s">
        <v>812</v>
      </c>
      <c r="K174" s="5"/>
      <c r="L174" s="17" t="s">
        <v>921</v>
      </c>
      <c r="M174" s="3" t="s">
        <v>892</v>
      </c>
      <c r="N174" s="3" t="s">
        <v>892</v>
      </c>
      <c r="O174" s="3" t="s">
        <v>873</v>
      </c>
      <c r="P174" s="3"/>
    </row>
    <row r="175" spans="1:19">
      <c r="A175" s="8" t="s">
        <v>418</v>
      </c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9" t="s">
        <v>52</v>
      </c>
      <c r="N175" s="9" t="s">
        <v>53</v>
      </c>
      <c r="O175" s="9" t="s">
        <v>873</v>
      </c>
      <c r="P175" s="9"/>
    </row>
    <row r="176" spans="1:19">
      <c r="A176" s="5" t="s">
        <v>394</v>
      </c>
      <c r="B176" s="5" t="s">
        <v>6</v>
      </c>
      <c r="C176" s="6" t="s">
        <v>395</v>
      </c>
      <c r="D176" s="5" t="s">
        <v>8</v>
      </c>
      <c r="E176" s="2" t="s">
        <v>418</v>
      </c>
      <c r="F176" s="2" t="s">
        <v>418</v>
      </c>
      <c r="G176" s="5" t="s">
        <v>394</v>
      </c>
      <c r="H176" s="5" t="s">
        <v>893</v>
      </c>
      <c r="I176" s="5" t="s">
        <v>762</v>
      </c>
      <c r="J176" s="5" t="s">
        <v>815</v>
      </c>
      <c r="K176" s="5"/>
      <c r="L176" s="17" t="s">
        <v>921</v>
      </c>
      <c r="M176" s="3" t="s">
        <v>892</v>
      </c>
      <c r="N176" s="3" t="s">
        <v>892</v>
      </c>
      <c r="O176" s="3" t="s">
        <v>873</v>
      </c>
      <c r="P176" s="3"/>
    </row>
    <row r="177" spans="1:16">
      <c r="A177" s="5" t="s">
        <v>394</v>
      </c>
      <c r="B177" s="5" t="s">
        <v>11</v>
      </c>
      <c r="C177" s="6" t="s">
        <v>396</v>
      </c>
      <c r="D177" s="5" t="s">
        <v>8</v>
      </c>
      <c r="E177" s="2" t="s">
        <v>418</v>
      </c>
      <c r="F177" s="2" t="s">
        <v>418</v>
      </c>
      <c r="G177" s="5" t="s">
        <v>394</v>
      </c>
      <c r="H177" s="5" t="s">
        <v>894</v>
      </c>
      <c r="I177" s="5" t="s">
        <v>762</v>
      </c>
      <c r="J177" s="5" t="s">
        <v>816</v>
      </c>
      <c r="K177" s="5"/>
      <c r="L177" s="17" t="s">
        <v>921</v>
      </c>
      <c r="M177" s="3" t="s">
        <v>892</v>
      </c>
      <c r="N177" s="3" t="s">
        <v>892</v>
      </c>
      <c r="O177" s="3" t="s">
        <v>873</v>
      </c>
      <c r="P177" s="3"/>
    </row>
    <row r="178" spans="1:16">
      <c r="A178" s="5" t="s">
        <v>394</v>
      </c>
      <c r="B178" s="5" t="s">
        <v>14</v>
      </c>
      <c r="C178" s="6" t="s">
        <v>397</v>
      </c>
      <c r="D178"/>
      <c r="E178" s="2" t="s">
        <v>418</v>
      </c>
      <c r="F178" s="2" t="s">
        <v>418</v>
      </c>
      <c r="G178" s="5" t="s">
        <v>394</v>
      </c>
      <c r="H178" s="5" t="s">
        <v>895</v>
      </c>
      <c r="I178" s="5" t="s">
        <v>762</v>
      </c>
      <c r="J178" s="5" t="s">
        <v>817</v>
      </c>
      <c r="K178" s="5"/>
      <c r="L178" s="2" t="s">
        <v>891</v>
      </c>
      <c r="M178" s="3" t="s">
        <v>892</v>
      </c>
      <c r="N178" s="3" t="s">
        <v>892</v>
      </c>
      <c r="O178" s="3" t="s">
        <v>873</v>
      </c>
      <c r="P178" s="3"/>
    </row>
    <row r="179" spans="1:16">
      <c r="A179" s="5" t="s">
        <v>394</v>
      </c>
      <c r="B179" s="5" t="s">
        <v>18</v>
      </c>
      <c r="C179" s="6" t="s">
        <v>398</v>
      </c>
      <c r="D179"/>
      <c r="E179" s="2" t="s">
        <v>418</v>
      </c>
      <c r="F179" s="2" t="s">
        <v>418</v>
      </c>
      <c r="G179" s="5" t="s">
        <v>394</v>
      </c>
      <c r="H179" s="5" t="s">
        <v>896</v>
      </c>
      <c r="I179" s="5" t="s">
        <v>762</v>
      </c>
      <c r="J179" s="5" t="s">
        <v>782</v>
      </c>
      <c r="K179" s="5"/>
      <c r="L179" s="2" t="s">
        <v>891</v>
      </c>
      <c r="M179" s="3" t="s">
        <v>892</v>
      </c>
      <c r="N179" s="3" t="s">
        <v>892</v>
      </c>
      <c r="O179" s="3" t="s">
        <v>873</v>
      </c>
      <c r="P179" s="3"/>
    </row>
    <row r="180" spans="1:16">
      <c r="A180" s="5" t="s">
        <v>399</v>
      </c>
      <c r="B180" s="5" t="s">
        <v>11</v>
      </c>
      <c r="C180" s="6" t="s">
        <v>400</v>
      </c>
      <c r="D180" s="5" t="s">
        <v>8</v>
      </c>
      <c r="E180" s="2" t="s">
        <v>418</v>
      </c>
      <c r="F180" s="2" t="s">
        <v>418</v>
      </c>
      <c r="G180" s="5" t="s">
        <v>399</v>
      </c>
      <c r="H180" s="5" t="s">
        <v>897</v>
      </c>
      <c r="I180" s="5" t="s">
        <v>762</v>
      </c>
      <c r="J180" s="5" t="s">
        <v>816</v>
      </c>
      <c r="K180" s="5"/>
      <c r="L180" s="17" t="s">
        <v>921</v>
      </c>
      <c r="M180" s="3" t="s">
        <v>892</v>
      </c>
      <c r="N180" s="3" t="s">
        <v>892</v>
      </c>
      <c r="O180" s="3" t="s">
        <v>873</v>
      </c>
      <c r="P180" s="3"/>
    </row>
    <row r="181" spans="1:16">
      <c r="A181" s="5" t="s">
        <v>399</v>
      </c>
      <c r="B181" s="5" t="s">
        <v>18</v>
      </c>
      <c r="C181" s="6" t="s">
        <v>401</v>
      </c>
      <c r="D181" s="5" t="s">
        <v>16</v>
      </c>
      <c r="E181" s="2" t="s">
        <v>418</v>
      </c>
      <c r="F181" s="2" t="s">
        <v>418</v>
      </c>
      <c r="G181" s="5" t="s">
        <v>399</v>
      </c>
      <c r="H181" s="5" t="s">
        <v>898</v>
      </c>
      <c r="I181" s="5" t="s">
        <v>762</v>
      </c>
      <c r="J181" s="5" t="s">
        <v>782</v>
      </c>
      <c r="K181" s="5"/>
      <c r="L181" s="2" t="s">
        <v>891</v>
      </c>
      <c r="M181" s="3" t="s">
        <v>892</v>
      </c>
      <c r="N181" s="3" t="s">
        <v>892</v>
      </c>
      <c r="O181" s="3" t="s">
        <v>873</v>
      </c>
      <c r="P181" s="3"/>
    </row>
    <row r="182" spans="1:16">
      <c r="A182" s="5" t="s">
        <v>402</v>
      </c>
      <c r="B182" s="5" t="s">
        <v>6</v>
      </c>
      <c r="C182" s="6" t="s">
        <v>403</v>
      </c>
      <c r="D182" s="5" t="s">
        <v>8</v>
      </c>
      <c r="E182" s="2" t="s">
        <v>418</v>
      </c>
      <c r="F182" s="2" t="s">
        <v>418</v>
      </c>
      <c r="G182" s="5" t="s">
        <v>402</v>
      </c>
      <c r="H182" s="5" t="s">
        <v>893</v>
      </c>
      <c r="I182" s="5" t="s">
        <v>763</v>
      </c>
      <c r="J182" s="5" t="s">
        <v>815</v>
      </c>
      <c r="K182" s="5"/>
      <c r="L182" s="17" t="s">
        <v>921</v>
      </c>
      <c r="M182" s="3" t="s">
        <v>892</v>
      </c>
      <c r="N182" s="3" t="s">
        <v>892</v>
      </c>
      <c r="O182" s="3" t="s">
        <v>873</v>
      </c>
      <c r="P182" s="3"/>
    </row>
    <row r="183" spans="1:16">
      <c r="A183" s="5" t="s">
        <v>402</v>
      </c>
      <c r="B183" s="5" t="s">
        <v>11</v>
      </c>
      <c r="C183" s="6" t="s">
        <v>404</v>
      </c>
      <c r="D183" s="5" t="s">
        <v>8</v>
      </c>
      <c r="E183" s="2" t="s">
        <v>418</v>
      </c>
      <c r="F183" s="2" t="s">
        <v>418</v>
      </c>
      <c r="G183" s="5" t="s">
        <v>402</v>
      </c>
      <c r="H183" s="5" t="s">
        <v>894</v>
      </c>
      <c r="I183" s="5" t="s">
        <v>763</v>
      </c>
      <c r="J183" s="5" t="s">
        <v>816</v>
      </c>
      <c r="K183" s="5"/>
      <c r="L183" s="17" t="s">
        <v>921</v>
      </c>
      <c r="M183" s="3" t="s">
        <v>892</v>
      </c>
      <c r="N183" s="3" t="s">
        <v>892</v>
      </c>
      <c r="O183" s="3" t="s">
        <v>873</v>
      </c>
      <c r="P183" s="3"/>
    </row>
    <row r="184" spans="1:16">
      <c r="A184" s="5" t="s">
        <v>402</v>
      </c>
      <c r="B184" s="5" t="s">
        <v>14</v>
      </c>
      <c r="C184" s="6" t="s">
        <v>405</v>
      </c>
      <c r="D184"/>
      <c r="E184" s="2" t="s">
        <v>418</v>
      </c>
      <c r="F184" s="2" t="s">
        <v>418</v>
      </c>
      <c r="G184" s="5" t="s">
        <v>402</v>
      </c>
      <c r="H184" s="5" t="s">
        <v>895</v>
      </c>
      <c r="I184" s="5" t="s">
        <v>763</v>
      </c>
      <c r="J184" s="5" t="s">
        <v>817</v>
      </c>
      <c r="K184" s="5"/>
      <c r="L184" s="2" t="s">
        <v>891</v>
      </c>
      <c r="M184" s="3" t="s">
        <v>892</v>
      </c>
      <c r="N184" s="3" t="s">
        <v>892</v>
      </c>
      <c r="O184" s="3" t="s">
        <v>873</v>
      </c>
      <c r="P184" s="3"/>
    </row>
    <row r="185" spans="1:16">
      <c r="A185" s="5" t="s">
        <v>402</v>
      </c>
      <c r="B185" s="5" t="s">
        <v>18</v>
      </c>
      <c r="C185" s="6" t="s">
        <v>406</v>
      </c>
      <c r="D185"/>
      <c r="E185" s="2" t="s">
        <v>418</v>
      </c>
      <c r="F185" s="2" t="s">
        <v>418</v>
      </c>
      <c r="G185" s="5" t="s">
        <v>402</v>
      </c>
      <c r="H185" s="5" t="s">
        <v>896</v>
      </c>
      <c r="I185" s="5" t="s">
        <v>763</v>
      </c>
      <c r="J185" s="5" t="s">
        <v>782</v>
      </c>
      <c r="K185" s="5"/>
      <c r="L185" s="2" t="s">
        <v>891</v>
      </c>
      <c r="M185" s="3" t="s">
        <v>892</v>
      </c>
      <c r="N185" s="3" t="s">
        <v>892</v>
      </c>
      <c r="O185" s="3" t="s">
        <v>873</v>
      </c>
      <c r="P185" s="3"/>
    </row>
    <row r="186" spans="1:16">
      <c r="A186" s="5" t="s">
        <v>343</v>
      </c>
      <c r="B186" s="5" t="s">
        <v>6</v>
      </c>
      <c r="C186" s="6" t="s">
        <v>345</v>
      </c>
      <c r="D186" s="5" t="s">
        <v>346</v>
      </c>
      <c r="E186" s="2" t="s">
        <v>418</v>
      </c>
      <c r="F186" s="2" t="s">
        <v>418</v>
      </c>
      <c r="G186" s="5" t="s">
        <v>343</v>
      </c>
      <c r="H186" s="2" t="s">
        <v>899</v>
      </c>
      <c r="I186" s="5" t="s">
        <v>764</v>
      </c>
      <c r="J186" s="5" t="s">
        <v>815</v>
      </c>
      <c r="K186" s="5"/>
      <c r="L186" s="17" t="s">
        <v>921</v>
      </c>
      <c r="M186" s="3" t="s">
        <v>892</v>
      </c>
      <c r="N186" s="3" t="s">
        <v>892</v>
      </c>
      <c r="O186" s="3" t="s">
        <v>873</v>
      </c>
      <c r="P186" s="3"/>
    </row>
    <row r="187" spans="1:16">
      <c r="A187" s="5" t="s">
        <v>343</v>
      </c>
      <c r="B187" s="5" t="s">
        <v>11</v>
      </c>
      <c r="C187" s="6" t="s">
        <v>344</v>
      </c>
      <c r="D187" s="5" t="s">
        <v>217</v>
      </c>
      <c r="E187" s="2" t="s">
        <v>418</v>
      </c>
      <c r="F187" s="2" t="s">
        <v>418</v>
      </c>
      <c r="G187" s="5" t="s">
        <v>343</v>
      </c>
      <c r="H187" s="2" t="s">
        <v>900</v>
      </c>
      <c r="I187" s="5" t="s">
        <v>764</v>
      </c>
      <c r="J187" s="5" t="s">
        <v>816</v>
      </c>
      <c r="K187" s="5"/>
      <c r="L187" s="17" t="s">
        <v>921</v>
      </c>
      <c r="M187" s="3" t="s">
        <v>892</v>
      </c>
      <c r="N187" s="3" t="s">
        <v>892</v>
      </c>
      <c r="O187" s="3" t="s">
        <v>873</v>
      </c>
      <c r="P187" s="3"/>
    </row>
    <row r="188" spans="1:16">
      <c r="A188" s="5" t="s">
        <v>343</v>
      </c>
      <c r="B188" s="5" t="s">
        <v>14</v>
      </c>
      <c r="C188" s="6" t="s">
        <v>347</v>
      </c>
      <c r="D188" s="5" t="s">
        <v>348</v>
      </c>
      <c r="E188" s="2" t="s">
        <v>418</v>
      </c>
      <c r="F188" s="2" t="s">
        <v>418</v>
      </c>
      <c r="G188" s="5" t="s">
        <v>343</v>
      </c>
      <c r="H188" s="2" t="s">
        <v>901</v>
      </c>
      <c r="I188" s="5" t="s">
        <v>764</v>
      </c>
      <c r="J188" s="5" t="s">
        <v>817</v>
      </c>
      <c r="K188" s="5"/>
      <c r="L188" s="2" t="s">
        <v>891</v>
      </c>
      <c r="M188" s="3" t="s">
        <v>892</v>
      </c>
      <c r="N188" s="3" t="s">
        <v>892</v>
      </c>
      <c r="O188" s="3" t="s">
        <v>873</v>
      </c>
      <c r="P188" s="3"/>
    </row>
    <row r="189" spans="1:16">
      <c r="A189" s="5" t="s">
        <v>343</v>
      </c>
      <c r="B189" s="5" t="s">
        <v>18</v>
      </c>
      <c r="C189" s="6" t="s">
        <v>349</v>
      </c>
      <c r="D189" s="5" t="s">
        <v>16</v>
      </c>
      <c r="E189" s="2" t="s">
        <v>418</v>
      </c>
      <c r="F189" s="2" t="s">
        <v>418</v>
      </c>
      <c r="G189" s="5" t="s">
        <v>343</v>
      </c>
      <c r="H189" s="2" t="s">
        <v>902</v>
      </c>
      <c r="I189" s="5" t="s">
        <v>764</v>
      </c>
      <c r="J189" s="5" t="s">
        <v>782</v>
      </c>
      <c r="K189" s="5"/>
      <c r="L189" s="2" t="s">
        <v>891</v>
      </c>
      <c r="M189" s="3" t="s">
        <v>892</v>
      </c>
      <c r="N189" s="3" t="s">
        <v>892</v>
      </c>
      <c r="O189" s="3" t="s">
        <v>873</v>
      </c>
      <c r="P189" s="3"/>
    </row>
    <row r="190" spans="1:16">
      <c r="A190" s="5" t="s">
        <v>407</v>
      </c>
      <c r="B190" s="5" t="s">
        <v>11</v>
      </c>
      <c r="C190" s="6" t="s">
        <v>408</v>
      </c>
      <c r="D190" s="5" t="s">
        <v>217</v>
      </c>
      <c r="E190" s="2" t="s">
        <v>418</v>
      </c>
      <c r="F190" s="2" t="s">
        <v>418</v>
      </c>
      <c r="G190" s="5" t="s">
        <v>407</v>
      </c>
      <c r="H190" s="2" t="s">
        <v>900</v>
      </c>
      <c r="I190" s="5" t="s">
        <v>764</v>
      </c>
      <c r="J190" s="5" t="s">
        <v>816</v>
      </c>
      <c r="K190" s="5"/>
      <c r="L190" s="17" t="s">
        <v>921</v>
      </c>
      <c r="M190" s="3" t="s">
        <v>892</v>
      </c>
      <c r="N190" s="3" t="s">
        <v>892</v>
      </c>
      <c r="O190" s="3" t="s">
        <v>873</v>
      </c>
      <c r="P190" s="3"/>
    </row>
    <row r="191" spans="1:16">
      <c r="A191" s="5" t="s">
        <v>407</v>
      </c>
      <c r="B191" s="5" t="s">
        <v>18</v>
      </c>
      <c r="C191" s="6" t="s">
        <v>409</v>
      </c>
      <c r="D191" s="5" t="s">
        <v>16</v>
      </c>
      <c r="E191" s="2" t="s">
        <v>418</v>
      </c>
      <c r="F191" s="2" t="s">
        <v>418</v>
      </c>
      <c r="G191" s="5" t="s">
        <v>407</v>
      </c>
      <c r="H191" s="2" t="s">
        <v>902</v>
      </c>
      <c r="I191" s="5" t="s">
        <v>764</v>
      </c>
      <c r="J191" s="5" t="s">
        <v>782</v>
      </c>
      <c r="K191" s="5"/>
      <c r="L191" s="2" t="s">
        <v>891</v>
      </c>
      <c r="M191" s="3" t="s">
        <v>892</v>
      </c>
      <c r="N191" s="3" t="s">
        <v>892</v>
      </c>
      <c r="O191" s="3" t="s">
        <v>873</v>
      </c>
      <c r="P191" s="3"/>
    </row>
    <row r="192" spans="1:16">
      <c r="A192" s="5" t="s">
        <v>410</v>
      </c>
      <c r="B192" s="5" t="s">
        <v>6</v>
      </c>
      <c r="C192" s="6" t="s">
        <v>411</v>
      </c>
      <c r="D192" s="5" t="s">
        <v>346</v>
      </c>
      <c r="E192" s="2" t="s">
        <v>418</v>
      </c>
      <c r="F192" s="2" t="s">
        <v>418</v>
      </c>
      <c r="G192" s="5" t="s">
        <v>410</v>
      </c>
      <c r="H192" s="2" t="s">
        <v>899</v>
      </c>
      <c r="I192" s="5" t="s">
        <v>765</v>
      </c>
      <c r="J192" s="5" t="s">
        <v>815</v>
      </c>
      <c r="K192" s="5"/>
      <c r="L192" s="17" t="s">
        <v>921</v>
      </c>
      <c r="M192" s="3" t="s">
        <v>892</v>
      </c>
      <c r="N192" s="3" t="s">
        <v>892</v>
      </c>
      <c r="O192" s="3" t="s">
        <v>873</v>
      </c>
      <c r="P192" s="3"/>
    </row>
    <row r="193" spans="1:16">
      <c r="A193" s="5" t="s">
        <v>410</v>
      </c>
      <c r="B193" s="5" t="s">
        <v>11</v>
      </c>
      <c r="C193" s="6" t="s">
        <v>412</v>
      </c>
      <c r="D193" s="5" t="s">
        <v>217</v>
      </c>
      <c r="E193" s="2" t="s">
        <v>418</v>
      </c>
      <c r="F193" s="2" t="s">
        <v>418</v>
      </c>
      <c r="G193" s="5" t="s">
        <v>410</v>
      </c>
      <c r="H193" s="2" t="s">
        <v>900</v>
      </c>
      <c r="I193" s="5" t="s">
        <v>765</v>
      </c>
      <c r="J193" s="5" t="s">
        <v>816</v>
      </c>
      <c r="K193" s="5"/>
      <c r="L193" s="17" t="s">
        <v>921</v>
      </c>
      <c r="M193" s="3" t="s">
        <v>892</v>
      </c>
      <c r="N193" s="3" t="s">
        <v>892</v>
      </c>
      <c r="O193" s="3" t="s">
        <v>873</v>
      </c>
      <c r="P193" s="3"/>
    </row>
    <row r="194" spans="1:16">
      <c r="A194" s="5" t="s">
        <v>410</v>
      </c>
      <c r="B194" s="5" t="s">
        <v>14</v>
      </c>
      <c r="C194" s="6" t="s">
        <v>413</v>
      </c>
      <c r="D194" s="5" t="s">
        <v>348</v>
      </c>
      <c r="E194" s="2" t="s">
        <v>418</v>
      </c>
      <c r="F194" s="2" t="s">
        <v>418</v>
      </c>
      <c r="G194" s="5" t="s">
        <v>410</v>
      </c>
      <c r="H194" s="2" t="s">
        <v>901</v>
      </c>
      <c r="I194" s="5" t="s">
        <v>765</v>
      </c>
      <c r="J194" s="5" t="s">
        <v>817</v>
      </c>
      <c r="K194" s="5"/>
      <c r="L194" s="2" t="s">
        <v>891</v>
      </c>
      <c r="M194" s="3" t="s">
        <v>892</v>
      </c>
      <c r="N194" s="3" t="s">
        <v>892</v>
      </c>
      <c r="O194" s="3" t="s">
        <v>873</v>
      </c>
      <c r="P194" s="3"/>
    </row>
    <row r="195" spans="1:16">
      <c r="A195" s="5" t="s">
        <v>410</v>
      </c>
      <c r="B195" s="5" t="s">
        <v>18</v>
      </c>
      <c r="C195" s="6" t="s">
        <v>414</v>
      </c>
      <c r="D195" s="5" t="s">
        <v>16</v>
      </c>
      <c r="E195" s="2" t="s">
        <v>418</v>
      </c>
      <c r="F195" s="2" t="s">
        <v>418</v>
      </c>
      <c r="G195" s="5" t="s">
        <v>410</v>
      </c>
      <c r="H195" s="2" t="s">
        <v>902</v>
      </c>
      <c r="I195" s="5" t="s">
        <v>765</v>
      </c>
      <c r="J195" s="5" t="s">
        <v>782</v>
      </c>
      <c r="K195" s="5"/>
      <c r="L195" s="2" t="s">
        <v>891</v>
      </c>
      <c r="M195" s="3" t="s">
        <v>892</v>
      </c>
      <c r="N195" s="3" t="s">
        <v>892</v>
      </c>
      <c r="O195" s="3" t="s">
        <v>873</v>
      </c>
      <c r="P195" s="3"/>
    </row>
    <row r="196" spans="1:16">
      <c r="A196" s="5" t="s">
        <v>415</v>
      </c>
      <c r="B196" s="5" t="s">
        <v>11</v>
      </c>
      <c r="C196" s="6" t="s">
        <v>416</v>
      </c>
      <c r="D196" s="5" t="s">
        <v>217</v>
      </c>
      <c r="E196" s="2" t="s">
        <v>418</v>
      </c>
      <c r="F196" s="2" t="s">
        <v>418</v>
      </c>
      <c r="G196" s="5" t="s">
        <v>415</v>
      </c>
      <c r="H196" s="2" t="s">
        <v>897</v>
      </c>
      <c r="I196" s="5" t="s">
        <v>765</v>
      </c>
      <c r="J196" s="5" t="s">
        <v>816</v>
      </c>
      <c r="K196" s="5"/>
      <c r="L196" s="17" t="s">
        <v>921</v>
      </c>
      <c r="M196" s="3" t="s">
        <v>892</v>
      </c>
      <c r="N196" s="3" t="s">
        <v>892</v>
      </c>
      <c r="O196" s="3" t="s">
        <v>873</v>
      </c>
      <c r="P196" s="3"/>
    </row>
    <row r="197" spans="1:16">
      <c r="A197" s="5" t="s">
        <v>415</v>
      </c>
      <c r="B197" s="5" t="s">
        <v>18</v>
      </c>
      <c r="C197" s="6" t="s">
        <v>417</v>
      </c>
      <c r="D197" s="5" t="s">
        <v>16</v>
      </c>
      <c r="E197" s="2" t="s">
        <v>418</v>
      </c>
      <c r="F197" s="2" t="s">
        <v>418</v>
      </c>
      <c r="G197" s="5" t="s">
        <v>415</v>
      </c>
      <c r="H197" s="2" t="s">
        <v>898</v>
      </c>
      <c r="I197" s="5" t="s">
        <v>765</v>
      </c>
      <c r="J197" s="5" t="s">
        <v>782</v>
      </c>
      <c r="K197" s="5"/>
      <c r="L197" s="2" t="s">
        <v>891</v>
      </c>
      <c r="M197" s="3" t="s">
        <v>892</v>
      </c>
      <c r="N197" s="3" t="s">
        <v>892</v>
      </c>
      <c r="O197" s="3" t="s">
        <v>873</v>
      </c>
      <c r="P197" s="3"/>
    </row>
    <row r="198" spans="1:16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9"/>
      <c r="N198" s="9"/>
      <c r="O198" s="9" t="s">
        <v>873</v>
      </c>
      <c r="P198" s="9"/>
    </row>
    <row r="199" spans="1:16" ht="24.85" customHeight="1">
      <c r="A199" s="5" t="s">
        <v>419</v>
      </c>
      <c r="B199" s="5" t="s">
        <v>360</v>
      </c>
      <c r="C199" s="6" t="s">
        <v>420</v>
      </c>
      <c r="D199" s="5" t="s">
        <v>352</v>
      </c>
      <c r="E199" s="2" t="s">
        <v>486</v>
      </c>
      <c r="F199" s="2" t="s">
        <v>486</v>
      </c>
      <c r="G199" s="16" t="s">
        <v>947</v>
      </c>
      <c r="H199" s="2" t="s">
        <v>922</v>
      </c>
      <c r="I199" s="5" t="s">
        <v>923</v>
      </c>
      <c r="J199" s="5" t="s">
        <v>816</v>
      </c>
      <c r="K199" s="5" t="str">
        <f>"GDP-Production "&amp;B199</f>
        <v>GDP-Production (Real $m)</v>
      </c>
      <c r="L199" s="17" t="s">
        <v>921</v>
      </c>
      <c r="M199" s="3" t="s">
        <v>892</v>
      </c>
      <c r="N199" s="3" t="s">
        <v>892</v>
      </c>
      <c r="O199" s="3" t="s">
        <v>873</v>
      </c>
      <c r="P199" s="3"/>
    </row>
    <row r="200" spans="1:16" ht="24.85" customHeight="1">
      <c r="A200" s="5" t="s">
        <v>419</v>
      </c>
      <c r="B200" s="5" t="s">
        <v>362</v>
      </c>
      <c r="C200" s="6" t="s">
        <v>421</v>
      </c>
      <c r="D200" s="5" t="s">
        <v>354</v>
      </c>
      <c r="E200" s="2" t="s">
        <v>486</v>
      </c>
      <c r="F200" s="2" t="s">
        <v>486</v>
      </c>
      <c r="G200" s="5" t="s">
        <v>948</v>
      </c>
      <c r="H200" s="2" t="s">
        <v>924</v>
      </c>
      <c r="I200" s="5" t="s">
        <v>923</v>
      </c>
      <c r="J200" s="5" t="s">
        <v>816</v>
      </c>
      <c r="K200" s="5" t="str">
        <f t="shared" ref="K200:K202" si="2">"GDP-Production "&amp;B200</f>
        <v>GDP-Production (Real $m s.a.)</v>
      </c>
      <c r="L200" s="17" t="s">
        <v>921</v>
      </c>
      <c r="M200" s="3" t="s">
        <v>892</v>
      </c>
      <c r="N200" s="3" t="s">
        <v>892</v>
      </c>
      <c r="O200" s="3" t="s">
        <v>873</v>
      </c>
      <c r="P200" s="3"/>
    </row>
    <row r="201" spans="1:16" ht="24.85" customHeight="1">
      <c r="A201" s="5" t="s">
        <v>419</v>
      </c>
      <c r="B201" s="5" t="s">
        <v>364</v>
      </c>
      <c r="C201" s="6" t="s">
        <v>422</v>
      </c>
      <c r="D201" s="5" t="s">
        <v>356</v>
      </c>
      <c r="E201" s="2" t="s">
        <v>486</v>
      </c>
      <c r="F201" s="2" t="s">
        <v>486</v>
      </c>
      <c r="G201" s="5" t="s">
        <v>949</v>
      </c>
      <c r="H201" s="2" t="s">
        <v>925</v>
      </c>
      <c r="I201" s="5" t="s">
        <v>923</v>
      </c>
      <c r="J201" s="5" t="s">
        <v>781</v>
      </c>
      <c r="K201" s="5" t="str">
        <f t="shared" si="2"/>
        <v>GDP-Production (Real q/q% s.a.)</v>
      </c>
      <c r="L201" s="2" t="s">
        <v>731</v>
      </c>
      <c r="M201" s="3" t="s">
        <v>892</v>
      </c>
      <c r="N201" s="3" t="s">
        <v>892</v>
      </c>
      <c r="O201" s="3" t="s">
        <v>873</v>
      </c>
      <c r="P201" s="3"/>
    </row>
    <row r="202" spans="1:16" ht="24.85" customHeight="1">
      <c r="A202" s="5" t="s">
        <v>419</v>
      </c>
      <c r="B202" s="5" t="s">
        <v>366</v>
      </c>
      <c r="C202" s="6" t="s">
        <v>423</v>
      </c>
      <c r="D202" s="5" t="s">
        <v>358</v>
      </c>
      <c r="E202" s="2" t="s">
        <v>486</v>
      </c>
      <c r="F202" s="2" t="s">
        <v>486</v>
      </c>
      <c r="G202" s="5" t="s">
        <v>950</v>
      </c>
      <c r="H202" s="2" t="s">
        <v>926</v>
      </c>
      <c r="I202" s="5" t="s">
        <v>923</v>
      </c>
      <c r="J202" s="5" t="s">
        <v>782</v>
      </c>
      <c r="K202" s="5" t="str">
        <f t="shared" si="2"/>
        <v>GDP-Production (Real y/y%)</v>
      </c>
      <c r="L202" s="2" t="s">
        <v>731</v>
      </c>
      <c r="M202" s="3" t="s">
        <v>892</v>
      </c>
      <c r="N202" s="3" t="s">
        <v>892</v>
      </c>
      <c r="O202" s="3" t="s">
        <v>873</v>
      </c>
      <c r="P202" s="3"/>
    </row>
    <row r="203" spans="1:16" ht="24.85" customHeight="1">
      <c r="A203" s="5" t="s">
        <v>424</v>
      </c>
      <c r="B203" s="5" t="s">
        <v>425</v>
      </c>
      <c r="C203" s="6" t="s">
        <v>426</v>
      </c>
      <c r="D203" s="5" t="s">
        <v>217</v>
      </c>
      <c r="E203" s="2" t="s">
        <v>486</v>
      </c>
      <c r="F203" s="2" t="s">
        <v>486</v>
      </c>
      <c r="G203" s="5" t="s">
        <v>951</v>
      </c>
      <c r="H203" s="2" t="s">
        <v>927</v>
      </c>
      <c r="I203" s="5" t="s">
        <v>923</v>
      </c>
      <c r="J203" s="5" t="s">
        <v>816</v>
      </c>
      <c r="K203" s="5" t="str">
        <f>"GDP-Expenditure "&amp;B203</f>
        <v>GDP-Expenditure (Nominal $m)</v>
      </c>
      <c r="L203" s="17" t="s">
        <v>921</v>
      </c>
      <c r="M203" s="3" t="s">
        <v>892</v>
      </c>
      <c r="N203" s="3" t="s">
        <v>892</v>
      </c>
      <c r="O203" s="3" t="s">
        <v>873</v>
      </c>
      <c r="P203" s="3"/>
    </row>
    <row r="204" spans="1:16" ht="24.85" customHeight="1">
      <c r="A204" s="5" t="s">
        <v>424</v>
      </c>
      <c r="B204" s="5" t="s">
        <v>427</v>
      </c>
      <c r="C204" s="6" t="s">
        <v>428</v>
      </c>
      <c r="D204" s="5" t="s">
        <v>346</v>
      </c>
      <c r="E204" s="2" t="s">
        <v>486</v>
      </c>
      <c r="F204" s="2" t="s">
        <v>486</v>
      </c>
      <c r="G204" s="5" t="s">
        <v>952</v>
      </c>
      <c r="H204" s="2" t="s">
        <v>928</v>
      </c>
      <c r="I204" s="5" t="s">
        <v>923</v>
      </c>
      <c r="J204" s="5" t="s">
        <v>816</v>
      </c>
      <c r="K204" s="5" t="str">
        <f t="shared" ref="K204:K210" si="3">"GDP-Expenditure "&amp;B204</f>
        <v>GDP-Expenditure (Nominal $m s.a.)</v>
      </c>
      <c r="L204" s="17" t="s">
        <v>921</v>
      </c>
      <c r="M204" s="3" t="s">
        <v>892</v>
      </c>
      <c r="N204" s="3" t="s">
        <v>892</v>
      </c>
      <c r="O204" s="3" t="s">
        <v>873</v>
      </c>
      <c r="P204" s="3"/>
    </row>
    <row r="205" spans="1:16" ht="24.85" customHeight="1">
      <c r="A205" s="5" t="s">
        <v>424</v>
      </c>
      <c r="B205" s="5" t="s">
        <v>429</v>
      </c>
      <c r="C205" s="6" t="s">
        <v>430</v>
      </c>
      <c r="D205" s="5" t="s">
        <v>348</v>
      </c>
      <c r="E205" s="2" t="s">
        <v>486</v>
      </c>
      <c r="F205" s="2" t="s">
        <v>486</v>
      </c>
      <c r="G205" s="5" t="s">
        <v>953</v>
      </c>
      <c r="H205" s="2" t="s">
        <v>929</v>
      </c>
      <c r="I205" s="5" t="s">
        <v>923</v>
      </c>
      <c r="J205" s="5" t="s">
        <v>781</v>
      </c>
      <c r="K205" s="5" t="str">
        <f t="shared" si="3"/>
        <v>GDP-Expenditure (Nominal q/q% s.a.)</v>
      </c>
      <c r="L205" s="2" t="s">
        <v>731</v>
      </c>
      <c r="M205" s="3" t="s">
        <v>892</v>
      </c>
      <c r="N205" s="3" t="s">
        <v>892</v>
      </c>
      <c r="O205" s="3" t="s">
        <v>873</v>
      </c>
      <c r="P205" s="3"/>
    </row>
    <row r="206" spans="1:16" ht="24.85" customHeight="1">
      <c r="A206" s="5" t="s">
        <v>424</v>
      </c>
      <c r="B206" s="5" t="s">
        <v>431</v>
      </c>
      <c r="C206" s="6" t="s">
        <v>432</v>
      </c>
      <c r="D206" s="5" t="s">
        <v>16</v>
      </c>
      <c r="E206" s="2" t="s">
        <v>486</v>
      </c>
      <c r="F206" s="2" t="s">
        <v>486</v>
      </c>
      <c r="G206" s="5" t="s">
        <v>954</v>
      </c>
      <c r="H206" s="2" t="s">
        <v>930</v>
      </c>
      <c r="I206" s="5" t="s">
        <v>923</v>
      </c>
      <c r="J206" s="5" t="s">
        <v>782</v>
      </c>
      <c r="K206" s="5" t="str">
        <f t="shared" si="3"/>
        <v>GDP-Expenditure (Nominal y/y%)</v>
      </c>
      <c r="L206" s="2" t="s">
        <v>731</v>
      </c>
      <c r="M206" s="3" t="s">
        <v>892</v>
      </c>
      <c r="N206" s="3" t="s">
        <v>892</v>
      </c>
      <c r="O206" s="3" t="s">
        <v>873</v>
      </c>
      <c r="P206" s="3"/>
    </row>
    <row r="207" spans="1:16" ht="24.85" customHeight="1">
      <c r="A207" s="5" t="s">
        <v>424</v>
      </c>
      <c r="B207" s="5" t="s">
        <v>360</v>
      </c>
      <c r="C207" s="6" t="s">
        <v>433</v>
      </c>
      <c r="D207" s="5" t="s">
        <v>352</v>
      </c>
      <c r="E207" s="2" t="s">
        <v>486</v>
      </c>
      <c r="F207" s="2" t="s">
        <v>486</v>
      </c>
      <c r="G207" s="5" t="s">
        <v>955</v>
      </c>
      <c r="H207" s="2" t="s">
        <v>922</v>
      </c>
      <c r="I207" s="5" t="s">
        <v>923</v>
      </c>
      <c r="J207" s="5" t="s">
        <v>816</v>
      </c>
      <c r="K207" s="5" t="str">
        <f t="shared" si="3"/>
        <v>GDP-Expenditure (Real $m)</v>
      </c>
      <c r="L207" s="17" t="s">
        <v>921</v>
      </c>
      <c r="M207" s="3" t="s">
        <v>892</v>
      </c>
      <c r="N207" s="3" t="s">
        <v>892</v>
      </c>
      <c r="O207" s="3" t="s">
        <v>873</v>
      </c>
      <c r="P207" s="3"/>
    </row>
    <row r="208" spans="1:16" ht="24.85" customHeight="1">
      <c r="A208" s="5" t="s">
        <v>424</v>
      </c>
      <c r="B208" s="5" t="s">
        <v>362</v>
      </c>
      <c r="C208" s="6" t="s">
        <v>434</v>
      </c>
      <c r="D208" s="5" t="s">
        <v>354</v>
      </c>
      <c r="E208" s="2" t="s">
        <v>486</v>
      </c>
      <c r="F208" s="2" t="s">
        <v>486</v>
      </c>
      <c r="G208" s="5" t="s">
        <v>956</v>
      </c>
      <c r="H208" s="2" t="s">
        <v>924</v>
      </c>
      <c r="I208" s="5" t="s">
        <v>923</v>
      </c>
      <c r="J208" s="5" t="s">
        <v>816</v>
      </c>
      <c r="K208" s="5" t="str">
        <f t="shared" si="3"/>
        <v>GDP-Expenditure (Real $m s.a.)</v>
      </c>
      <c r="L208" s="17" t="s">
        <v>921</v>
      </c>
      <c r="M208" s="3" t="s">
        <v>892</v>
      </c>
      <c r="N208" s="3" t="s">
        <v>892</v>
      </c>
      <c r="O208" s="3" t="s">
        <v>873</v>
      </c>
      <c r="P208" s="3"/>
    </row>
    <row r="209" spans="1:16" ht="24.85" customHeight="1">
      <c r="A209" s="5" t="s">
        <v>424</v>
      </c>
      <c r="B209" s="5" t="s">
        <v>364</v>
      </c>
      <c r="C209" s="6" t="s">
        <v>435</v>
      </c>
      <c r="D209" s="5" t="s">
        <v>356</v>
      </c>
      <c r="E209" s="2" t="s">
        <v>486</v>
      </c>
      <c r="F209" s="2" t="s">
        <v>486</v>
      </c>
      <c r="G209" s="5" t="s">
        <v>957</v>
      </c>
      <c r="H209" s="2" t="s">
        <v>925</v>
      </c>
      <c r="I209" s="5" t="s">
        <v>923</v>
      </c>
      <c r="J209" s="5" t="s">
        <v>781</v>
      </c>
      <c r="K209" s="5" t="str">
        <f t="shared" si="3"/>
        <v>GDP-Expenditure (Real q/q% s.a.)</v>
      </c>
      <c r="L209" s="2" t="s">
        <v>731</v>
      </c>
      <c r="M209" s="3" t="s">
        <v>892</v>
      </c>
      <c r="N209" s="3" t="s">
        <v>892</v>
      </c>
      <c r="O209" s="3" t="s">
        <v>873</v>
      </c>
      <c r="P209" s="3"/>
    </row>
    <row r="210" spans="1:16" ht="24.85" customHeight="1">
      <c r="A210" s="5" t="s">
        <v>424</v>
      </c>
      <c r="B210" s="5" t="s">
        <v>366</v>
      </c>
      <c r="C210" s="6" t="s">
        <v>436</v>
      </c>
      <c r="D210" s="5" t="s">
        <v>358</v>
      </c>
      <c r="E210" s="2" t="s">
        <v>486</v>
      </c>
      <c r="F210" s="2" t="s">
        <v>486</v>
      </c>
      <c r="G210" s="16" t="s">
        <v>958</v>
      </c>
      <c r="H210" s="2" t="s">
        <v>926</v>
      </c>
      <c r="I210" s="5" t="s">
        <v>923</v>
      </c>
      <c r="J210" s="5" t="s">
        <v>782</v>
      </c>
      <c r="K210" s="5" t="str">
        <f t="shared" si="3"/>
        <v>GDP-Expenditure (Real y/y%)</v>
      </c>
      <c r="L210" s="2" t="s">
        <v>731</v>
      </c>
      <c r="M210" s="3" t="s">
        <v>892</v>
      </c>
      <c r="N210" s="3" t="s">
        <v>892</v>
      </c>
      <c r="O210" s="3" t="s">
        <v>873</v>
      </c>
      <c r="P210" s="3"/>
    </row>
    <row r="211" spans="1:16" ht="24.85" customHeight="1">
      <c r="A211" s="5" t="s">
        <v>959</v>
      </c>
      <c r="B211" s="5" t="s">
        <v>437</v>
      </c>
      <c r="C211" s="6" t="s">
        <v>438</v>
      </c>
      <c r="D211" s="5" t="s">
        <v>217</v>
      </c>
      <c r="E211" s="2" t="s">
        <v>486</v>
      </c>
      <c r="F211" s="2" t="s">
        <v>486</v>
      </c>
      <c r="G211" s="5" t="s">
        <v>960</v>
      </c>
      <c r="H211" s="2" t="s">
        <v>824</v>
      </c>
      <c r="I211" s="5" t="s">
        <v>819</v>
      </c>
      <c r="J211" s="5" t="s">
        <v>816</v>
      </c>
      <c r="K211" s="5" t="str">
        <f>"Private Consumption "&amp;B211</f>
        <v xml:space="preserve">Private Consumption (Nominal $m) </v>
      </c>
      <c r="L211" s="17" t="s">
        <v>921</v>
      </c>
      <c r="M211" s="3" t="s">
        <v>892</v>
      </c>
      <c r="N211" s="3" t="s">
        <v>892</v>
      </c>
      <c r="O211" s="3" t="s">
        <v>873</v>
      </c>
      <c r="P211" s="3"/>
    </row>
    <row r="212" spans="1:16" ht="24.85" customHeight="1">
      <c r="A212" s="5" t="s">
        <v>959</v>
      </c>
      <c r="B212" s="5" t="s">
        <v>427</v>
      </c>
      <c r="C212" s="6" t="s">
        <v>439</v>
      </c>
      <c r="D212" s="5" t="s">
        <v>346</v>
      </c>
      <c r="E212" s="2" t="s">
        <v>486</v>
      </c>
      <c r="F212" s="2" t="s">
        <v>486</v>
      </c>
      <c r="G212" s="5" t="s">
        <v>961</v>
      </c>
      <c r="H212" s="2" t="s">
        <v>825</v>
      </c>
      <c r="I212" s="5" t="s">
        <v>819</v>
      </c>
      <c r="J212" s="5" t="s">
        <v>816</v>
      </c>
      <c r="K212" s="5" t="str">
        <f t="shared" ref="K212:K218" si="4">"Private Consumption "&amp;B212</f>
        <v>Private Consumption (Nominal $m s.a.)</v>
      </c>
      <c r="L212" s="17" t="s">
        <v>921</v>
      </c>
      <c r="M212" s="3" t="s">
        <v>892</v>
      </c>
      <c r="N212" s="3" t="s">
        <v>892</v>
      </c>
      <c r="O212" s="3" t="s">
        <v>873</v>
      </c>
      <c r="P212" s="3"/>
    </row>
    <row r="213" spans="1:16" ht="24.85" customHeight="1">
      <c r="A213" s="5" t="s">
        <v>959</v>
      </c>
      <c r="B213" s="5" t="s">
        <v>429</v>
      </c>
      <c r="C213" s="6" t="s">
        <v>440</v>
      </c>
      <c r="D213" s="5" t="s">
        <v>348</v>
      </c>
      <c r="E213" s="2" t="s">
        <v>486</v>
      </c>
      <c r="F213" s="2" t="s">
        <v>486</v>
      </c>
      <c r="G213" s="5" t="s">
        <v>962</v>
      </c>
      <c r="H213" s="2" t="s">
        <v>826</v>
      </c>
      <c r="I213" s="5" t="s">
        <v>819</v>
      </c>
      <c r="J213" s="5" t="s">
        <v>781</v>
      </c>
      <c r="K213" s="5" t="str">
        <f t="shared" si="4"/>
        <v>Private Consumption (Nominal q/q% s.a.)</v>
      </c>
      <c r="L213" s="2" t="s">
        <v>731</v>
      </c>
      <c r="M213" s="3" t="s">
        <v>892</v>
      </c>
      <c r="N213" s="3" t="s">
        <v>892</v>
      </c>
      <c r="O213" s="3" t="s">
        <v>873</v>
      </c>
      <c r="P213" s="3"/>
    </row>
    <row r="214" spans="1:16" ht="24.85" customHeight="1">
      <c r="A214" s="5" t="s">
        <v>959</v>
      </c>
      <c r="B214" s="5" t="s">
        <v>431</v>
      </c>
      <c r="C214" s="6" t="s">
        <v>441</v>
      </c>
      <c r="D214" s="5" t="s">
        <v>16</v>
      </c>
      <c r="E214" s="2" t="s">
        <v>486</v>
      </c>
      <c r="F214" s="2" t="s">
        <v>486</v>
      </c>
      <c r="G214" s="5" t="s">
        <v>963</v>
      </c>
      <c r="H214" s="2" t="s">
        <v>827</v>
      </c>
      <c r="I214" s="5" t="s">
        <v>819</v>
      </c>
      <c r="J214" s="5" t="s">
        <v>782</v>
      </c>
      <c r="K214" s="5" t="str">
        <f t="shared" si="4"/>
        <v>Private Consumption (Nominal y/y%)</v>
      </c>
      <c r="L214" s="2" t="s">
        <v>731</v>
      </c>
      <c r="M214" s="3" t="s">
        <v>892</v>
      </c>
      <c r="N214" s="3" t="s">
        <v>892</v>
      </c>
      <c r="O214" s="3" t="s">
        <v>873</v>
      </c>
      <c r="P214" s="3"/>
    </row>
    <row r="215" spans="1:16" ht="24.85" customHeight="1">
      <c r="A215" s="5" t="s">
        <v>959</v>
      </c>
      <c r="B215" s="5" t="s">
        <v>360</v>
      </c>
      <c r="C215" s="6" t="s">
        <v>361</v>
      </c>
      <c r="D215" s="5" t="s">
        <v>352</v>
      </c>
      <c r="E215" s="2" t="s">
        <v>486</v>
      </c>
      <c r="F215" s="2" t="s">
        <v>486</v>
      </c>
      <c r="G215" s="5" t="s">
        <v>964</v>
      </c>
      <c r="H215" s="2" t="s">
        <v>828</v>
      </c>
      <c r="I215" s="5" t="s">
        <v>819</v>
      </c>
      <c r="J215" s="5" t="s">
        <v>816</v>
      </c>
      <c r="K215" s="5" t="str">
        <f t="shared" si="4"/>
        <v>Private Consumption (Real $m)</v>
      </c>
      <c r="L215" s="17" t="s">
        <v>921</v>
      </c>
      <c r="M215" s="3" t="s">
        <v>892</v>
      </c>
      <c r="N215" s="3" t="s">
        <v>892</v>
      </c>
      <c r="O215" s="3" t="s">
        <v>873</v>
      </c>
      <c r="P215" s="3"/>
    </row>
    <row r="216" spans="1:16" ht="24.85" customHeight="1">
      <c r="A216" s="5" t="s">
        <v>959</v>
      </c>
      <c r="B216" s="5" t="s">
        <v>362</v>
      </c>
      <c r="C216" s="6" t="s">
        <v>363</v>
      </c>
      <c r="D216" s="5" t="s">
        <v>354</v>
      </c>
      <c r="E216" s="2" t="s">
        <v>486</v>
      </c>
      <c r="F216" s="2" t="s">
        <v>486</v>
      </c>
      <c r="G216" s="5" t="s">
        <v>965</v>
      </c>
      <c r="H216" s="2" t="s">
        <v>829</v>
      </c>
      <c r="I216" s="5" t="s">
        <v>819</v>
      </c>
      <c r="J216" s="5" t="s">
        <v>816</v>
      </c>
      <c r="K216" s="5" t="str">
        <f t="shared" si="4"/>
        <v>Private Consumption (Real $m s.a.)</v>
      </c>
      <c r="L216" s="2" t="s">
        <v>921</v>
      </c>
      <c r="M216" s="3" t="s">
        <v>892</v>
      </c>
      <c r="N216" s="3" t="s">
        <v>892</v>
      </c>
      <c r="O216" s="3" t="s">
        <v>873</v>
      </c>
      <c r="P216" s="3"/>
    </row>
    <row r="217" spans="1:16" ht="24.85" customHeight="1">
      <c r="A217" s="5" t="s">
        <v>959</v>
      </c>
      <c r="B217" s="5" t="s">
        <v>364</v>
      </c>
      <c r="C217" s="6" t="s">
        <v>365</v>
      </c>
      <c r="D217" s="5" t="s">
        <v>356</v>
      </c>
      <c r="E217" s="2" t="s">
        <v>486</v>
      </c>
      <c r="F217" s="2" t="s">
        <v>486</v>
      </c>
      <c r="G217" s="5" t="s">
        <v>966</v>
      </c>
      <c r="H217" s="2" t="s">
        <v>830</v>
      </c>
      <c r="I217" s="5" t="s">
        <v>819</v>
      </c>
      <c r="J217" s="5" t="s">
        <v>781</v>
      </c>
      <c r="K217" s="5" t="str">
        <f t="shared" si="4"/>
        <v>Private Consumption (Real q/q% s.a.)</v>
      </c>
      <c r="L217" s="2" t="s">
        <v>731</v>
      </c>
      <c r="M217" s="3" t="s">
        <v>892</v>
      </c>
      <c r="N217" s="3" t="s">
        <v>892</v>
      </c>
      <c r="O217" s="3" t="s">
        <v>873</v>
      </c>
      <c r="P217" s="3"/>
    </row>
    <row r="218" spans="1:16" ht="24.85" customHeight="1">
      <c r="A218" s="5" t="s">
        <v>959</v>
      </c>
      <c r="B218" s="5" t="s">
        <v>366</v>
      </c>
      <c r="C218" s="6" t="s">
        <v>367</v>
      </c>
      <c r="D218" s="5" t="s">
        <v>358</v>
      </c>
      <c r="E218" s="2" t="s">
        <v>486</v>
      </c>
      <c r="F218" s="2" t="s">
        <v>486</v>
      </c>
      <c r="G218" s="5" t="s">
        <v>967</v>
      </c>
      <c r="H218" s="2" t="s">
        <v>831</v>
      </c>
      <c r="I218" s="5" t="s">
        <v>819</v>
      </c>
      <c r="J218" s="5" t="s">
        <v>782</v>
      </c>
      <c r="K218" s="5" t="str">
        <f t="shared" si="4"/>
        <v>Private Consumption (Real y/y%)</v>
      </c>
      <c r="L218" s="2" t="s">
        <v>731</v>
      </c>
      <c r="M218" s="3" t="s">
        <v>892</v>
      </c>
      <c r="N218" s="3" t="s">
        <v>892</v>
      </c>
      <c r="O218" s="3" t="s">
        <v>873</v>
      </c>
      <c r="P218" s="3"/>
    </row>
    <row r="219" spans="1:16" ht="24.85" customHeight="1">
      <c r="A219" s="5" t="s">
        <v>968</v>
      </c>
      <c r="B219" s="5" t="s">
        <v>425</v>
      </c>
      <c r="C219" s="6" t="s">
        <v>442</v>
      </c>
      <c r="D219" s="5" t="s">
        <v>217</v>
      </c>
      <c r="E219" s="2" t="s">
        <v>486</v>
      </c>
      <c r="F219" s="2" t="s">
        <v>486</v>
      </c>
      <c r="G219" s="5" t="s">
        <v>969</v>
      </c>
      <c r="H219" s="2" t="s">
        <v>832</v>
      </c>
      <c r="I219" s="5" t="s">
        <v>819</v>
      </c>
      <c r="J219" s="5" t="s">
        <v>816</v>
      </c>
      <c r="K219" s="5" t="str">
        <f>"Government Consumption "&amp;B219</f>
        <v>Government Consumption (Nominal $m)</v>
      </c>
      <c r="L219" s="2" t="s">
        <v>921</v>
      </c>
      <c r="M219" s="3" t="s">
        <v>892</v>
      </c>
      <c r="N219" s="3" t="s">
        <v>892</v>
      </c>
      <c r="O219" s="3" t="s">
        <v>873</v>
      </c>
      <c r="P219" s="3"/>
    </row>
    <row r="220" spans="1:16" ht="24.85" customHeight="1">
      <c r="A220" s="5" t="s">
        <v>968</v>
      </c>
      <c r="B220" s="5" t="s">
        <v>427</v>
      </c>
      <c r="C220" s="6" t="s">
        <v>443</v>
      </c>
      <c r="D220" s="5" t="s">
        <v>346</v>
      </c>
      <c r="E220" s="2" t="s">
        <v>486</v>
      </c>
      <c r="F220" s="2" t="s">
        <v>486</v>
      </c>
      <c r="G220" s="5" t="s">
        <v>970</v>
      </c>
      <c r="H220" s="2" t="s">
        <v>825</v>
      </c>
      <c r="I220" s="5" t="s">
        <v>819</v>
      </c>
      <c r="J220" s="5" t="s">
        <v>816</v>
      </c>
      <c r="K220" s="5" t="str">
        <f t="shared" ref="K220:K226" si="5">"Government Consumption "&amp;B220</f>
        <v>Government Consumption (Nominal $m s.a.)</v>
      </c>
      <c r="L220" s="2" t="s">
        <v>921</v>
      </c>
      <c r="M220" s="3" t="s">
        <v>892</v>
      </c>
      <c r="N220" s="3" t="s">
        <v>892</v>
      </c>
      <c r="O220" s="3" t="s">
        <v>873</v>
      </c>
      <c r="P220" s="3"/>
    </row>
    <row r="221" spans="1:16" ht="24.85" customHeight="1">
      <c r="A221" s="5" t="s">
        <v>968</v>
      </c>
      <c r="B221" s="5" t="s">
        <v>429</v>
      </c>
      <c r="C221" s="6" t="s">
        <v>444</v>
      </c>
      <c r="D221" s="5" t="s">
        <v>348</v>
      </c>
      <c r="E221" s="2" t="s">
        <v>486</v>
      </c>
      <c r="F221" s="2" t="s">
        <v>486</v>
      </c>
      <c r="G221" s="5" t="s">
        <v>971</v>
      </c>
      <c r="H221" s="2" t="s">
        <v>826</v>
      </c>
      <c r="I221" s="5" t="s">
        <v>819</v>
      </c>
      <c r="J221" s="5" t="s">
        <v>781</v>
      </c>
      <c r="K221" s="5" t="str">
        <f t="shared" si="5"/>
        <v>Government Consumption (Nominal q/q% s.a.)</v>
      </c>
      <c r="L221" s="2" t="s">
        <v>731</v>
      </c>
      <c r="M221" s="3" t="s">
        <v>892</v>
      </c>
      <c r="N221" s="3" t="s">
        <v>892</v>
      </c>
      <c r="O221" s="3" t="s">
        <v>873</v>
      </c>
      <c r="P221" s="3"/>
    </row>
    <row r="222" spans="1:16" ht="24.85" customHeight="1">
      <c r="A222" s="5" t="s">
        <v>968</v>
      </c>
      <c r="B222" s="5" t="s">
        <v>431</v>
      </c>
      <c r="C222" s="6" t="s">
        <v>445</v>
      </c>
      <c r="D222" s="5" t="s">
        <v>16</v>
      </c>
      <c r="E222" s="2" t="s">
        <v>486</v>
      </c>
      <c r="F222" s="2" t="s">
        <v>486</v>
      </c>
      <c r="G222" s="5" t="s">
        <v>972</v>
      </c>
      <c r="H222" s="2" t="s">
        <v>827</v>
      </c>
      <c r="I222" s="5" t="s">
        <v>819</v>
      </c>
      <c r="J222" s="5" t="s">
        <v>782</v>
      </c>
      <c r="K222" s="5" t="str">
        <f t="shared" si="5"/>
        <v>Government Consumption (Nominal y/y%)</v>
      </c>
      <c r="L222" s="2" t="s">
        <v>731</v>
      </c>
      <c r="M222" s="3" t="s">
        <v>892</v>
      </c>
      <c r="N222" s="3" t="s">
        <v>892</v>
      </c>
      <c r="O222" s="3" t="s">
        <v>873</v>
      </c>
      <c r="P222" s="3"/>
    </row>
    <row r="223" spans="1:16" ht="24.85" customHeight="1">
      <c r="A223" s="5" t="s">
        <v>968</v>
      </c>
      <c r="B223" s="5" t="s">
        <v>360</v>
      </c>
      <c r="C223" s="6" t="s">
        <v>369</v>
      </c>
      <c r="D223" s="5" t="s">
        <v>352</v>
      </c>
      <c r="E223" s="2" t="s">
        <v>486</v>
      </c>
      <c r="F223" s="2" t="s">
        <v>486</v>
      </c>
      <c r="G223" s="5" t="s">
        <v>973</v>
      </c>
      <c r="H223" s="2" t="s">
        <v>828</v>
      </c>
      <c r="I223" s="5" t="s">
        <v>819</v>
      </c>
      <c r="J223" s="5" t="s">
        <v>816</v>
      </c>
      <c r="K223" s="5" t="str">
        <f t="shared" si="5"/>
        <v>Government Consumption (Real $m)</v>
      </c>
      <c r="L223" s="2" t="s">
        <v>921</v>
      </c>
      <c r="M223" s="3" t="s">
        <v>892</v>
      </c>
      <c r="N223" s="3" t="s">
        <v>892</v>
      </c>
      <c r="O223" s="3" t="s">
        <v>873</v>
      </c>
      <c r="P223" s="3"/>
    </row>
    <row r="224" spans="1:16" ht="24.85" customHeight="1">
      <c r="A224" s="5" t="s">
        <v>968</v>
      </c>
      <c r="B224" s="5" t="s">
        <v>362</v>
      </c>
      <c r="C224" s="6" t="s">
        <v>370</v>
      </c>
      <c r="D224" s="5" t="s">
        <v>354</v>
      </c>
      <c r="E224" s="2" t="s">
        <v>486</v>
      </c>
      <c r="F224" s="2" t="s">
        <v>486</v>
      </c>
      <c r="G224" s="5" t="s">
        <v>974</v>
      </c>
      <c r="H224" s="2" t="s">
        <v>829</v>
      </c>
      <c r="I224" s="5" t="s">
        <v>819</v>
      </c>
      <c r="J224" s="5" t="s">
        <v>816</v>
      </c>
      <c r="K224" s="5" t="str">
        <f t="shared" si="5"/>
        <v>Government Consumption (Real $m s.a.)</v>
      </c>
      <c r="L224" s="2" t="s">
        <v>921</v>
      </c>
      <c r="M224" s="3" t="s">
        <v>892</v>
      </c>
      <c r="N224" s="3" t="s">
        <v>892</v>
      </c>
      <c r="O224" s="3" t="s">
        <v>873</v>
      </c>
      <c r="P224" s="3"/>
    </row>
    <row r="225" spans="1:16" ht="24.85" customHeight="1">
      <c r="A225" s="5" t="s">
        <v>968</v>
      </c>
      <c r="B225" s="5" t="s">
        <v>364</v>
      </c>
      <c r="C225" s="6" t="s">
        <v>371</v>
      </c>
      <c r="D225" s="5" t="s">
        <v>356</v>
      </c>
      <c r="E225" s="2" t="s">
        <v>486</v>
      </c>
      <c r="F225" s="2" t="s">
        <v>486</v>
      </c>
      <c r="G225" s="5" t="s">
        <v>975</v>
      </c>
      <c r="H225" s="2" t="s">
        <v>830</v>
      </c>
      <c r="I225" s="5" t="s">
        <v>819</v>
      </c>
      <c r="J225" s="5" t="s">
        <v>781</v>
      </c>
      <c r="K225" s="5" t="str">
        <f t="shared" si="5"/>
        <v>Government Consumption (Real q/q% s.a.)</v>
      </c>
      <c r="L225" s="2" t="s">
        <v>731</v>
      </c>
      <c r="M225" s="3" t="s">
        <v>892</v>
      </c>
      <c r="N225" s="3" t="s">
        <v>892</v>
      </c>
      <c r="O225" s="3" t="s">
        <v>873</v>
      </c>
      <c r="P225" s="3"/>
    </row>
    <row r="226" spans="1:16" ht="24.85" customHeight="1">
      <c r="A226" s="5" t="s">
        <v>968</v>
      </c>
      <c r="B226" s="5" t="s">
        <v>366</v>
      </c>
      <c r="C226" s="6" t="s">
        <v>372</v>
      </c>
      <c r="D226" s="5" t="s">
        <v>358</v>
      </c>
      <c r="E226" s="2" t="s">
        <v>486</v>
      </c>
      <c r="F226" s="2" t="s">
        <v>486</v>
      </c>
      <c r="G226" s="5" t="s">
        <v>976</v>
      </c>
      <c r="H226" s="2" t="s">
        <v>831</v>
      </c>
      <c r="I226" s="5" t="s">
        <v>819</v>
      </c>
      <c r="J226" s="5" t="s">
        <v>782</v>
      </c>
      <c r="K226" s="5" t="str">
        <f t="shared" si="5"/>
        <v>Government Consumption (Real y/y%)</v>
      </c>
      <c r="L226" s="2" t="s">
        <v>731</v>
      </c>
      <c r="M226" s="3" t="s">
        <v>892</v>
      </c>
      <c r="N226" s="3" t="s">
        <v>892</v>
      </c>
      <c r="O226" s="3" t="s">
        <v>873</v>
      </c>
      <c r="P226" s="3"/>
    </row>
    <row r="227" spans="1:16" ht="24.85" customHeight="1">
      <c r="A227" s="5" t="s">
        <v>446</v>
      </c>
      <c r="B227" s="5" t="s">
        <v>425</v>
      </c>
      <c r="C227" s="6" t="s">
        <v>447</v>
      </c>
      <c r="D227" s="5" t="s">
        <v>217</v>
      </c>
      <c r="E227" s="2" t="s">
        <v>486</v>
      </c>
      <c r="F227" s="2" t="s">
        <v>486</v>
      </c>
      <c r="G227" s="5" t="s">
        <v>820</v>
      </c>
      <c r="H227" s="2" t="s">
        <v>833</v>
      </c>
      <c r="I227" s="5" t="s">
        <v>446</v>
      </c>
      <c r="J227" s="5" t="s">
        <v>816</v>
      </c>
      <c r="K227" s="5" t="str">
        <f>"Change in inventories "&amp;B227</f>
        <v>Change in inventories (Nominal $m)</v>
      </c>
      <c r="L227" s="2" t="s">
        <v>921</v>
      </c>
      <c r="M227" s="3" t="s">
        <v>892</v>
      </c>
      <c r="N227" s="3" t="s">
        <v>892</v>
      </c>
      <c r="O227" s="3" t="s">
        <v>873</v>
      </c>
      <c r="P227" s="3"/>
    </row>
    <row r="228" spans="1:16" ht="24.85" customHeight="1">
      <c r="A228" s="5" t="s">
        <v>446</v>
      </c>
      <c r="B228" s="5" t="s">
        <v>427</v>
      </c>
      <c r="C228" s="6" t="s">
        <v>448</v>
      </c>
      <c r="D228" s="5" t="s">
        <v>346</v>
      </c>
      <c r="E228" s="2" t="s">
        <v>486</v>
      </c>
      <c r="F228" s="2" t="s">
        <v>486</v>
      </c>
      <c r="G228" s="5" t="s">
        <v>821</v>
      </c>
      <c r="H228" s="2" t="s">
        <v>834</v>
      </c>
      <c r="I228" s="5" t="s">
        <v>446</v>
      </c>
      <c r="J228" s="5" t="s">
        <v>816</v>
      </c>
      <c r="K228" s="5" t="str">
        <f t="shared" ref="K228:K230" si="6">"Change in inventories "&amp;B228</f>
        <v>Change in inventories (Nominal $m s.a.)</v>
      </c>
      <c r="L228" s="2" t="s">
        <v>921</v>
      </c>
      <c r="M228" s="3" t="s">
        <v>892</v>
      </c>
      <c r="N228" s="3" t="s">
        <v>892</v>
      </c>
      <c r="O228" s="3" t="s">
        <v>873</v>
      </c>
      <c r="P228" s="3"/>
    </row>
    <row r="229" spans="1:16" ht="24.85" customHeight="1">
      <c r="A229" s="5" t="s">
        <v>446</v>
      </c>
      <c r="B229" s="5" t="s">
        <v>360</v>
      </c>
      <c r="C229" s="6" t="s">
        <v>391</v>
      </c>
      <c r="D229" s="5" t="s">
        <v>352</v>
      </c>
      <c r="E229" s="2" t="s">
        <v>486</v>
      </c>
      <c r="F229" s="2" t="s">
        <v>486</v>
      </c>
      <c r="G229" s="5" t="s">
        <v>822</v>
      </c>
      <c r="H229" s="2" t="s">
        <v>835</v>
      </c>
      <c r="I229" s="5" t="s">
        <v>446</v>
      </c>
      <c r="J229" s="5" t="s">
        <v>816</v>
      </c>
      <c r="K229" s="5" t="str">
        <f t="shared" si="6"/>
        <v>Change in inventories (Real $m)</v>
      </c>
      <c r="L229" s="2" t="s">
        <v>921</v>
      </c>
      <c r="M229" s="3" t="s">
        <v>892</v>
      </c>
      <c r="N229" s="3" t="s">
        <v>892</v>
      </c>
      <c r="O229" s="3" t="s">
        <v>873</v>
      </c>
      <c r="P229" s="3"/>
    </row>
    <row r="230" spans="1:16" ht="24.85" customHeight="1">
      <c r="A230" s="5" t="s">
        <v>446</v>
      </c>
      <c r="B230" s="5" t="s">
        <v>362</v>
      </c>
      <c r="C230" s="6" t="s">
        <v>392</v>
      </c>
      <c r="D230" s="5" t="s">
        <v>354</v>
      </c>
      <c r="E230" s="2" t="s">
        <v>486</v>
      </c>
      <c r="F230" s="2" t="s">
        <v>486</v>
      </c>
      <c r="G230" s="5" t="s">
        <v>823</v>
      </c>
      <c r="H230" s="2" t="s">
        <v>836</v>
      </c>
      <c r="I230" s="5" t="s">
        <v>446</v>
      </c>
      <c r="J230" s="5" t="s">
        <v>816</v>
      </c>
      <c r="K230" s="5" t="str">
        <f t="shared" si="6"/>
        <v>Change in inventories (Real $m s.a.)</v>
      </c>
      <c r="L230" s="2" t="s">
        <v>921</v>
      </c>
      <c r="M230" s="3" t="s">
        <v>892</v>
      </c>
      <c r="N230" s="3" t="s">
        <v>892</v>
      </c>
      <c r="O230" s="3" t="s">
        <v>873</v>
      </c>
      <c r="P230" s="3"/>
    </row>
    <row r="231" spans="1:16" ht="24.85" customHeight="1">
      <c r="A231" s="5" t="s">
        <v>449</v>
      </c>
      <c r="B231" s="5" t="s">
        <v>425</v>
      </c>
      <c r="C231" s="6" t="s">
        <v>450</v>
      </c>
      <c r="D231" s="5" t="s">
        <v>217</v>
      </c>
      <c r="E231" s="2" t="s">
        <v>486</v>
      </c>
      <c r="F231" s="2" t="s">
        <v>486</v>
      </c>
      <c r="G231" s="16" t="s">
        <v>939</v>
      </c>
      <c r="H231" s="2" t="s">
        <v>837</v>
      </c>
      <c r="I231" s="5" t="s">
        <v>818</v>
      </c>
      <c r="J231" s="5" t="s">
        <v>816</v>
      </c>
      <c r="K231" s="5" t="str">
        <f>"GFCF - Residential "&amp;B231</f>
        <v>GFCF - Residential (Nominal $m)</v>
      </c>
      <c r="L231" s="2" t="s">
        <v>921</v>
      </c>
      <c r="M231" s="3" t="s">
        <v>892</v>
      </c>
      <c r="N231" s="3" t="s">
        <v>892</v>
      </c>
      <c r="O231" s="3" t="s">
        <v>873</v>
      </c>
      <c r="P231" s="3"/>
    </row>
    <row r="232" spans="1:16" ht="24.85" customHeight="1">
      <c r="A232" s="5" t="s">
        <v>449</v>
      </c>
      <c r="B232" s="5" t="s">
        <v>427</v>
      </c>
      <c r="C232" s="6" t="s">
        <v>451</v>
      </c>
      <c r="D232" s="5" t="s">
        <v>346</v>
      </c>
      <c r="E232" s="2" t="s">
        <v>486</v>
      </c>
      <c r="F232" s="2" t="s">
        <v>486</v>
      </c>
      <c r="G232" s="5" t="s">
        <v>940</v>
      </c>
      <c r="H232" s="2" t="s">
        <v>838</v>
      </c>
      <c r="I232" s="5" t="s">
        <v>818</v>
      </c>
      <c r="J232" s="5" t="s">
        <v>816</v>
      </c>
      <c r="K232" s="5" t="str">
        <f t="shared" ref="K232:K238" si="7">"GFCF - Residential "&amp;B232</f>
        <v>GFCF - Residential (Nominal $m s.a.)</v>
      </c>
      <c r="L232" s="2" t="s">
        <v>921</v>
      </c>
      <c r="M232" s="3" t="s">
        <v>892</v>
      </c>
      <c r="N232" s="3" t="s">
        <v>892</v>
      </c>
      <c r="O232" s="3" t="s">
        <v>873</v>
      </c>
      <c r="P232" s="3"/>
    </row>
    <row r="233" spans="1:16" ht="24.85" customHeight="1">
      <c r="A233" s="5" t="s">
        <v>449</v>
      </c>
      <c r="B233" s="5" t="s">
        <v>429</v>
      </c>
      <c r="C233" s="6" t="s">
        <v>452</v>
      </c>
      <c r="D233" s="5" t="s">
        <v>348</v>
      </c>
      <c r="E233" s="2" t="s">
        <v>486</v>
      </c>
      <c r="F233" s="2" t="s">
        <v>486</v>
      </c>
      <c r="G233" s="5" t="s">
        <v>941</v>
      </c>
      <c r="H233" s="2" t="s">
        <v>839</v>
      </c>
      <c r="I233" s="5" t="s">
        <v>818</v>
      </c>
      <c r="J233" s="5" t="s">
        <v>781</v>
      </c>
      <c r="K233" s="5" t="str">
        <f t="shared" si="7"/>
        <v>GFCF - Residential (Nominal q/q% s.a.)</v>
      </c>
      <c r="L233" s="2" t="s">
        <v>731</v>
      </c>
      <c r="M233" s="3" t="s">
        <v>892</v>
      </c>
      <c r="N233" s="3" t="s">
        <v>892</v>
      </c>
      <c r="O233" s="3" t="s">
        <v>873</v>
      </c>
      <c r="P233" s="3"/>
    </row>
    <row r="234" spans="1:16" ht="24.85" customHeight="1">
      <c r="A234" s="5" t="s">
        <v>449</v>
      </c>
      <c r="B234" s="5" t="s">
        <v>431</v>
      </c>
      <c r="C234" s="6" t="s">
        <v>453</v>
      </c>
      <c r="D234" s="5" t="s">
        <v>16</v>
      </c>
      <c r="E234" s="2" t="s">
        <v>486</v>
      </c>
      <c r="F234" s="2" t="s">
        <v>486</v>
      </c>
      <c r="G234" s="5" t="s">
        <v>942</v>
      </c>
      <c r="H234" s="2" t="s">
        <v>840</v>
      </c>
      <c r="I234" s="5" t="s">
        <v>818</v>
      </c>
      <c r="J234" s="5" t="s">
        <v>782</v>
      </c>
      <c r="K234" s="5" t="str">
        <f t="shared" si="7"/>
        <v>GFCF - Residential (Nominal y/y%)</v>
      </c>
      <c r="L234" s="2" t="s">
        <v>731</v>
      </c>
      <c r="M234" s="3" t="s">
        <v>892</v>
      </c>
      <c r="N234" s="3" t="s">
        <v>892</v>
      </c>
      <c r="O234" s="3" t="s">
        <v>873</v>
      </c>
      <c r="P234" s="3"/>
    </row>
    <row r="235" spans="1:16" ht="24.85" customHeight="1">
      <c r="A235" s="5" t="s">
        <v>449</v>
      </c>
      <c r="B235" s="5" t="s">
        <v>360</v>
      </c>
      <c r="C235" s="6" t="s">
        <v>380</v>
      </c>
      <c r="D235" s="5" t="s">
        <v>352</v>
      </c>
      <c r="E235" s="2" t="s">
        <v>486</v>
      </c>
      <c r="F235" s="2" t="s">
        <v>486</v>
      </c>
      <c r="G235" s="5" t="s">
        <v>943</v>
      </c>
      <c r="H235" s="2" t="s">
        <v>841</v>
      </c>
      <c r="I235" s="5" t="s">
        <v>818</v>
      </c>
      <c r="J235" s="5" t="s">
        <v>816</v>
      </c>
      <c r="K235" s="5" t="str">
        <f t="shared" si="7"/>
        <v>GFCF - Residential (Real $m)</v>
      </c>
      <c r="L235" s="2" t="s">
        <v>921</v>
      </c>
      <c r="M235" s="3" t="s">
        <v>892</v>
      </c>
      <c r="N235" s="3" t="s">
        <v>892</v>
      </c>
      <c r="O235" s="3" t="s">
        <v>873</v>
      </c>
      <c r="P235" s="3"/>
    </row>
    <row r="236" spans="1:16" ht="24.85" customHeight="1">
      <c r="A236" s="5" t="s">
        <v>449</v>
      </c>
      <c r="B236" s="5" t="s">
        <v>362</v>
      </c>
      <c r="C236" s="6" t="s">
        <v>381</v>
      </c>
      <c r="D236" s="5" t="s">
        <v>354</v>
      </c>
      <c r="E236" s="2" t="s">
        <v>486</v>
      </c>
      <c r="F236" s="2" t="s">
        <v>486</v>
      </c>
      <c r="G236" s="5" t="s">
        <v>944</v>
      </c>
      <c r="H236" s="2" t="s">
        <v>842</v>
      </c>
      <c r="I236" s="5" t="s">
        <v>818</v>
      </c>
      <c r="J236" s="5" t="s">
        <v>816</v>
      </c>
      <c r="K236" s="5" t="str">
        <f t="shared" si="7"/>
        <v>GFCF - Residential (Real $m s.a.)</v>
      </c>
      <c r="L236" s="2" t="s">
        <v>921</v>
      </c>
      <c r="M236" s="3" t="s">
        <v>892</v>
      </c>
      <c r="N236" s="3" t="s">
        <v>892</v>
      </c>
      <c r="O236" s="3" t="s">
        <v>873</v>
      </c>
      <c r="P236" s="3"/>
    </row>
    <row r="237" spans="1:16" ht="24.85" customHeight="1">
      <c r="A237" s="5" t="s">
        <v>449</v>
      </c>
      <c r="B237" s="5" t="s">
        <v>364</v>
      </c>
      <c r="C237" s="6" t="s">
        <v>383</v>
      </c>
      <c r="D237" s="5" t="s">
        <v>356</v>
      </c>
      <c r="E237" s="2" t="s">
        <v>486</v>
      </c>
      <c r="F237" s="2" t="s">
        <v>486</v>
      </c>
      <c r="G237" s="5" t="s">
        <v>945</v>
      </c>
      <c r="H237" s="2" t="s">
        <v>843</v>
      </c>
      <c r="I237" s="5" t="s">
        <v>818</v>
      </c>
      <c r="J237" s="5" t="s">
        <v>781</v>
      </c>
      <c r="K237" s="5" t="str">
        <f t="shared" si="7"/>
        <v>GFCF - Residential (Real q/q% s.a.)</v>
      </c>
      <c r="L237" s="2" t="s">
        <v>731</v>
      </c>
      <c r="M237" s="3" t="s">
        <v>892</v>
      </c>
      <c r="N237" s="3" t="s">
        <v>892</v>
      </c>
      <c r="O237" s="3" t="s">
        <v>873</v>
      </c>
      <c r="P237" s="3"/>
    </row>
    <row r="238" spans="1:16" ht="24.85" customHeight="1">
      <c r="A238" s="5" t="s">
        <v>449</v>
      </c>
      <c r="B238" s="5" t="s">
        <v>366</v>
      </c>
      <c r="C238" s="6" t="s">
        <v>384</v>
      </c>
      <c r="D238" s="5" t="s">
        <v>358</v>
      </c>
      <c r="E238" s="2" t="s">
        <v>486</v>
      </c>
      <c r="F238" s="2" t="s">
        <v>486</v>
      </c>
      <c r="G238" s="5" t="s">
        <v>946</v>
      </c>
      <c r="H238" s="2" t="s">
        <v>844</v>
      </c>
      <c r="I238" s="5" t="s">
        <v>818</v>
      </c>
      <c r="J238" s="5" t="s">
        <v>782</v>
      </c>
      <c r="K238" s="5" t="str">
        <f t="shared" si="7"/>
        <v>GFCF - Residential (Real y/y%)</v>
      </c>
      <c r="L238" s="2" t="s">
        <v>731</v>
      </c>
      <c r="M238" s="3" t="s">
        <v>892</v>
      </c>
      <c r="N238" s="3" t="s">
        <v>892</v>
      </c>
      <c r="O238" s="3" t="s">
        <v>873</v>
      </c>
      <c r="P238" s="3"/>
    </row>
    <row r="239" spans="1:16" ht="24.85" customHeight="1">
      <c r="A239" s="5" t="s">
        <v>454</v>
      </c>
      <c r="B239" s="5" t="s">
        <v>425</v>
      </c>
      <c r="C239" s="6" t="s">
        <v>455</v>
      </c>
      <c r="D239" s="5" t="s">
        <v>217</v>
      </c>
      <c r="E239" s="2" t="s">
        <v>486</v>
      </c>
      <c r="F239" s="2" t="s">
        <v>486</v>
      </c>
      <c r="G239" s="5" t="s">
        <v>846</v>
      </c>
      <c r="H239" s="2" t="s">
        <v>837</v>
      </c>
      <c r="I239" s="5" t="s">
        <v>818</v>
      </c>
      <c r="J239" s="5" t="s">
        <v>816</v>
      </c>
      <c r="K239" s="5" t="str">
        <f>"GFCF - Other "&amp;B239</f>
        <v>GFCF - Other (Nominal $m)</v>
      </c>
      <c r="L239" s="2" t="s">
        <v>921</v>
      </c>
      <c r="M239" s="3" t="s">
        <v>892</v>
      </c>
      <c r="N239" s="3" t="s">
        <v>892</v>
      </c>
      <c r="O239" s="3" t="s">
        <v>873</v>
      </c>
      <c r="P239" s="3"/>
    </row>
    <row r="240" spans="1:16" ht="24.85" customHeight="1">
      <c r="A240" s="5" t="s">
        <v>454</v>
      </c>
      <c r="B240" s="5" t="s">
        <v>427</v>
      </c>
      <c r="C240" s="6" t="s">
        <v>456</v>
      </c>
      <c r="D240" s="5" t="s">
        <v>346</v>
      </c>
      <c r="E240" s="2" t="s">
        <v>486</v>
      </c>
      <c r="F240" s="2" t="s">
        <v>486</v>
      </c>
      <c r="G240" s="5" t="s">
        <v>847</v>
      </c>
      <c r="H240" s="2" t="s">
        <v>838</v>
      </c>
      <c r="I240" s="5" t="s">
        <v>818</v>
      </c>
      <c r="J240" s="5" t="s">
        <v>816</v>
      </c>
      <c r="K240" s="5" t="str">
        <f t="shared" ref="K240:K246" si="8">"GFCF - Other "&amp;B240</f>
        <v>GFCF - Other (Nominal $m s.a.)</v>
      </c>
      <c r="L240" s="2" t="s">
        <v>921</v>
      </c>
      <c r="M240" s="3" t="s">
        <v>892</v>
      </c>
      <c r="N240" s="3" t="s">
        <v>892</v>
      </c>
      <c r="O240" s="3" t="s">
        <v>873</v>
      </c>
      <c r="P240" s="3"/>
    </row>
    <row r="241" spans="1:16" ht="24.85" customHeight="1">
      <c r="A241" s="5" t="s">
        <v>454</v>
      </c>
      <c r="B241" s="5" t="s">
        <v>429</v>
      </c>
      <c r="C241" s="6" t="s">
        <v>457</v>
      </c>
      <c r="D241" s="5" t="s">
        <v>348</v>
      </c>
      <c r="E241" s="2" t="s">
        <v>486</v>
      </c>
      <c r="F241" s="2" t="s">
        <v>486</v>
      </c>
      <c r="G241" s="5" t="s">
        <v>848</v>
      </c>
      <c r="H241" s="2" t="s">
        <v>839</v>
      </c>
      <c r="I241" s="5" t="s">
        <v>818</v>
      </c>
      <c r="J241" s="5" t="s">
        <v>781</v>
      </c>
      <c r="K241" s="5" t="str">
        <f t="shared" si="8"/>
        <v>GFCF - Other (Nominal q/q% s.a.)</v>
      </c>
      <c r="L241" s="2" t="s">
        <v>731</v>
      </c>
      <c r="M241" s="3" t="s">
        <v>892</v>
      </c>
      <c r="N241" s="3" t="s">
        <v>892</v>
      </c>
      <c r="O241" s="3" t="s">
        <v>873</v>
      </c>
      <c r="P241" s="3"/>
    </row>
    <row r="242" spans="1:16" ht="24.85" customHeight="1">
      <c r="A242" s="5" t="s">
        <v>454</v>
      </c>
      <c r="B242" s="5" t="s">
        <v>431</v>
      </c>
      <c r="C242" s="6" t="s">
        <v>458</v>
      </c>
      <c r="D242" s="5" t="s">
        <v>16</v>
      </c>
      <c r="E242" s="2" t="s">
        <v>486</v>
      </c>
      <c r="F242" s="2" t="s">
        <v>486</v>
      </c>
      <c r="G242" s="5" t="s">
        <v>849</v>
      </c>
      <c r="H242" s="2" t="s">
        <v>840</v>
      </c>
      <c r="I242" s="5" t="s">
        <v>818</v>
      </c>
      <c r="J242" s="5" t="s">
        <v>782</v>
      </c>
      <c r="K242" s="5" t="str">
        <f t="shared" si="8"/>
        <v>GFCF - Other (Nominal y/y%)</v>
      </c>
      <c r="L242" s="2" t="s">
        <v>731</v>
      </c>
      <c r="M242" s="3" t="s">
        <v>892</v>
      </c>
      <c r="N242" s="3" t="s">
        <v>892</v>
      </c>
      <c r="O242" s="3" t="s">
        <v>873</v>
      </c>
      <c r="P242" s="3"/>
    </row>
    <row r="243" spans="1:16" ht="24.85" customHeight="1">
      <c r="A243" s="5" t="s">
        <v>454</v>
      </c>
      <c r="B243" s="5" t="s">
        <v>360</v>
      </c>
      <c r="C243" s="6" t="s">
        <v>386</v>
      </c>
      <c r="D243" s="5" t="s">
        <v>352</v>
      </c>
      <c r="E243" s="2" t="s">
        <v>486</v>
      </c>
      <c r="F243" s="2" t="s">
        <v>486</v>
      </c>
      <c r="G243" s="5" t="s">
        <v>850</v>
      </c>
      <c r="H243" s="2" t="s">
        <v>841</v>
      </c>
      <c r="I243" s="5" t="s">
        <v>818</v>
      </c>
      <c r="J243" s="5" t="s">
        <v>816</v>
      </c>
      <c r="K243" s="5" t="str">
        <f t="shared" si="8"/>
        <v>GFCF - Other (Real $m)</v>
      </c>
      <c r="L243" s="2" t="s">
        <v>921</v>
      </c>
      <c r="M243" s="3" t="s">
        <v>892</v>
      </c>
      <c r="N243" s="3" t="s">
        <v>892</v>
      </c>
      <c r="O243" s="3" t="s">
        <v>873</v>
      </c>
      <c r="P243" s="3"/>
    </row>
    <row r="244" spans="1:16" ht="24.85" customHeight="1">
      <c r="A244" s="5" t="s">
        <v>454</v>
      </c>
      <c r="B244" s="5" t="s">
        <v>362</v>
      </c>
      <c r="C244" s="6" t="s">
        <v>387</v>
      </c>
      <c r="D244" s="5" t="s">
        <v>354</v>
      </c>
      <c r="E244" s="2" t="s">
        <v>486</v>
      </c>
      <c r="F244" s="2" t="s">
        <v>486</v>
      </c>
      <c r="G244" s="5" t="s">
        <v>851</v>
      </c>
      <c r="H244" s="2" t="s">
        <v>842</v>
      </c>
      <c r="I244" s="5" t="s">
        <v>818</v>
      </c>
      <c r="J244" s="5" t="s">
        <v>816</v>
      </c>
      <c r="K244" s="5" t="str">
        <f t="shared" si="8"/>
        <v>GFCF - Other (Real $m s.a.)</v>
      </c>
      <c r="L244" s="2" t="s">
        <v>921</v>
      </c>
      <c r="M244" s="3" t="s">
        <v>892</v>
      </c>
      <c r="N244" s="3" t="s">
        <v>892</v>
      </c>
      <c r="O244" s="3" t="s">
        <v>873</v>
      </c>
      <c r="P244" s="3"/>
    </row>
    <row r="245" spans="1:16" ht="24.85" customHeight="1">
      <c r="A245" s="5" t="s">
        <v>454</v>
      </c>
      <c r="B245" s="5" t="s">
        <v>364</v>
      </c>
      <c r="C245" s="6" t="s">
        <v>388</v>
      </c>
      <c r="D245" s="5" t="s">
        <v>356</v>
      </c>
      <c r="E245" s="2" t="s">
        <v>486</v>
      </c>
      <c r="F245" s="2" t="s">
        <v>486</v>
      </c>
      <c r="G245" s="5" t="s">
        <v>852</v>
      </c>
      <c r="H245" s="2" t="s">
        <v>843</v>
      </c>
      <c r="I245" s="5" t="s">
        <v>818</v>
      </c>
      <c r="J245" s="5" t="s">
        <v>781</v>
      </c>
      <c r="K245" s="5" t="str">
        <f t="shared" si="8"/>
        <v>GFCF - Other (Real q/q% s.a.)</v>
      </c>
      <c r="L245" s="2" t="s">
        <v>731</v>
      </c>
      <c r="M245" s="3" t="s">
        <v>892</v>
      </c>
      <c r="N245" s="3" t="s">
        <v>892</v>
      </c>
      <c r="O245" s="3" t="s">
        <v>873</v>
      </c>
      <c r="P245" s="3"/>
    </row>
    <row r="246" spans="1:16" ht="24.85" customHeight="1">
      <c r="A246" s="5" t="s">
        <v>454</v>
      </c>
      <c r="B246" s="5" t="s">
        <v>366</v>
      </c>
      <c r="C246" s="6" t="s">
        <v>389</v>
      </c>
      <c r="D246" s="5" t="s">
        <v>358</v>
      </c>
      <c r="E246" s="2" t="s">
        <v>486</v>
      </c>
      <c r="F246" s="2" t="s">
        <v>486</v>
      </c>
      <c r="G246" s="5" t="s">
        <v>853</v>
      </c>
      <c r="H246" s="2" t="s">
        <v>844</v>
      </c>
      <c r="I246" s="5" t="s">
        <v>818</v>
      </c>
      <c r="J246" s="5" t="s">
        <v>782</v>
      </c>
      <c r="K246" s="5" t="str">
        <f t="shared" si="8"/>
        <v>GFCF - Other (Real y/y%)</v>
      </c>
      <c r="L246" s="2" t="s">
        <v>731</v>
      </c>
      <c r="M246" s="3" t="s">
        <v>892</v>
      </c>
      <c r="N246" s="3" t="s">
        <v>892</v>
      </c>
      <c r="O246" s="3" t="s">
        <v>873</v>
      </c>
      <c r="P246" s="3"/>
    </row>
    <row r="247" spans="1:16" ht="24.85" customHeight="1">
      <c r="A247" s="5" t="s">
        <v>459</v>
      </c>
      <c r="B247" s="5" t="s">
        <v>425</v>
      </c>
      <c r="C247" s="6" t="s">
        <v>460</v>
      </c>
      <c r="D247" s="5" t="s">
        <v>217</v>
      </c>
      <c r="E247" s="2" t="s">
        <v>486</v>
      </c>
      <c r="F247" s="2" t="s">
        <v>486</v>
      </c>
      <c r="G247" s="5" t="s">
        <v>931</v>
      </c>
      <c r="H247" s="2" t="s">
        <v>832</v>
      </c>
      <c r="I247" s="5" t="s">
        <v>819</v>
      </c>
      <c r="J247" s="5" t="s">
        <v>816</v>
      </c>
      <c r="K247" s="5" t="str">
        <f>"GNE  "&amp;B247</f>
        <v>GNE  (Nominal $m)</v>
      </c>
      <c r="L247" s="2" t="s">
        <v>921</v>
      </c>
      <c r="M247" s="3" t="s">
        <v>892</v>
      </c>
      <c r="N247" s="3" t="s">
        <v>892</v>
      </c>
      <c r="O247" s="3" t="s">
        <v>873</v>
      </c>
      <c r="P247" s="3"/>
    </row>
    <row r="248" spans="1:16" ht="24.85" customHeight="1">
      <c r="A248" s="5" t="s">
        <v>459</v>
      </c>
      <c r="B248" s="5" t="s">
        <v>427</v>
      </c>
      <c r="C248" s="6" t="s">
        <v>461</v>
      </c>
      <c r="D248" s="5" t="s">
        <v>346</v>
      </c>
      <c r="E248" s="2" t="s">
        <v>486</v>
      </c>
      <c r="F248" s="2" t="s">
        <v>486</v>
      </c>
      <c r="G248" s="16" t="s">
        <v>932</v>
      </c>
      <c r="H248" s="2" t="s">
        <v>825</v>
      </c>
      <c r="I248" s="5" t="s">
        <v>819</v>
      </c>
      <c r="J248" s="5" t="s">
        <v>816</v>
      </c>
      <c r="K248" s="5" t="str">
        <f t="shared" ref="K248:K254" si="9">"GNE  "&amp;B248</f>
        <v>GNE  (Nominal $m s.a.)</v>
      </c>
      <c r="L248" s="2" t="s">
        <v>921</v>
      </c>
      <c r="M248" s="3" t="s">
        <v>892</v>
      </c>
      <c r="N248" s="3" t="s">
        <v>892</v>
      </c>
      <c r="O248" s="3" t="s">
        <v>873</v>
      </c>
      <c r="P248" s="3"/>
    </row>
    <row r="249" spans="1:16" ht="24.85" customHeight="1">
      <c r="A249" s="5" t="s">
        <v>459</v>
      </c>
      <c r="B249" s="5" t="s">
        <v>429</v>
      </c>
      <c r="C249" s="6" t="s">
        <v>462</v>
      </c>
      <c r="D249" s="5" t="s">
        <v>348</v>
      </c>
      <c r="E249" s="2" t="s">
        <v>486</v>
      </c>
      <c r="F249" s="2" t="s">
        <v>486</v>
      </c>
      <c r="G249" s="5" t="s">
        <v>933</v>
      </c>
      <c r="H249" s="2" t="s">
        <v>826</v>
      </c>
      <c r="I249" s="5" t="s">
        <v>819</v>
      </c>
      <c r="J249" s="5" t="s">
        <v>781</v>
      </c>
      <c r="K249" s="5" t="str">
        <f t="shared" si="9"/>
        <v>GNE  (Nominal q/q% s.a.)</v>
      </c>
      <c r="L249" s="2" t="s">
        <v>731</v>
      </c>
      <c r="M249" s="3" t="s">
        <v>892</v>
      </c>
      <c r="N249" s="3" t="s">
        <v>892</v>
      </c>
      <c r="O249" s="3" t="s">
        <v>873</v>
      </c>
      <c r="P249" s="3"/>
    </row>
    <row r="250" spans="1:16" ht="24.85" customHeight="1">
      <c r="A250" s="5" t="s">
        <v>459</v>
      </c>
      <c r="B250" s="5" t="s">
        <v>431</v>
      </c>
      <c r="C250" s="6" t="s">
        <v>463</v>
      </c>
      <c r="D250" s="5" t="s">
        <v>16</v>
      </c>
      <c r="E250" s="2" t="s">
        <v>486</v>
      </c>
      <c r="F250" s="2" t="s">
        <v>486</v>
      </c>
      <c r="G250" s="5" t="s">
        <v>934</v>
      </c>
      <c r="H250" s="2" t="s">
        <v>827</v>
      </c>
      <c r="I250" s="5" t="s">
        <v>819</v>
      </c>
      <c r="J250" s="5" t="s">
        <v>782</v>
      </c>
      <c r="K250" s="5" t="str">
        <f t="shared" si="9"/>
        <v>GNE  (Nominal y/y%)</v>
      </c>
      <c r="L250" s="2" t="s">
        <v>731</v>
      </c>
      <c r="M250" s="3" t="s">
        <v>892</v>
      </c>
      <c r="N250" s="3" t="s">
        <v>892</v>
      </c>
      <c r="O250" s="3" t="s">
        <v>873</v>
      </c>
      <c r="P250" s="3"/>
    </row>
    <row r="251" spans="1:16" ht="24.85" customHeight="1">
      <c r="A251" s="5" t="s">
        <v>459</v>
      </c>
      <c r="B251" s="5" t="s">
        <v>360</v>
      </c>
      <c r="C251" s="6" t="s">
        <v>464</v>
      </c>
      <c r="D251" s="5" t="s">
        <v>352</v>
      </c>
      <c r="E251" s="2" t="s">
        <v>486</v>
      </c>
      <c r="F251" s="2" t="s">
        <v>486</v>
      </c>
      <c r="G251" s="5" t="s">
        <v>935</v>
      </c>
      <c r="H251" s="2" t="s">
        <v>828</v>
      </c>
      <c r="I251" s="5" t="s">
        <v>819</v>
      </c>
      <c r="J251" s="5" t="s">
        <v>816</v>
      </c>
      <c r="K251" s="5" t="str">
        <f t="shared" si="9"/>
        <v>GNE  (Real $m)</v>
      </c>
      <c r="L251" s="2" t="s">
        <v>921</v>
      </c>
      <c r="M251" s="3" t="s">
        <v>892</v>
      </c>
      <c r="N251" s="3" t="s">
        <v>892</v>
      </c>
      <c r="O251" s="3" t="s">
        <v>873</v>
      </c>
      <c r="P251" s="3"/>
    </row>
    <row r="252" spans="1:16" ht="24.85" customHeight="1">
      <c r="A252" s="5" t="s">
        <v>459</v>
      </c>
      <c r="B252" s="5" t="s">
        <v>362</v>
      </c>
      <c r="C252" s="6" t="s">
        <v>465</v>
      </c>
      <c r="D252" s="5" t="s">
        <v>354</v>
      </c>
      <c r="E252" s="2" t="s">
        <v>486</v>
      </c>
      <c r="F252" s="2" t="s">
        <v>486</v>
      </c>
      <c r="G252" s="5" t="s">
        <v>936</v>
      </c>
      <c r="H252" s="2" t="s">
        <v>829</v>
      </c>
      <c r="I252" s="5" t="s">
        <v>819</v>
      </c>
      <c r="J252" s="5" t="s">
        <v>816</v>
      </c>
      <c r="K252" s="5" t="str">
        <f t="shared" si="9"/>
        <v>GNE  (Real $m s.a.)</v>
      </c>
      <c r="L252" s="2" t="s">
        <v>921</v>
      </c>
      <c r="M252" s="3" t="s">
        <v>892</v>
      </c>
      <c r="N252" s="3" t="s">
        <v>892</v>
      </c>
      <c r="O252" s="3" t="s">
        <v>873</v>
      </c>
      <c r="P252" s="3"/>
    </row>
    <row r="253" spans="1:16" ht="24.85" customHeight="1">
      <c r="A253" s="5" t="s">
        <v>459</v>
      </c>
      <c r="B253" s="5" t="s">
        <v>364</v>
      </c>
      <c r="C253" s="6" t="s">
        <v>466</v>
      </c>
      <c r="D253" s="5" t="s">
        <v>356</v>
      </c>
      <c r="E253" s="2" t="s">
        <v>486</v>
      </c>
      <c r="F253" s="2" t="s">
        <v>486</v>
      </c>
      <c r="G253" s="5" t="s">
        <v>937</v>
      </c>
      <c r="H253" s="2" t="s">
        <v>830</v>
      </c>
      <c r="I253" s="5" t="s">
        <v>819</v>
      </c>
      <c r="J253" s="5" t="s">
        <v>781</v>
      </c>
      <c r="K253" s="5" t="str">
        <f t="shared" si="9"/>
        <v>GNE  (Real q/q% s.a.)</v>
      </c>
      <c r="L253" s="2" t="s">
        <v>731</v>
      </c>
      <c r="M253" s="3" t="s">
        <v>892</v>
      </c>
      <c r="N253" s="3" t="s">
        <v>892</v>
      </c>
      <c r="O253" s="3" t="s">
        <v>873</v>
      </c>
      <c r="P253" s="3"/>
    </row>
    <row r="254" spans="1:16" ht="24.85" customHeight="1">
      <c r="A254" s="5" t="s">
        <v>459</v>
      </c>
      <c r="B254" s="5" t="s">
        <v>366</v>
      </c>
      <c r="C254" s="6" t="s">
        <v>467</v>
      </c>
      <c r="D254" s="5" t="s">
        <v>358</v>
      </c>
      <c r="E254" s="2" t="s">
        <v>486</v>
      </c>
      <c r="F254" s="2" t="s">
        <v>486</v>
      </c>
      <c r="G254" s="5" t="s">
        <v>938</v>
      </c>
      <c r="H254" s="2" t="s">
        <v>831</v>
      </c>
      <c r="I254" s="5" t="s">
        <v>819</v>
      </c>
      <c r="J254" s="5" t="s">
        <v>782</v>
      </c>
      <c r="K254" s="5" t="str">
        <f t="shared" si="9"/>
        <v>GNE  (Real y/y%)</v>
      </c>
      <c r="L254" s="2" t="s">
        <v>731</v>
      </c>
      <c r="M254" s="3" t="s">
        <v>892</v>
      </c>
      <c r="N254" s="3" t="s">
        <v>892</v>
      </c>
      <c r="O254" s="3" t="s">
        <v>873</v>
      </c>
      <c r="P254" s="3"/>
    </row>
    <row r="255" spans="1:16" ht="24.85" customHeight="1">
      <c r="A255" s="5" t="s">
        <v>468</v>
      </c>
      <c r="B255" s="5" t="s">
        <v>425</v>
      </c>
      <c r="C255" s="6" t="s">
        <v>469</v>
      </c>
      <c r="D255" s="5" t="s">
        <v>217</v>
      </c>
      <c r="E255" s="2" t="s">
        <v>486</v>
      </c>
      <c r="F255" s="2" t="s">
        <v>486</v>
      </c>
      <c r="G255" s="5" t="s">
        <v>977</v>
      </c>
      <c r="H255" s="2" t="s">
        <v>978</v>
      </c>
      <c r="I255" s="5" t="s">
        <v>979</v>
      </c>
      <c r="J255" s="5" t="s">
        <v>816</v>
      </c>
      <c r="K255" s="5" t="str">
        <f>"Exports G&amp;S "&amp;B255</f>
        <v>Exports G&amp;S (Nominal $m)</v>
      </c>
      <c r="L255" s="17" t="s">
        <v>921</v>
      </c>
      <c r="M255" s="3" t="s">
        <v>892</v>
      </c>
      <c r="N255" s="3" t="s">
        <v>892</v>
      </c>
      <c r="O255" s="3" t="s">
        <v>873</v>
      </c>
      <c r="P255" s="3"/>
    </row>
    <row r="256" spans="1:16" ht="24.85" customHeight="1">
      <c r="A256" s="5" t="s">
        <v>468</v>
      </c>
      <c r="B256" s="5" t="s">
        <v>427</v>
      </c>
      <c r="C256" s="6" t="s">
        <v>470</v>
      </c>
      <c r="D256" s="5" t="s">
        <v>346</v>
      </c>
      <c r="E256" s="2" t="s">
        <v>486</v>
      </c>
      <c r="F256" s="2" t="s">
        <v>486</v>
      </c>
      <c r="G256" s="5" t="s">
        <v>980</v>
      </c>
      <c r="H256" s="2" t="s">
        <v>981</v>
      </c>
      <c r="I256" s="5" t="s">
        <v>979</v>
      </c>
      <c r="J256" s="5" t="s">
        <v>816</v>
      </c>
      <c r="K256" s="5" t="str">
        <f t="shared" ref="K256:K262" si="10">"Exports G&amp;S "&amp;B256</f>
        <v>Exports G&amp;S (Nominal $m s.a.)</v>
      </c>
      <c r="L256" s="17" t="s">
        <v>921</v>
      </c>
      <c r="M256" s="3" t="s">
        <v>892</v>
      </c>
      <c r="N256" s="3" t="s">
        <v>892</v>
      </c>
      <c r="O256" s="3" t="s">
        <v>873</v>
      </c>
      <c r="P256" s="3"/>
    </row>
    <row r="257" spans="1:16" ht="24.85" customHeight="1">
      <c r="A257" s="5" t="s">
        <v>468</v>
      </c>
      <c r="B257" s="5" t="s">
        <v>429</v>
      </c>
      <c r="C257" s="6" t="s">
        <v>471</v>
      </c>
      <c r="D257" s="5" t="s">
        <v>348</v>
      </c>
      <c r="E257" s="2" t="s">
        <v>486</v>
      </c>
      <c r="F257" s="2" t="s">
        <v>486</v>
      </c>
      <c r="G257" s="5" t="s">
        <v>982</v>
      </c>
      <c r="H257" s="2" t="s">
        <v>983</v>
      </c>
      <c r="I257" s="5" t="s">
        <v>979</v>
      </c>
      <c r="J257" s="5" t="s">
        <v>781</v>
      </c>
      <c r="K257" s="5" t="str">
        <f t="shared" si="10"/>
        <v>Exports G&amp;S (Nominal q/q% s.a.)</v>
      </c>
      <c r="L257" s="2" t="s">
        <v>731</v>
      </c>
      <c r="M257" s="3" t="s">
        <v>892</v>
      </c>
      <c r="N257" s="3" t="s">
        <v>892</v>
      </c>
      <c r="O257" s="3" t="s">
        <v>873</v>
      </c>
      <c r="P257" s="3"/>
    </row>
    <row r="258" spans="1:16" ht="24.85" customHeight="1">
      <c r="A258" s="5" t="s">
        <v>468</v>
      </c>
      <c r="B258" s="5" t="s">
        <v>431</v>
      </c>
      <c r="C258" s="6" t="s">
        <v>472</v>
      </c>
      <c r="D258" s="5" t="s">
        <v>16</v>
      </c>
      <c r="E258" s="2" t="s">
        <v>486</v>
      </c>
      <c r="F258" s="2" t="s">
        <v>486</v>
      </c>
      <c r="G258" s="5" t="s">
        <v>984</v>
      </c>
      <c r="H258" s="2" t="s">
        <v>985</v>
      </c>
      <c r="I258" s="5" t="s">
        <v>979</v>
      </c>
      <c r="J258" s="5" t="s">
        <v>782</v>
      </c>
      <c r="K258" s="5" t="str">
        <f t="shared" si="10"/>
        <v>Exports G&amp;S (Nominal y/y%)</v>
      </c>
      <c r="L258" s="2" t="s">
        <v>731</v>
      </c>
      <c r="M258" s="3" t="s">
        <v>892</v>
      </c>
      <c r="N258" s="3" t="s">
        <v>892</v>
      </c>
      <c r="O258" s="3" t="s">
        <v>873</v>
      </c>
      <c r="P258" s="3"/>
    </row>
    <row r="259" spans="1:16" ht="24.85" customHeight="1">
      <c r="A259" s="5" t="s">
        <v>468</v>
      </c>
      <c r="B259" s="5" t="s">
        <v>360</v>
      </c>
      <c r="C259" s="6" t="s">
        <v>473</v>
      </c>
      <c r="D259" s="5" t="s">
        <v>352</v>
      </c>
      <c r="E259" s="2" t="s">
        <v>486</v>
      </c>
      <c r="F259" s="2" t="s">
        <v>486</v>
      </c>
      <c r="G259" s="5" t="s">
        <v>986</v>
      </c>
      <c r="H259" s="2" t="s">
        <v>987</v>
      </c>
      <c r="I259" s="5" t="s">
        <v>979</v>
      </c>
      <c r="J259" s="5" t="s">
        <v>816</v>
      </c>
      <c r="K259" s="5" t="str">
        <f t="shared" si="10"/>
        <v>Exports G&amp;S (Real $m)</v>
      </c>
      <c r="L259" s="17" t="s">
        <v>921</v>
      </c>
      <c r="M259" s="3" t="s">
        <v>892</v>
      </c>
      <c r="N259" s="3" t="s">
        <v>892</v>
      </c>
      <c r="O259" s="3" t="s">
        <v>873</v>
      </c>
      <c r="P259" s="3"/>
    </row>
    <row r="260" spans="1:16" ht="24.85" customHeight="1">
      <c r="A260" s="5" t="s">
        <v>468</v>
      </c>
      <c r="B260" s="5" t="s">
        <v>362</v>
      </c>
      <c r="C260" s="6" t="s">
        <v>474</v>
      </c>
      <c r="D260" s="5" t="s">
        <v>354</v>
      </c>
      <c r="E260" s="2" t="s">
        <v>486</v>
      </c>
      <c r="F260" s="2" t="s">
        <v>486</v>
      </c>
      <c r="G260" s="5" t="s">
        <v>988</v>
      </c>
      <c r="H260" s="2" t="s">
        <v>989</v>
      </c>
      <c r="I260" s="5" t="s">
        <v>979</v>
      </c>
      <c r="J260" s="5" t="s">
        <v>816</v>
      </c>
      <c r="K260" s="5" t="str">
        <f t="shared" si="10"/>
        <v>Exports G&amp;S (Real $m s.a.)</v>
      </c>
      <c r="L260" s="17" t="s">
        <v>921</v>
      </c>
      <c r="M260" s="3" t="s">
        <v>892</v>
      </c>
      <c r="N260" s="3" t="s">
        <v>892</v>
      </c>
      <c r="O260" s="3" t="s">
        <v>873</v>
      </c>
      <c r="P260" s="3"/>
    </row>
    <row r="261" spans="1:16" ht="24.85" customHeight="1">
      <c r="A261" s="5" t="s">
        <v>468</v>
      </c>
      <c r="B261" s="5" t="s">
        <v>364</v>
      </c>
      <c r="C261" s="6" t="s">
        <v>475</v>
      </c>
      <c r="D261" s="5" t="s">
        <v>356</v>
      </c>
      <c r="E261" s="2" t="s">
        <v>486</v>
      </c>
      <c r="F261" s="2" t="s">
        <v>486</v>
      </c>
      <c r="G261" s="5" t="s">
        <v>990</v>
      </c>
      <c r="H261" s="2" t="s">
        <v>991</v>
      </c>
      <c r="I261" s="5" t="s">
        <v>979</v>
      </c>
      <c r="J261" s="5" t="s">
        <v>781</v>
      </c>
      <c r="K261" s="5" t="str">
        <f t="shared" si="10"/>
        <v>Exports G&amp;S (Real q/q% s.a.)</v>
      </c>
      <c r="L261" s="2" t="s">
        <v>731</v>
      </c>
      <c r="M261" s="3" t="s">
        <v>892</v>
      </c>
      <c r="N261" s="3" t="s">
        <v>892</v>
      </c>
      <c r="O261" s="3" t="s">
        <v>873</v>
      </c>
      <c r="P261" s="3"/>
    </row>
    <row r="262" spans="1:16" ht="24.85" customHeight="1">
      <c r="A262" s="5" t="s">
        <v>468</v>
      </c>
      <c r="B262" s="5" t="s">
        <v>366</v>
      </c>
      <c r="C262" s="6" t="s">
        <v>476</v>
      </c>
      <c r="D262" s="5" t="s">
        <v>358</v>
      </c>
      <c r="E262" s="2" t="s">
        <v>486</v>
      </c>
      <c r="F262" s="2" t="s">
        <v>486</v>
      </c>
      <c r="G262" s="5" t="s">
        <v>992</v>
      </c>
      <c r="H262" s="2" t="s">
        <v>993</v>
      </c>
      <c r="I262" s="5" t="s">
        <v>979</v>
      </c>
      <c r="J262" s="5" t="s">
        <v>782</v>
      </c>
      <c r="K262" s="5" t="str">
        <f t="shared" si="10"/>
        <v>Exports G&amp;S (Real y/y%)</v>
      </c>
      <c r="L262" s="2" t="s">
        <v>731</v>
      </c>
      <c r="M262" s="3" t="s">
        <v>892</v>
      </c>
      <c r="N262" s="3" t="s">
        <v>892</v>
      </c>
      <c r="O262" s="3" t="s">
        <v>873</v>
      </c>
      <c r="P262" s="3"/>
    </row>
    <row r="263" spans="1:16" ht="24.85" customHeight="1">
      <c r="A263" s="5" t="s">
        <v>477</v>
      </c>
      <c r="B263" s="5" t="s">
        <v>425</v>
      </c>
      <c r="C263" s="6" t="s">
        <v>478</v>
      </c>
      <c r="D263" s="5" t="s">
        <v>217</v>
      </c>
      <c r="E263" s="2" t="s">
        <v>486</v>
      </c>
      <c r="F263" s="2" t="s">
        <v>486</v>
      </c>
      <c r="G263" s="5" t="s">
        <v>994</v>
      </c>
      <c r="H263" s="2" t="s">
        <v>978</v>
      </c>
      <c r="I263" s="5" t="s">
        <v>979</v>
      </c>
      <c r="J263" s="5" t="s">
        <v>816</v>
      </c>
      <c r="K263" s="5" t="str">
        <f t="shared" ref="K263:K269" si="11">"Import G&amp;S "&amp;B263</f>
        <v>Import G&amp;S (Nominal $m)</v>
      </c>
      <c r="L263" s="17" t="s">
        <v>921</v>
      </c>
      <c r="M263" s="3" t="s">
        <v>892</v>
      </c>
      <c r="N263" s="3" t="s">
        <v>892</v>
      </c>
      <c r="O263" s="3" t="s">
        <v>873</v>
      </c>
      <c r="P263" s="3"/>
    </row>
    <row r="264" spans="1:16" ht="24.85" customHeight="1">
      <c r="A264" s="5" t="s">
        <v>477</v>
      </c>
      <c r="B264" s="5" t="s">
        <v>427</v>
      </c>
      <c r="C264" s="6" t="s">
        <v>479</v>
      </c>
      <c r="D264" s="5" t="s">
        <v>346</v>
      </c>
      <c r="E264" s="2" t="s">
        <v>486</v>
      </c>
      <c r="F264" s="2" t="s">
        <v>486</v>
      </c>
      <c r="G264" s="5" t="s">
        <v>995</v>
      </c>
      <c r="H264" s="2" t="s">
        <v>981</v>
      </c>
      <c r="I264" s="5" t="s">
        <v>979</v>
      </c>
      <c r="J264" s="5" t="s">
        <v>816</v>
      </c>
      <c r="K264" s="5" t="str">
        <f t="shared" si="11"/>
        <v>Import G&amp;S (Nominal $m s.a.)</v>
      </c>
      <c r="L264" s="17" t="s">
        <v>921</v>
      </c>
      <c r="M264" s="3" t="s">
        <v>892</v>
      </c>
      <c r="N264" s="3" t="s">
        <v>892</v>
      </c>
      <c r="O264" s="3" t="s">
        <v>873</v>
      </c>
      <c r="P264" s="3"/>
    </row>
    <row r="265" spans="1:16" ht="24.85" customHeight="1">
      <c r="A265" s="5" t="s">
        <v>477</v>
      </c>
      <c r="B265" s="5" t="s">
        <v>429</v>
      </c>
      <c r="C265" s="6" t="s">
        <v>480</v>
      </c>
      <c r="D265" s="5" t="s">
        <v>348</v>
      </c>
      <c r="E265" s="2" t="s">
        <v>486</v>
      </c>
      <c r="F265" s="2" t="s">
        <v>486</v>
      </c>
      <c r="G265" s="5" t="s">
        <v>996</v>
      </c>
      <c r="H265" s="2" t="s">
        <v>983</v>
      </c>
      <c r="I265" s="5" t="s">
        <v>979</v>
      </c>
      <c r="J265" s="5" t="s">
        <v>781</v>
      </c>
      <c r="K265" s="5" t="str">
        <f t="shared" si="11"/>
        <v>Import G&amp;S (Nominal q/q% s.a.)</v>
      </c>
      <c r="L265" s="2" t="s">
        <v>731</v>
      </c>
      <c r="M265" s="3" t="s">
        <v>892</v>
      </c>
      <c r="N265" s="3" t="s">
        <v>892</v>
      </c>
      <c r="O265" s="3" t="s">
        <v>873</v>
      </c>
      <c r="P265" s="3"/>
    </row>
    <row r="266" spans="1:16" ht="24.85" customHeight="1">
      <c r="A266" s="5" t="s">
        <v>477</v>
      </c>
      <c r="B266" s="5" t="s">
        <v>431</v>
      </c>
      <c r="C266" s="6" t="s">
        <v>481</v>
      </c>
      <c r="D266" s="5" t="s">
        <v>16</v>
      </c>
      <c r="E266" s="2" t="s">
        <v>486</v>
      </c>
      <c r="F266" s="2" t="s">
        <v>486</v>
      </c>
      <c r="G266" s="5" t="s">
        <v>997</v>
      </c>
      <c r="H266" s="2" t="s">
        <v>985</v>
      </c>
      <c r="I266" s="5" t="s">
        <v>979</v>
      </c>
      <c r="J266" s="5" t="s">
        <v>782</v>
      </c>
      <c r="K266" s="5" t="str">
        <f t="shared" si="11"/>
        <v>Import G&amp;S (Nominal y/y%)</v>
      </c>
      <c r="L266" s="2" t="s">
        <v>731</v>
      </c>
      <c r="M266" s="3" t="s">
        <v>892</v>
      </c>
      <c r="N266" s="3" t="s">
        <v>892</v>
      </c>
      <c r="O266" s="3" t="s">
        <v>873</v>
      </c>
      <c r="P266" s="3"/>
    </row>
    <row r="267" spans="1:16" ht="24.85" customHeight="1">
      <c r="A267" s="5" t="s">
        <v>477</v>
      </c>
      <c r="B267" s="5" t="s">
        <v>360</v>
      </c>
      <c r="C267" s="6" t="s">
        <v>482</v>
      </c>
      <c r="D267" s="5" t="s">
        <v>352</v>
      </c>
      <c r="E267" s="2" t="s">
        <v>486</v>
      </c>
      <c r="F267" s="2" t="s">
        <v>486</v>
      </c>
      <c r="G267" s="5" t="s">
        <v>998</v>
      </c>
      <c r="H267" s="2" t="s">
        <v>987</v>
      </c>
      <c r="I267" s="5" t="s">
        <v>979</v>
      </c>
      <c r="J267" s="5" t="s">
        <v>816</v>
      </c>
      <c r="K267" s="5" t="str">
        <f t="shared" si="11"/>
        <v>Import G&amp;S (Real $m)</v>
      </c>
      <c r="L267" s="17" t="s">
        <v>921</v>
      </c>
      <c r="M267" s="3" t="s">
        <v>892</v>
      </c>
      <c r="N267" s="3" t="s">
        <v>892</v>
      </c>
      <c r="O267" s="3" t="s">
        <v>873</v>
      </c>
      <c r="P267" s="3"/>
    </row>
    <row r="268" spans="1:16" ht="24.85" customHeight="1">
      <c r="A268" s="5" t="s">
        <v>477</v>
      </c>
      <c r="B268" s="5" t="s">
        <v>362</v>
      </c>
      <c r="C268" s="6" t="s">
        <v>483</v>
      </c>
      <c r="D268" s="5" t="s">
        <v>354</v>
      </c>
      <c r="E268" s="2" t="s">
        <v>486</v>
      </c>
      <c r="F268" s="2" t="s">
        <v>486</v>
      </c>
      <c r="G268" s="5" t="s">
        <v>999</v>
      </c>
      <c r="H268" s="2" t="s">
        <v>989</v>
      </c>
      <c r="I268" s="5" t="s">
        <v>979</v>
      </c>
      <c r="J268" s="5" t="s">
        <v>816</v>
      </c>
      <c r="K268" s="5" t="str">
        <f t="shared" si="11"/>
        <v>Import G&amp;S (Real $m s.a.)</v>
      </c>
      <c r="L268" s="17" t="s">
        <v>921</v>
      </c>
      <c r="M268" s="3" t="s">
        <v>892</v>
      </c>
      <c r="N268" s="3" t="s">
        <v>892</v>
      </c>
      <c r="O268" s="3" t="s">
        <v>873</v>
      </c>
      <c r="P268" s="3"/>
    </row>
    <row r="269" spans="1:16" ht="24.85" customHeight="1">
      <c r="A269" s="5" t="s">
        <v>477</v>
      </c>
      <c r="B269" s="5" t="s">
        <v>364</v>
      </c>
      <c r="C269" s="6" t="s">
        <v>484</v>
      </c>
      <c r="D269" s="5" t="s">
        <v>356</v>
      </c>
      <c r="E269" s="2" t="s">
        <v>486</v>
      </c>
      <c r="F269" s="2" t="s">
        <v>486</v>
      </c>
      <c r="G269" s="5" t="s">
        <v>1000</v>
      </c>
      <c r="H269" s="2" t="s">
        <v>991</v>
      </c>
      <c r="I269" s="5" t="s">
        <v>979</v>
      </c>
      <c r="J269" s="5" t="s">
        <v>781</v>
      </c>
      <c r="K269" s="5" t="str">
        <f t="shared" si="11"/>
        <v>Import G&amp;S (Real q/q% s.a.)</v>
      </c>
      <c r="L269" s="2" t="s">
        <v>731</v>
      </c>
      <c r="M269" s="3" t="s">
        <v>892</v>
      </c>
      <c r="N269" s="3" t="s">
        <v>892</v>
      </c>
      <c r="O269" s="3" t="s">
        <v>873</v>
      </c>
      <c r="P269" s="3"/>
    </row>
    <row r="270" spans="1:16" ht="24.85" customHeight="1">
      <c r="A270" s="5" t="s">
        <v>477</v>
      </c>
      <c r="B270" s="5" t="s">
        <v>366</v>
      </c>
      <c r="C270" s="6" t="s">
        <v>485</v>
      </c>
      <c r="D270" s="5" t="s">
        <v>358</v>
      </c>
      <c r="E270" s="2" t="s">
        <v>486</v>
      </c>
      <c r="F270" s="2" t="s">
        <v>486</v>
      </c>
      <c r="G270" s="5" t="s">
        <v>1001</v>
      </c>
      <c r="H270" s="2" t="s">
        <v>993</v>
      </c>
      <c r="I270" s="5" t="s">
        <v>979</v>
      </c>
      <c r="J270" s="5" t="s">
        <v>782</v>
      </c>
      <c r="K270" s="5" t="str">
        <f>"Import G&amp;S "&amp;B270</f>
        <v>Import G&amp;S (Real y/y%)</v>
      </c>
      <c r="L270" s="2" t="s">
        <v>731</v>
      </c>
      <c r="M270" s="3" t="s">
        <v>892</v>
      </c>
      <c r="N270" s="3" t="s">
        <v>892</v>
      </c>
      <c r="O270" s="3" t="s">
        <v>873</v>
      </c>
      <c r="P270" s="3"/>
    </row>
    <row r="271" spans="1:16">
      <c r="A271" s="8" t="s">
        <v>507</v>
      </c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 t="s">
        <v>731</v>
      </c>
      <c r="M271" s="9" t="s">
        <v>52</v>
      </c>
      <c r="N271" s="9" t="s">
        <v>53</v>
      </c>
      <c r="O271" s="9" t="s">
        <v>873</v>
      </c>
      <c r="P271" s="9"/>
    </row>
    <row r="272" spans="1:16">
      <c r="A272" s="5" t="s">
        <v>487</v>
      </c>
      <c r="B272" s="5" t="s">
        <v>488</v>
      </c>
      <c r="C272" s="6" t="s">
        <v>489</v>
      </c>
      <c r="D272" s="5" t="s">
        <v>217</v>
      </c>
      <c r="E272" s="2" t="s">
        <v>507</v>
      </c>
      <c r="F272" s="2" t="s">
        <v>507</v>
      </c>
      <c r="G272" s="5"/>
      <c r="I272" s="5"/>
      <c r="J272" s="5"/>
      <c r="K272" s="5"/>
      <c r="L272" s="17" t="s">
        <v>921</v>
      </c>
      <c r="M272" s="3"/>
      <c r="N272" s="3"/>
      <c r="O272" s="3" t="s">
        <v>1002</v>
      </c>
      <c r="P272" s="3"/>
    </row>
    <row r="273" spans="1:16">
      <c r="A273" s="5" t="s">
        <v>487</v>
      </c>
      <c r="B273" s="5" t="s">
        <v>490</v>
      </c>
      <c r="C273" s="6" t="s">
        <v>491</v>
      </c>
      <c r="D273" s="5" t="s">
        <v>217</v>
      </c>
      <c r="E273" s="2" t="s">
        <v>507</v>
      </c>
      <c r="F273" s="2" t="s">
        <v>507</v>
      </c>
      <c r="G273" s="5"/>
      <c r="I273" s="5"/>
      <c r="J273" s="5"/>
      <c r="K273" s="5"/>
      <c r="L273" s="17" t="s">
        <v>921</v>
      </c>
      <c r="M273" s="3"/>
      <c r="N273" s="3"/>
      <c r="O273" s="3" t="s">
        <v>1002</v>
      </c>
      <c r="P273" s="3"/>
    </row>
    <row r="274" spans="1:16">
      <c r="A274" s="5" t="s">
        <v>492</v>
      </c>
      <c r="B274" s="5" t="s">
        <v>493</v>
      </c>
      <c r="C274" s="6" t="s">
        <v>494</v>
      </c>
      <c r="D274" s="5" t="s">
        <v>8</v>
      </c>
      <c r="E274" s="2" t="s">
        <v>507</v>
      </c>
      <c r="F274" s="2" t="s">
        <v>507</v>
      </c>
      <c r="G274" s="5" t="s">
        <v>493</v>
      </c>
      <c r="I274" s="5" t="s">
        <v>493</v>
      </c>
      <c r="J274" s="5" t="s">
        <v>492</v>
      </c>
      <c r="K274" s="5"/>
      <c r="L274" s="17" t="s">
        <v>921</v>
      </c>
      <c r="M274" s="3" t="s">
        <v>53</v>
      </c>
      <c r="N274" s="3" t="s">
        <v>53</v>
      </c>
      <c r="O274" s="3" t="s">
        <v>1002</v>
      </c>
      <c r="P274" s="3"/>
    </row>
    <row r="275" spans="1:16">
      <c r="A275" s="5" t="s">
        <v>492</v>
      </c>
      <c r="B275" s="5" t="s">
        <v>495</v>
      </c>
      <c r="C275" s="6" t="s">
        <v>496</v>
      </c>
      <c r="D275" s="5" t="s">
        <v>8</v>
      </c>
      <c r="E275" s="2" t="s">
        <v>507</v>
      </c>
      <c r="F275" s="2" t="s">
        <v>507</v>
      </c>
      <c r="G275" s="5" t="s">
        <v>495</v>
      </c>
      <c r="I275" s="5" t="s">
        <v>495</v>
      </c>
      <c r="J275" s="5" t="s">
        <v>492</v>
      </c>
      <c r="K275" s="5"/>
      <c r="L275" s="17" t="s">
        <v>921</v>
      </c>
      <c r="M275" s="3" t="s">
        <v>52</v>
      </c>
      <c r="N275" s="3" t="s">
        <v>52</v>
      </c>
      <c r="O275" s="3" t="s">
        <v>1002</v>
      </c>
      <c r="P275" s="3"/>
    </row>
    <row r="276" spans="1:16">
      <c r="A276" s="5" t="s">
        <v>492</v>
      </c>
      <c r="B276" s="5" t="s">
        <v>497</v>
      </c>
      <c r="C276" s="6" t="s">
        <v>498</v>
      </c>
      <c r="D276" s="5" t="s">
        <v>8</v>
      </c>
      <c r="E276" s="2" t="s">
        <v>507</v>
      </c>
      <c r="F276" s="2" t="s">
        <v>507</v>
      </c>
      <c r="G276" s="5" t="s">
        <v>497</v>
      </c>
      <c r="I276" s="5" t="s">
        <v>497</v>
      </c>
      <c r="J276" s="5" t="s">
        <v>492</v>
      </c>
      <c r="K276" s="5"/>
      <c r="L276" s="17" t="s">
        <v>921</v>
      </c>
      <c r="M276" s="3" t="s">
        <v>754</v>
      </c>
      <c r="N276" s="3" t="s">
        <v>754</v>
      </c>
      <c r="O276" s="3" t="s">
        <v>1002</v>
      </c>
      <c r="P276" s="3"/>
    </row>
    <row r="277" spans="1:16">
      <c r="A277" s="5" t="s">
        <v>492</v>
      </c>
      <c r="B277" s="5" t="s">
        <v>499</v>
      </c>
      <c r="C277" s="6" t="s">
        <v>500</v>
      </c>
      <c r="D277" s="5" t="s">
        <v>8</v>
      </c>
      <c r="E277" s="2" t="s">
        <v>507</v>
      </c>
      <c r="F277" s="2" t="s">
        <v>507</v>
      </c>
      <c r="G277" s="5" t="s">
        <v>499</v>
      </c>
      <c r="I277" s="5" t="s">
        <v>499</v>
      </c>
      <c r="J277" s="5" t="s">
        <v>492</v>
      </c>
      <c r="K277" s="5"/>
      <c r="L277" s="17" t="s">
        <v>921</v>
      </c>
      <c r="M277" s="3" t="s">
        <v>757</v>
      </c>
      <c r="N277" s="3" t="s">
        <v>757</v>
      </c>
      <c r="O277" s="3" t="s">
        <v>1002</v>
      </c>
      <c r="P277" s="3"/>
    </row>
    <row r="278" spans="1:16">
      <c r="A278" s="5" t="s">
        <v>492</v>
      </c>
      <c r="B278" s="5" t="s">
        <v>501</v>
      </c>
      <c r="C278" s="6" t="s">
        <v>502</v>
      </c>
      <c r="D278" s="5" t="s">
        <v>8</v>
      </c>
      <c r="E278" s="2" t="s">
        <v>507</v>
      </c>
      <c r="F278" s="2" t="s">
        <v>507</v>
      </c>
      <c r="G278" s="5" t="s">
        <v>501</v>
      </c>
      <c r="I278" s="5" t="s">
        <v>501</v>
      </c>
      <c r="J278" s="5" t="s">
        <v>492</v>
      </c>
      <c r="K278" s="5"/>
      <c r="L278" s="17" t="s">
        <v>921</v>
      </c>
      <c r="M278" s="3" t="s">
        <v>759</v>
      </c>
      <c r="N278" s="3" t="s">
        <v>759</v>
      </c>
      <c r="O278" s="3" t="s">
        <v>1002</v>
      </c>
      <c r="P278" s="3"/>
    </row>
    <row r="279" spans="1:16">
      <c r="A279" s="5" t="s">
        <v>492</v>
      </c>
      <c r="B279" s="5" t="s">
        <v>503</v>
      </c>
      <c r="C279" s="6" t="s">
        <v>504</v>
      </c>
      <c r="D279" s="5" t="s">
        <v>8</v>
      </c>
      <c r="E279" s="2" t="s">
        <v>507</v>
      </c>
      <c r="F279" s="2" t="s">
        <v>507</v>
      </c>
      <c r="G279" s="5" t="s">
        <v>503</v>
      </c>
      <c r="I279" s="5" t="s">
        <v>503</v>
      </c>
      <c r="J279" s="5" t="s">
        <v>492</v>
      </c>
      <c r="K279" s="5"/>
      <c r="L279" s="17" t="s">
        <v>921</v>
      </c>
      <c r="M279" s="3" t="s">
        <v>760</v>
      </c>
      <c r="N279" s="3" t="s">
        <v>760</v>
      </c>
      <c r="O279" s="3" t="s">
        <v>1002</v>
      </c>
      <c r="P279" s="3"/>
    </row>
    <row r="280" spans="1:16" ht="25.5">
      <c r="A280" s="5" t="s">
        <v>492</v>
      </c>
      <c r="B280" s="5" t="s">
        <v>505</v>
      </c>
      <c r="C280" s="6" t="s">
        <v>506</v>
      </c>
      <c r="D280" s="5" t="s">
        <v>16</v>
      </c>
      <c r="E280" s="2" t="s">
        <v>507</v>
      </c>
      <c r="F280" s="2" t="s">
        <v>507</v>
      </c>
      <c r="G280" s="5" t="s">
        <v>505</v>
      </c>
      <c r="I280" s="5" t="s">
        <v>503</v>
      </c>
      <c r="J280" s="5" t="s">
        <v>505</v>
      </c>
      <c r="K280" s="5"/>
      <c r="L280" s="2" t="s">
        <v>731</v>
      </c>
      <c r="M280" s="3" t="s">
        <v>758</v>
      </c>
      <c r="N280" s="3" t="s">
        <v>758</v>
      </c>
      <c r="O280" s="3" t="s">
        <v>873</v>
      </c>
      <c r="P280" s="3"/>
    </row>
    <row r="281" spans="1:16">
      <c r="A281" s="8" t="s">
        <v>534</v>
      </c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9"/>
      <c r="N281" s="9"/>
      <c r="O281" s="9" t="s">
        <v>873</v>
      </c>
      <c r="P281" s="9"/>
    </row>
    <row r="282" spans="1:16">
      <c r="A282" s="2" t="s">
        <v>508</v>
      </c>
      <c r="B282" s="2" t="s">
        <v>26</v>
      </c>
      <c r="C282" s="2" t="s">
        <v>509</v>
      </c>
      <c r="D282" s="2" t="s">
        <v>16</v>
      </c>
      <c r="E282" s="2" t="s">
        <v>534</v>
      </c>
      <c r="F282" s="2" t="s">
        <v>534</v>
      </c>
      <c r="G282" s="2" t="s">
        <v>508</v>
      </c>
      <c r="H282" s="2" t="s">
        <v>905</v>
      </c>
      <c r="I282" s="2" t="s">
        <v>26</v>
      </c>
      <c r="J282" s="2" t="s">
        <v>16</v>
      </c>
      <c r="L282" s="2" t="s">
        <v>908</v>
      </c>
      <c r="M282" s="3" t="s">
        <v>892</v>
      </c>
      <c r="N282" s="3" t="s">
        <v>892</v>
      </c>
      <c r="O282" s="3" t="s">
        <v>873</v>
      </c>
      <c r="P282" s="3"/>
    </row>
    <row r="283" spans="1:16">
      <c r="A283" s="2" t="s">
        <v>508</v>
      </c>
      <c r="B283" s="2" t="s">
        <v>18</v>
      </c>
      <c r="C283" s="2" t="s">
        <v>510</v>
      </c>
      <c r="D283" s="2" t="s">
        <v>16</v>
      </c>
      <c r="E283" s="2" t="s">
        <v>534</v>
      </c>
      <c r="F283" s="2" t="s">
        <v>534</v>
      </c>
      <c r="G283" s="2" t="s">
        <v>508</v>
      </c>
      <c r="H283" s="2" t="s">
        <v>906</v>
      </c>
      <c r="I283" s="2" t="s">
        <v>18</v>
      </c>
      <c r="J283" s="2" t="s">
        <v>16</v>
      </c>
      <c r="L283" s="2" t="s">
        <v>908</v>
      </c>
      <c r="M283" s="3" t="s">
        <v>892</v>
      </c>
      <c r="N283" s="3" t="s">
        <v>892</v>
      </c>
      <c r="O283" s="3" t="s">
        <v>873</v>
      </c>
      <c r="P283" s="3"/>
    </row>
    <row r="284" spans="1:16">
      <c r="A284" s="2" t="s">
        <v>511</v>
      </c>
      <c r="B284" s="2" t="s">
        <v>512</v>
      </c>
      <c r="C284" s="2" t="s">
        <v>513</v>
      </c>
      <c r="D284" s="2" t="s">
        <v>16</v>
      </c>
      <c r="E284" s="2" t="s">
        <v>534</v>
      </c>
      <c r="F284" s="2" t="s">
        <v>534</v>
      </c>
      <c r="G284" s="2" t="s">
        <v>512</v>
      </c>
      <c r="H284" s="2" t="s">
        <v>512</v>
      </c>
      <c r="I284" s="2" t="s">
        <v>512</v>
      </c>
      <c r="J284" s="2" t="s">
        <v>16</v>
      </c>
      <c r="L284" s="2" t="s">
        <v>908</v>
      </c>
      <c r="M284" s="3" t="s">
        <v>892</v>
      </c>
      <c r="N284" s="3" t="s">
        <v>892</v>
      </c>
      <c r="O284" s="3" t="s">
        <v>873</v>
      </c>
      <c r="P284" s="3"/>
    </row>
    <row r="285" spans="1:16">
      <c r="A285" s="2" t="s">
        <v>514</v>
      </c>
      <c r="B285" s="2" t="s">
        <v>515</v>
      </c>
      <c r="C285" s="2" t="s">
        <v>516</v>
      </c>
      <c r="D285" s="2" t="s">
        <v>16</v>
      </c>
      <c r="E285" s="2" t="s">
        <v>534</v>
      </c>
      <c r="F285" s="2" t="s">
        <v>534</v>
      </c>
      <c r="G285" s="2" t="s">
        <v>515</v>
      </c>
      <c r="H285" s="2" t="s">
        <v>515</v>
      </c>
      <c r="I285" s="2" t="s">
        <v>514</v>
      </c>
      <c r="J285" s="2" t="s">
        <v>16</v>
      </c>
      <c r="L285" s="2" t="s">
        <v>908</v>
      </c>
      <c r="M285" s="3" t="s">
        <v>892</v>
      </c>
      <c r="N285" s="3" t="s">
        <v>892</v>
      </c>
      <c r="O285" s="3" t="s">
        <v>873</v>
      </c>
      <c r="P285" s="3"/>
    </row>
    <row r="286" spans="1:16">
      <c r="A286" s="2" t="s">
        <v>511</v>
      </c>
      <c r="B286" s="2" t="s">
        <v>517</v>
      </c>
      <c r="C286" s="2" t="s">
        <v>518</v>
      </c>
      <c r="D286" s="2" t="s">
        <v>217</v>
      </c>
      <c r="E286" s="2" t="s">
        <v>534</v>
      </c>
      <c r="F286" s="2" t="s">
        <v>534</v>
      </c>
      <c r="G286" s="2" t="s">
        <v>517</v>
      </c>
      <c r="H286" s="2" t="s">
        <v>1003</v>
      </c>
      <c r="I286" s="2" t="s">
        <v>517</v>
      </c>
      <c r="J286" s="2" t="s">
        <v>217</v>
      </c>
      <c r="L286" s="17" t="s">
        <v>921</v>
      </c>
      <c r="M286" s="3" t="s">
        <v>892</v>
      </c>
      <c r="N286" s="3" t="s">
        <v>892</v>
      </c>
      <c r="O286" s="3" t="s">
        <v>1002</v>
      </c>
      <c r="P286" s="3"/>
    </row>
    <row r="287" spans="1:16">
      <c r="A287" s="2" t="s">
        <v>511</v>
      </c>
      <c r="B287" s="2" t="s">
        <v>519</v>
      </c>
      <c r="C287" s="2" t="s">
        <v>520</v>
      </c>
      <c r="D287" s="2" t="s">
        <v>217</v>
      </c>
      <c r="E287" s="2" t="s">
        <v>534</v>
      </c>
      <c r="F287" s="2" t="s">
        <v>534</v>
      </c>
      <c r="G287" s="2" t="s">
        <v>519</v>
      </c>
      <c r="H287" s="2" t="s">
        <v>1003</v>
      </c>
      <c r="I287" s="2" t="s">
        <v>519</v>
      </c>
      <c r="J287" s="2" t="s">
        <v>217</v>
      </c>
      <c r="L287" s="17" t="s">
        <v>921</v>
      </c>
      <c r="M287" s="3" t="s">
        <v>892</v>
      </c>
      <c r="N287" s="3" t="s">
        <v>892</v>
      </c>
      <c r="O287" s="3" t="s">
        <v>1002</v>
      </c>
      <c r="P287" s="3"/>
    </row>
    <row r="288" spans="1:16">
      <c r="A288" s="2" t="s">
        <v>511</v>
      </c>
      <c r="B288" s="2" t="s">
        <v>521</v>
      </c>
      <c r="C288" s="2" t="s">
        <v>522</v>
      </c>
      <c r="D288" s="2" t="s">
        <v>217</v>
      </c>
      <c r="E288" s="2" t="s">
        <v>534</v>
      </c>
      <c r="F288" s="2" t="s">
        <v>534</v>
      </c>
      <c r="G288" s="2" t="s">
        <v>521</v>
      </c>
      <c r="H288" s="2" t="s">
        <v>1003</v>
      </c>
      <c r="I288" s="2" t="s">
        <v>521</v>
      </c>
      <c r="J288" s="2" t="s">
        <v>217</v>
      </c>
      <c r="L288" s="17" t="s">
        <v>921</v>
      </c>
      <c r="M288" s="3" t="s">
        <v>892</v>
      </c>
      <c r="N288" s="3" t="s">
        <v>892</v>
      </c>
      <c r="O288" s="3" t="s">
        <v>1002</v>
      </c>
      <c r="P288" s="3"/>
    </row>
    <row r="289" spans="1:17">
      <c r="A289" s="2" t="s">
        <v>511</v>
      </c>
      <c r="B289" s="2" t="s">
        <v>523</v>
      </c>
      <c r="C289" s="2" t="s">
        <v>524</v>
      </c>
      <c r="D289" s="2" t="s">
        <v>217</v>
      </c>
      <c r="E289" s="2" t="s">
        <v>534</v>
      </c>
      <c r="F289" s="2" t="s">
        <v>534</v>
      </c>
      <c r="G289" s="2" t="s">
        <v>523</v>
      </c>
      <c r="H289" s="2" t="s">
        <v>1003</v>
      </c>
      <c r="I289" s="2" t="s">
        <v>523</v>
      </c>
      <c r="J289" s="2" t="s">
        <v>217</v>
      </c>
      <c r="L289" s="17" t="s">
        <v>921</v>
      </c>
      <c r="M289" s="3" t="s">
        <v>892</v>
      </c>
      <c r="N289" s="3" t="s">
        <v>892</v>
      </c>
      <c r="O289" s="3" t="s">
        <v>1002</v>
      </c>
      <c r="P289" s="3"/>
    </row>
    <row r="290" spans="1:17">
      <c r="A290" s="2" t="s">
        <v>511</v>
      </c>
      <c r="B290" s="2" t="s">
        <v>525</v>
      </c>
      <c r="C290" s="2" t="s">
        <v>526</v>
      </c>
      <c r="D290" s="2" t="s">
        <v>217</v>
      </c>
      <c r="E290" s="2" t="s">
        <v>534</v>
      </c>
      <c r="F290" s="2" t="s">
        <v>534</v>
      </c>
      <c r="G290" s="2" t="s">
        <v>525</v>
      </c>
      <c r="H290" s="2" t="s">
        <v>1004</v>
      </c>
      <c r="I290" s="2" t="s">
        <v>525</v>
      </c>
      <c r="J290" s="2" t="s">
        <v>217</v>
      </c>
      <c r="L290" s="17" t="s">
        <v>921</v>
      </c>
      <c r="M290" s="3" t="s">
        <v>892</v>
      </c>
      <c r="N290" s="3" t="s">
        <v>892</v>
      </c>
      <c r="O290" s="3" t="s">
        <v>1002</v>
      </c>
      <c r="P290" s="3"/>
    </row>
    <row r="291" spans="1:17">
      <c r="A291" s="2" t="s">
        <v>514</v>
      </c>
      <c r="B291" s="2" t="s">
        <v>527</v>
      </c>
      <c r="C291" s="2" t="s">
        <v>528</v>
      </c>
      <c r="D291" s="2" t="s">
        <v>217</v>
      </c>
      <c r="E291" s="2" t="s">
        <v>534</v>
      </c>
      <c r="F291" s="2" t="s">
        <v>534</v>
      </c>
      <c r="G291" s="2" t="s">
        <v>527</v>
      </c>
      <c r="H291" s="2" t="s">
        <v>1005</v>
      </c>
      <c r="I291" s="2" t="s">
        <v>527</v>
      </c>
      <c r="J291" s="2" t="s">
        <v>217</v>
      </c>
      <c r="L291" s="17" t="s">
        <v>921</v>
      </c>
      <c r="M291" s="3" t="s">
        <v>892</v>
      </c>
      <c r="N291" s="3" t="s">
        <v>892</v>
      </c>
      <c r="O291" s="3" t="s">
        <v>873</v>
      </c>
      <c r="P291" s="3"/>
    </row>
    <row r="292" spans="1:17">
      <c r="A292" s="2" t="s">
        <v>514</v>
      </c>
      <c r="B292" s="2" t="s">
        <v>529</v>
      </c>
      <c r="C292" s="2" t="s">
        <v>530</v>
      </c>
      <c r="D292" s="2" t="s">
        <v>217</v>
      </c>
      <c r="E292" s="2" t="s">
        <v>534</v>
      </c>
      <c r="F292" s="2" t="s">
        <v>534</v>
      </c>
      <c r="G292" s="2" t="s">
        <v>529</v>
      </c>
      <c r="H292" s="2" t="s">
        <v>1005</v>
      </c>
      <c r="I292" s="2" t="s">
        <v>529</v>
      </c>
      <c r="J292" s="2" t="s">
        <v>217</v>
      </c>
      <c r="L292" s="17" t="s">
        <v>921</v>
      </c>
      <c r="M292" s="3" t="s">
        <v>892</v>
      </c>
      <c r="N292" s="3" t="s">
        <v>892</v>
      </c>
      <c r="O292" s="3" t="s">
        <v>873</v>
      </c>
      <c r="P292" s="3"/>
    </row>
    <row r="293" spans="1:17">
      <c r="A293" s="2" t="s">
        <v>514</v>
      </c>
      <c r="B293" s="2" t="s">
        <v>531</v>
      </c>
      <c r="C293" s="2" t="s">
        <v>532</v>
      </c>
      <c r="D293" s="2" t="s">
        <v>217</v>
      </c>
      <c r="E293" s="2" t="s">
        <v>534</v>
      </c>
      <c r="F293" s="2" t="s">
        <v>534</v>
      </c>
      <c r="G293" s="2" t="s">
        <v>531</v>
      </c>
      <c r="H293" s="2" t="s">
        <v>531</v>
      </c>
      <c r="J293" s="2" t="s">
        <v>217</v>
      </c>
      <c r="L293" s="17" t="s">
        <v>921</v>
      </c>
      <c r="M293" s="3" t="s">
        <v>892</v>
      </c>
      <c r="N293" s="3" t="s">
        <v>892</v>
      </c>
      <c r="O293" s="3" t="s">
        <v>873</v>
      </c>
      <c r="P293" s="3"/>
    </row>
    <row r="294" spans="1:17">
      <c r="A294" s="2" t="s">
        <v>508</v>
      </c>
      <c r="B294" s="2" t="s">
        <v>22</v>
      </c>
      <c r="C294" s="2" t="s">
        <v>533</v>
      </c>
      <c r="E294" s="2" t="s">
        <v>534</v>
      </c>
      <c r="F294" s="2" t="s">
        <v>534</v>
      </c>
      <c r="G294" s="2" t="s">
        <v>508</v>
      </c>
      <c r="H294" s="2" t="s">
        <v>1006</v>
      </c>
      <c r="I294" s="2" t="s">
        <v>22</v>
      </c>
      <c r="J294" s="2" t="s">
        <v>58</v>
      </c>
      <c r="L294" s="17" t="s">
        <v>921</v>
      </c>
      <c r="M294" s="3" t="s">
        <v>892</v>
      </c>
      <c r="N294" s="3" t="s">
        <v>892</v>
      </c>
      <c r="O294" s="3" t="s">
        <v>873</v>
      </c>
      <c r="P294" s="3"/>
    </row>
    <row r="295" spans="1:17">
      <c r="A295" s="8" t="s">
        <v>48</v>
      </c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9"/>
      <c r="N295" s="9"/>
      <c r="O295" s="9" t="s">
        <v>873</v>
      </c>
      <c r="P295" s="9"/>
    </row>
    <row r="296" spans="1:17">
      <c r="A296" s="2" t="s">
        <v>5</v>
      </c>
      <c r="B296" s="2" t="s">
        <v>6</v>
      </c>
      <c r="C296" s="2" t="s">
        <v>7</v>
      </c>
      <c r="D296" s="2" t="s">
        <v>8</v>
      </c>
      <c r="E296" s="2" t="s">
        <v>48</v>
      </c>
      <c r="F296" s="2" t="s">
        <v>48</v>
      </c>
      <c r="G296" s="2" t="str">
        <f t="shared" ref="G296:G317" si="12">A296&amp;" "&amp;K296</f>
        <v>Export values $m s.a.</v>
      </c>
      <c r="H296" s="2" t="str">
        <f>Q296&amp;" ("&amp;K296&amp;")"</f>
        <v>Values ($m s.a.)</v>
      </c>
      <c r="I296" s="2" t="s">
        <v>44</v>
      </c>
      <c r="J296" s="2" t="s">
        <v>816</v>
      </c>
      <c r="K296" s="2" t="s">
        <v>815</v>
      </c>
      <c r="L296" s="17" t="s">
        <v>921</v>
      </c>
      <c r="M296" s="3" t="s">
        <v>892</v>
      </c>
      <c r="N296" s="3" t="s">
        <v>892</v>
      </c>
      <c r="O296" s="3" t="s">
        <v>873</v>
      </c>
      <c r="P296" s="3"/>
      <c r="Q296" s="2" t="s">
        <v>854</v>
      </c>
    </row>
    <row r="297" spans="1:17">
      <c r="A297" s="2" t="s">
        <v>9</v>
      </c>
      <c r="B297" s="2" t="s">
        <v>6</v>
      </c>
      <c r="C297" s="2" t="s">
        <v>10</v>
      </c>
      <c r="D297" s="2" t="s">
        <v>8</v>
      </c>
      <c r="E297" s="2" t="s">
        <v>48</v>
      </c>
      <c r="F297" s="2" t="s">
        <v>48</v>
      </c>
      <c r="G297" s="2" t="str">
        <f t="shared" si="12"/>
        <v>Import values $m s.a.</v>
      </c>
      <c r="H297" s="2" t="str">
        <f t="shared" ref="H297:H317" si="13">Q297&amp;" ("&amp;K297&amp;")"</f>
        <v>Values ($m s.a.)</v>
      </c>
      <c r="I297" s="2" t="s">
        <v>45</v>
      </c>
      <c r="J297" s="2" t="s">
        <v>816</v>
      </c>
      <c r="K297" s="2" t="s">
        <v>815</v>
      </c>
      <c r="L297" s="2" t="s">
        <v>921</v>
      </c>
      <c r="M297" s="3" t="s">
        <v>892</v>
      </c>
      <c r="N297" s="3" t="s">
        <v>892</v>
      </c>
      <c r="O297" s="3" t="s">
        <v>873</v>
      </c>
      <c r="P297" s="3"/>
      <c r="Q297" s="2" t="s">
        <v>854</v>
      </c>
    </row>
    <row r="298" spans="1:17">
      <c r="A298" s="2" t="s">
        <v>5</v>
      </c>
      <c r="B298" s="2" t="s">
        <v>11</v>
      </c>
      <c r="C298" s="2" t="s">
        <v>12</v>
      </c>
      <c r="D298" s="2" t="s">
        <v>8</v>
      </c>
      <c r="E298" s="2" t="s">
        <v>48</v>
      </c>
      <c r="F298" s="2" t="s">
        <v>48</v>
      </c>
      <c r="G298" s="2" t="str">
        <f t="shared" si="12"/>
        <v>Export values $m</v>
      </c>
      <c r="H298" s="2" t="str">
        <f t="shared" si="13"/>
        <v>Values ($m)</v>
      </c>
      <c r="I298" s="2" t="s">
        <v>44</v>
      </c>
      <c r="J298" s="2" t="s">
        <v>816</v>
      </c>
      <c r="K298" s="2" t="s">
        <v>816</v>
      </c>
      <c r="L298" s="2" t="s">
        <v>921</v>
      </c>
      <c r="M298" s="3" t="s">
        <v>892</v>
      </c>
      <c r="N298" s="3" t="s">
        <v>892</v>
      </c>
      <c r="O298" s="3" t="s">
        <v>873</v>
      </c>
      <c r="P298" s="3"/>
      <c r="Q298" s="2" t="s">
        <v>854</v>
      </c>
    </row>
    <row r="299" spans="1:17">
      <c r="A299" s="2" t="s">
        <v>9</v>
      </c>
      <c r="B299" s="2" t="s">
        <v>11</v>
      </c>
      <c r="C299" s="2" t="s">
        <v>13</v>
      </c>
      <c r="D299" s="2" t="s">
        <v>8</v>
      </c>
      <c r="E299" s="2" t="s">
        <v>48</v>
      </c>
      <c r="F299" s="2" t="s">
        <v>48</v>
      </c>
      <c r="G299" s="2" t="str">
        <f t="shared" si="12"/>
        <v>Import values $m</v>
      </c>
      <c r="H299" s="2" t="str">
        <f t="shared" si="13"/>
        <v>Values ($m)</v>
      </c>
      <c r="I299" s="2" t="s">
        <v>45</v>
      </c>
      <c r="J299" s="2" t="s">
        <v>816</v>
      </c>
      <c r="K299" s="2" t="s">
        <v>816</v>
      </c>
      <c r="L299" s="2" t="s">
        <v>921</v>
      </c>
      <c r="M299" s="3" t="s">
        <v>892</v>
      </c>
      <c r="N299" s="3" t="s">
        <v>892</v>
      </c>
      <c r="O299" s="3" t="s">
        <v>873</v>
      </c>
      <c r="P299" s="3"/>
      <c r="Q299" s="2" t="s">
        <v>854</v>
      </c>
    </row>
    <row r="300" spans="1:17">
      <c r="A300" s="2" t="s">
        <v>5</v>
      </c>
      <c r="B300" s="2" t="s">
        <v>14</v>
      </c>
      <c r="C300" s="2" t="s">
        <v>15</v>
      </c>
      <c r="D300" s="2" t="s">
        <v>16</v>
      </c>
      <c r="E300" s="2" t="s">
        <v>48</v>
      </c>
      <c r="F300" s="2" t="s">
        <v>48</v>
      </c>
      <c r="G300" s="2" t="str">
        <f t="shared" si="12"/>
        <v>Export values q/q% s.a.</v>
      </c>
      <c r="H300" s="2" t="str">
        <f t="shared" si="13"/>
        <v>Values (q/q% s.a.)</v>
      </c>
      <c r="I300" s="2" t="s">
        <v>44</v>
      </c>
      <c r="J300" s="2" t="s">
        <v>16</v>
      </c>
      <c r="K300" s="2" t="s">
        <v>817</v>
      </c>
      <c r="L300" s="2" t="s">
        <v>908</v>
      </c>
      <c r="M300" s="3" t="s">
        <v>892</v>
      </c>
      <c r="N300" s="3" t="s">
        <v>892</v>
      </c>
      <c r="O300" s="3" t="s">
        <v>873</v>
      </c>
      <c r="P300" s="3"/>
      <c r="Q300" s="2" t="s">
        <v>854</v>
      </c>
    </row>
    <row r="301" spans="1:17">
      <c r="A301" s="2" t="s">
        <v>9</v>
      </c>
      <c r="B301" s="2" t="s">
        <v>14</v>
      </c>
      <c r="C301" s="2" t="s">
        <v>17</v>
      </c>
      <c r="D301" s="2" t="s">
        <v>16</v>
      </c>
      <c r="E301" s="2" t="s">
        <v>48</v>
      </c>
      <c r="F301" s="2" t="s">
        <v>48</v>
      </c>
      <c r="G301" s="2" t="str">
        <f t="shared" si="12"/>
        <v>Import values q/q% s.a.</v>
      </c>
      <c r="H301" s="2" t="str">
        <f t="shared" si="13"/>
        <v>Values (q/q% s.a.)</v>
      </c>
      <c r="I301" s="2" t="s">
        <v>45</v>
      </c>
      <c r="J301" s="2" t="s">
        <v>16</v>
      </c>
      <c r="K301" s="2" t="s">
        <v>817</v>
      </c>
      <c r="L301" s="2" t="s">
        <v>908</v>
      </c>
      <c r="M301" s="3" t="s">
        <v>892</v>
      </c>
      <c r="N301" s="3" t="s">
        <v>892</v>
      </c>
      <c r="O301" s="3" t="s">
        <v>873</v>
      </c>
      <c r="P301" s="3"/>
      <c r="Q301" s="2" t="s">
        <v>854</v>
      </c>
    </row>
    <row r="302" spans="1:17">
      <c r="A302" s="2" t="s">
        <v>5</v>
      </c>
      <c r="B302" s="2" t="s">
        <v>18</v>
      </c>
      <c r="C302" s="2" t="s">
        <v>19</v>
      </c>
      <c r="D302" s="2" t="s">
        <v>16</v>
      </c>
      <c r="E302" s="2" t="s">
        <v>48</v>
      </c>
      <c r="F302" s="2" t="s">
        <v>48</v>
      </c>
      <c r="G302" s="2" t="str">
        <f t="shared" si="12"/>
        <v>Export values y/y%</v>
      </c>
      <c r="H302" s="2" t="str">
        <f t="shared" si="13"/>
        <v>Values (y/y%)</v>
      </c>
      <c r="I302" s="2" t="s">
        <v>44</v>
      </c>
      <c r="J302" s="2" t="s">
        <v>16</v>
      </c>
      <c r="K302" s="2" t="s">
        <v>782</v>
      </c>
      <c r="L302" s="2" t="s">
        <v>908</v>
      </c>
      <c r="M302" s="3" t="s">
        <v>892</v>
      </c>
      <c r="N302" s="3" t="s">
        <v>892</v>
      </c>
      <c r="O302" s="3" t="s">
        <v>873</v>
      </c>
      <c r="P302" s="3"/>
      <c r="Q302" s="2" t="s">
        <v>854</v>
      </c>
    </row>
    <row r="303" spans="1:17">
      <c r="A303" s="2" t="s">
        <v>9</v>
      </c>
      <c r="B303" s="2" t="s">
        <v>18</v>
      </c>
      <c r="C303" s="2" t="s">
        <v>20</v>
      </c>
      <c r="D303" s="2" t="s">
        <v>16</v>
      </c>
      <c r="E303" s="2" t="s">
        <v>48</v>
      </c>
      <c r="F303" s="2" t="s">
        <v>48</v>
      </c>
      <c r="G303" s="2" t="str">
        <f t="shared" si="12"/>
        <v>Import values y/y%</v>
      </c>
      <c r="H303" s="2" t="str">
        <f t="shared" si="13"/>
        <v>Values (y/y%)</v>
      </c>
      <c r="I303" s="2" t="s">
        <v>45</v>
      </c>
      <c r="J303" s="2" t="s">
        <v>16</v>
      </c>
      <c r="K303" s="2" t="s">
        <v>782</v>
      </c>
      <c r="L303" s="2" t="s">
        <v>908</v>
      </c>
      <c r="M303" s="3" t="s">
        <v>892</v>
      </c>
      <c r="N303" s="3" t="s">
        <v>892</v>
      </c>
      <c r="O303" s="3" t="s">
        <v>873</v>
      </c>
      <c r="P303" s="3"/>
      <c r="Q303" s="2" t="s">
        <v>854</v>
      </c>
    </row>
    <row r="304" spans="1:17">
      <c r="A304" s="2" t="s">
        <v>21</v>
      </c>
      <c r="B304" s="2" t="s">
        <v>22</v>
      </c>
      <c r="C304" s="2" t="s">
        <v>23</v>
      </c>
      <c r="E304" s="2" t="s">
        <v>48</v>
      </c>
      <c r="F304" s="2" t="s">
        <v>48</v>
      </c>
      <c r="G304" s="2" t="str">
        <f t="shared" si="12"/>
        <v>Export prices Index</v>
      </c>
      <c r="H304" s="2" t="str">
        <f t="shared" si="13"/>
        <v>Prices (Index)</v>
      </c>
      <c r="I304" s="2" t="s">
        <v>44</v>
      </c>
      <c r="J304" s="2" t="s">
        <v>58</v>
      </c>
      <c r="K304" s="2" t="s">
        <v>58</v>
      </c>
      <c r="L304" s="2" t="s">
        <v>921</v>
      </c>
      <c r="M304" s="3" t="s">
        <v>892</v>
      </c>
      <c r="N304" s="3" t="s">
        <v>892</v>
      </c>
      <c r="O304" s="3" t="s">
        <v>873</v>
      </c>
      <c r="P304" s="3"/>
      <c r="Q304" s="2" t="s">
        <v>855</v>
      </c>
    </row>
    <row r="305" spans="1:17">
      <c r="A305" s="2" t="s">
        <v>24</v>
      </c>
      <c r="B305" s="2" t="s">
        <v>22</v>
      </c>
      <c r="C305" s="2" t="s">
        <v>25</v>
      </c>
      <c r="E305" s="2" t="s">
        <v>48</v>
      </c>
      <c r="F305" s="2" t="s">
        <v>48</v>
      </c>
      <c r="G305" s="2" t="str">
        <f t="shared" si="12"/>
        <v>Import prices Index</v>
      </c>
      <c r="H305" s="2" t="str">
        <f t="shared" si="13"/>
        <v>Prices (Index)</v>
      </c>
      <c r="I305" s="2" t="s">
        <v>45</v>
      </c>
      <c r="J305" s="2" t="s">
        <v>58</v>
      </c>
      <c r="K305" s="2" t="s">
        <v>58</v>
      </c>
      <c r="L305" s="2" t="s">
        <v>921</v>
      </c>
      <c r="M305" s="3" t="s">
        <v>892</v>
      </c>
      <c r="N305" s="3" t="s">
        <v>892</v>
      </c>
      <c r="O305" s="3" t="s">
        <v>873</v>
      </c>
      <c r="P305" s="3"/>
      <c r="Q305" s="2" t="s">
        <v>855</v>
      </c>
    </row>
    <row r="306" spans="1:17">
      <c r="A306" s="2" t="s">
        <v>21</v>
      </c>
      <c r="B306" s="2" t="s">
        <v>26</v>
      </c>
      <c r="C306" s="2" t="s">
        <v>27</v>
      </c>
      <c r="D306" s="2" t="s">
        <v>16</v>
      </c>
      <c r="E306" s="2" t="s">
        <v>48</v>
      </c>
      <c r="F306" s="2" t="s">
        <v>48</v>
      </c>
      <c r="G306" s="2" t="str">
        <f t="shared" si="12"/>
        <v>Export prices q/q%</v>
      </c>
      <c r="H306" s="2" t="str">
        <f t="shared" si="13"/>
        <v>Prices (q/q%)</v>
      </c>
      <c r="I306" s="2" t="s">
        <v>44</v>
      </c>
      <c r="J306" s="2" t="s">
        <v>16</v>
      </c>
      <c r="K306" s="2" t="s">
        <v>781</v>
      </c>
      <c r="L306" s="2" t="s">
        <v>908</v>
      </c>
      <c r="M306" s="3" t="s">
        <v>892</v>
      </c>
      <c r="N306" s="3" t="s">
        <v>892</v>
      </c>
      <c r="O306" s="3" t="s">
        <v>873</v>
      </c>
      <c r="P306" s="3"/>
      <c r="Q306" s="2" t="s">
        <v>855</v>
      </c>
    </row>
    <row r="307" spans="1:17">
      <c r="A307" s="2" t="s">
        <v>24</v>
      </c>
      <c r="B307" s="2" t="s">
        <v>26</v>
      </c>
      <c r="C307" s="2" t="s">
        <v>28</v>
      </c>
      <c r="D307" s="2" t="s">
        <v>16</v>
      </c>
      <c r="E307" s="2" t="s">
        <v>48</v>
      </c>
      <c r="F307" s="2" t="s">
        <v>48</v>
      </c>
      <c r="G307" s="2" t="str">
        <f t="shared" si="12"/>
        <v>Import prices q/q%</v>
      </c>
      <c r="H307" s="2" t="str">
        <f t="shared" si="13"/>
        <v>Prices (q/q%)</v>
      </c>
      <c r="I307" s="2" t="s">
        <v>45</v>
      </c>
      <c r="J307" s="2" t="s">
        <v>16</v>
      </c>
      <c r="K307" s="2" t="s">
        <v>781</v>
      </c>
      <c r="L307" s="2" t="s">
        <v>908</v>
      </c>
      <c r="M307" s="3" t="s">
        <v>892</v>
      </c>
      <c r="N307" s="3" t="s">
        <v>892</v>
      </c>
      <c r="O307" s="3" t="s">
        <v>873</v>
      </c>
      <c r="P307" s="3"/>
      <c r="Q307" s="2" t="s">
        <v>855</v>
      </c>
    </row>
    <row r="308" spans="1:17">
      <c r="A308" s="2" t="s">
        <v>21</v>
      </c>
      <c r="B308" s="2" t="s">
        <v>18</v>
      </c>
      <c r="C308" s="2" t="s">
        <v>29</v>
      </c>
      <c r="D308" s="2" t="s">
        <v>16</v>
      </c>
      <c r="E308" s="2" t="s">
        <v>48</v>
      </c>
      <c r="F308" s="2" t="s">
        <v>48</v>
      </c>
      <c r="G308" s="2" t="str">
        <f t="shared" si="12"/>
        <v>Export prices y/y%</v>
      </c>
      <c r="H308" s="2" t="str">
        <f t="shared" si="13"/>
        <v>Prices (y/y%)</v>
      </c>
      <c r="I308" s="2" t="s">
        <v>44</v>
      </c>
      <c r="J308" s="2" t="s">
        <v>16</v>
      </c>
      <c r="K308" s="2" t="s">
        <v>782</v>
      </c>
      <c r="L308" s="2" t="s">
        <v>908</v>
      </c>
      <c r="M308" s="3" t="s">
        <v>892</v>
      </c>
      <c r="N308" s="3" t="s">
        <v>892</v>
      </c>
      <c r="O308" s="3" t="s">
        <v>873</v>
      </c>
      <c r="P308" s="3"/>
      <c r="Q308" s="2" t="s">
        <v>855</v>
      </c>
    </row>
    <row r="309" spans="1:17">
      <c r="A309" s="2" t="s">
        <v>24</v>
      </c>
      <c r="B309" s="2" t="s">
        <v>18</v>
      </c>
      <c r="C309" s="2" t="s">
        <v>30</v>
      </c>
      <c r="D309" s="2" t="s">
        <v>16</v>
      </c>
      <c r="E309" s="2" t="s">
        <v>48</v>
      </c>
      <c r="F309" s="2" t="s">
        <v>48</v>
      </c>
      <c r="G309" s="2" t="str">
        <f t="shared" si="12"/>
        <v>Import prices y/y%</v>
      </c>
      <c r="H309" s="2" t="str">
        <f t="shared" si="13"/>
        <v>Prices (y/y%)</v>
      </c>
      <c r="I309" s="2" t="s">
        <v>45</v>
      </c>
      <c r="J309" s="2" t="s">
        <v>16</v>
      </c>
      <c r="K309" s="2" t="s">
        <v>782</v>
      </c>
      <c r="L309" s="2" t="s">
        <v>908</v>
      </c>
      <c r="M309" s="3" t="s">
        <v>892</v>
      </c>
      <c r="N309" s="3" t="s">
        <v>892</v>
      </c>
      <c r="O309" s="3" t="s">
        <v>873</v>
      </c>
      <c r="P309" s="3"/>
      <c r="Q309" s="2" t="s">
        <v>855</v>
      </c>
    </row>
    <row r="310" spans="1:17">
      <c r="A310" s="2" t="s">
        <v>31</v>
      </c>
      <c r="B310" s="2" t="s">
        <v>22</v>
      </c>
      <c r="C310" s="2" t="s">
        <v>32</v>
      </c>
      <c r="E310" s="2" t="s">
        <v>48</v>
      </c>
      <c r="F310" s="2" t="s">
        <v>48</v>
      </c>
      <c r="G310" s="2" t="str">
        <f t="shared" si="12"/>
        <v>Export volumes Index</v>
      </c>
      <c r="H310" s="2" t="str">
        <f t="shared" si="13"/>
        <v>Volumes (Index)</v>
      </c>
      <c r="I310" s="2" t="s">
        <v>44</v>
      </c>
      <c r="J310" s="2" t="s">
        <v>58</v>
      </c>
      <c r="K310" s="2" t="s">
        <v>58</v>
      </c>
      <c r="L310" s="2" t="s">
        <v>921</v>
      </c>
      <c r="M310" s="3" t="s">
        <v>892</v>
      </c>
      <c r="N310" s="3" t="s">
        <v>892</v>
      </c>
      <c r="O310" s="3" t="s">
        <v>873</v>
      </c>
      <c r="P310" s="3"/>
      <c r="Q310" s="2" t="s">
        <v>856</v>
      </c>
    </row>
    <row r="311" spans="1:17">
      <c r="A311" s="2" t="s">
        <v>33</v>
      </c>
      <c r="B311" s="2" t="s">
        <v>22</v>
      </c>
      <c r="C311" s="2" t="s">
        <v>34</v>
      </c>
      <c r="E311" s="2" t="s">
        <v>48</v>
      </c>
      <c r="F311" s="2" t="s">
        <v>48</v>
      </c>
      <c r="G311" s="2" t="str">
        <f t="shared" si="12"/>
        <v>Import volumes Index</v>
      </c>
      <c r="H311" s="2" t="str">
        <f t="shared" si="13"/>
        <v>Volumes (Index)</v>
      </c>
      <c r="I311" s="2" t="s">
        <v>45</v>
      </c>
      <c r="J311" s="2" t="s">
        <v>58</v>
      </c>
      <c r="K311" s="2" t="s">
        <v>58</v>
      </c>
      <c r="L311" s="2" t="s">
        <v>921</v>
      </c>
      <c r="M311" s="3" t="s">
        <v>892</v>
      </c>
      <c r="N311" s="3" t="s">
        <v>892</v>
      </c>
      <c r="O311" s="3" t="s">
        <v>873</v>
      </c>
      <c r="P311" s="3"/>
      <c r="Q311" s="2" t="s">
        <v>856</v>
      </c>
    </row>
    <row r="312" spans="1:17">
      <c r="A312" s="2" t="s">
        <v>31</v>
      </c>
      <c r="B312" s="2" t="s">
        <v>14</v>
      </c>
      <c r="C312" s="2" t="s">
        <v>35</v>
      </c>
      <c r="D312" s="2" t="s">
        <v>16</v>
      </c>
      <c r="E312" s="2" t="s">
        <v>48</v>
      </c>
      <c r="F312" s="2" t="s">
        <v>48</v>
      </c>
      <c r="G312" s="2" t="str">
        <f t="shared" si="12"/>
        <v>Export volumes q/q% s.a.</v>
      </c>
      <c r="H312" s="2" t="str">
        <f t="shared" si="13"/>
        <v>Volumes (q/q% s.a.)</v>
      </c>
      <c r="I312" s="2" t="s">
        <v>44</v>
      </c>
      <c r="J312" s="2" t="s">
        <v>16</v>
      </c>
      <c r="K312" s="2" t="s">
        <v>817</v>
      </c>
      <c r="L312" s="2" t="s">
        <v>908</v>
      </c>
      <c r="M312" s="3" t="s">
        <v>892</v>
      </c>
      <c r="N312" s="3" t="s">
        <v>892</v>
      </c>
      <c r="O312" s="3" t="s">
        <v>873</v>
      </c>
      <c r="P312" s="3"/>
      <c r="Q312" s="2" t="s">
        <v>856</v>
      </c>
    </row>
    <row r="313" spans="1:17">
      <c r="A313" s="2" t="s">
        <v>33</v>
      </c>
      <c r="B313" s="2" t="s">
        <v>14</v>
      </c>
      <c r="C313" s="2" t="s">
        <v>36</v>
      </c>
      <c r="D313" s="2" t="s">
        <v>16</v>
      </c>
      <c r="E313" s="2" t="s">
        <v>48</v>
      </c>
      <c r="F313" s="2" t="s">
        <v>48</v>
      </c>
      <c r="G313" s="2" t="str">
        <f t="shared" si="12"/>
        <v>Import volumes q/q% s.a.</v>
      </c>
      <c r="H313" s="2" t="str">
        <f t="shared" si="13"/>
        <v>Volumes (q/q% s.a.)</v>
      </c>
      <c r="I313" s="2" t="s">
        <v>45</v>
      </c>
      <c r="J313" s="2" t="s">
        <v>16</v>
      </c>
      <c r="K313" s="2" t="s">
        <v>817</v>
      </c>
      <c r="L313" s="2" t="s">
        <v>908</v>
      </c>
      <c r="M313" s="3" t="s">
        <v>892</v>
      </c>
      <c r="N313" s="3" t="s">
        <v>892</v>
      </c>
      <c r="O313" s="3" t="s">
        <v>873</v>
      </c>
      <c r="P313" s="3"/>
      <c r="Q313" s="2" t="s">
        <v>856</v>
      </c>
    </row>
    <row r="314" spans="1:17">
      <c r="A314" s="2" t="s">
        <v>31</v>
      </c>
      <c r="B314" s="2" t="s">
        <v>18</v>
      </c>
      <c r="C314" s="2" t="s">
        <v>37</v>
      </c>
      <c r="D314" s="2" t="s">
        <v>16</v>
      </c>
      <c r="E314" s="2" t="s">
        <v>48</v>
      </c>
      <c r="F314" s="2" t="s">
        <v>48</v>
      </c>
      <c r="G314" s="2" t="str">
        <f t="shared" si="12"/>
        <v>Export volumes y/y%</v>
      </c>
      <c r="H314" s="2" t="str">
        <f t="shared" si="13"/>
        <v>Volumes (y/y%)</v>
      </c>
      <c r="I314" s="2" t="s">
        <v>44</v>
      </c>
      <c r="J314" s="2" t="s">
        <v>16</v>
      </c>
      <c r="K314" s="2" t="s">
        <v>782</v>
      </c>
      <c r="L314" s="2" t="s">
        <v>908</v>
      </c>
      <c r="M314" s="3" t="s">
        <v>892</v>
      </c>
      <c r="N314" s="3" t="s">
        <v>892</v>
      </c>
      <c r="O314" s="3" t="s">
        <v>873</v>
      </c>
      <c r="P314" s="3"/>
      <c r="Q314" s="2" t="s">
        <v>856</v>
      </c>
    </row>
    <row r="315" spans="1:17">
      <c r="A315" s="2" t="s">
        <v>33</v>
      </c>
      <c r="B315" s="2" t="s">
        <v>18</v>
      </c>
      <c r="C315" s="2" t="s">
        <v>38</v>
      </c>
      <c r="D315" s="2" t="s">
        <v>16</v>
      </c>
      <c r="E315" s="2" t="s">
        <v>48</v>
      </c>
      <c r="F315" s="2" t="s">
        <v>48</v>
      </c>
      <c r="G315" s="2" t="str">
        <f t="shared" si="12"/>
        <v>Import volumes y/y%</v>
      </c>
      <c r="H315" s="2" t="str">
        <f t="shared" si="13"/>
        <v>Volumes (y/y%)</v>
      </c>
      <c r="I315" s="2" t="s">
        <v>45</v>
      </c>
      <c r="J315" s="2" t="s">
        <v>16</v>
      </c>
      <c r="K315" s="2" t="s">
        <v>782</v>
      </c>
      <c r="L315" s="2" t="s">
        <v>908</v>
      </c>
      <c r="M315" s="3" t="s">
        <v>892</v>
      </c>
      <c r="N315" s="3" t="s">
        <v>892</v>
      </c>
      <c r="O315" s="3" t="s">
        <v>873</v>
      </c>
      <c r="P315" s="3"/>
      <c r="Q315" s="2" t="s">
        <v>856</v>
      </c>
    </row>
    <row r="316" spans="1:17">
      <c r="A316" s="2" t="s">
        <v>31</v>
      </c>
      <c r="B316" s="2" t="s">
        <v>39</v>
      </c>
      <c r="C316" s="2" t="s">
        <v>40</v>
      </c>
      <c r="E316" s="2" t="s">
        <v>48</v>
      </c>
      <c r="F316" s="2" t="s">
        <v>48</v>
      </c>
      <c r="G316" s="2" t="str">
        <f t="shared" si="12"/>
        <v>Export volumes Index s.a.</v>
      </c>
      <c r="H316" s="2" t="str">
        <f t="shared" si="13"/>
        <v>Volumes (Index s.a.)</v>
      </c>
      <c r="I316" s="2" t="s">
        <v>44</v>
      </c>
      <c r="J316" s="2" t="s">
        <v>58</v>
      </c>
      <c r="K316" s="2" t="s">
        <v>857</v>
      </c>
      <c r="L316" s="2" t="s">
        <v>921</v>
      </c>
      <c r="M316" s="3" t="s">
        <v>892</v>
      </c>
      <c r="N316" s="3" t="s">
        <v>892</v>
      </c>
      <c r="O316" s="3" t="s">
        <v>873</v>
      </c>
      <c r="P316" s="3"/>
      <c r="Q316" s="2" t="s">
        <v>856</v>
      </c>
    </row>
    <row r="317" spans="1:17">
      <c r="A317" s="2" t="s">
        <v>33</v>
      </c>
      <c r="B317" s="2" t="s">
        <v>39</v>
      </c>
      <c r="C317" s="2" t="s">
        <v>41</v>
      </c>
      <c r="E317" s="2" t="s">
        <v>48</v>
      </c>
      <c r="F317" s="2" t="s">
        <v>48</v>
      </c>
      <c r="G317" s="2" t="str">
        <f t="shared" si="12"/>
        <v>Import volumes Index s.a.</v>
      </c>
      <c r="H317" s="2" t="str">
        <f t="shared" si="13"/>
        <v>Volumes (Index s.a.)</v>
      </c>
      <c r="I317" s="2" t="s">
        <v>45</v>
      </c>
      <c r="J317" s="2" t="s">
        <v>58</v>
      </c>
      <c r="K317" s="2" t="s">
        <v>857</v>
      </c>
      <c r="L317" s="2" t="s">
        <v>921</v>
      </c>
      <c r="M317" s="3" t="s">
        <v>892</v>
      </c>
      <c r="N317" s="3" t="s">
        <v>892</v>
      </c>
      <c r="O317" s="3" t="s">
        <v>873</v>
      </c>
      <c r="P317" s="3"/>
      <c r="Q317" s="2" t="s">
        <v>856</v>
      </c>
    </row>
    <row r="318" spans="1:17">
      <c r="A318" s="8" t="s">
        <v>577</v>
      </c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 t="s">
        <v>731</v>
      </c>
      <c r="M318" s="9" t="s">
        <v>52</v>
      </c>
      <c r="N318" s="9" t="s">
        <v>53</v>
      </c>
      <c r="O318" s="9" t="s">
        <v>873</v>
      </c>
      <c r="P318" s="9"/>
    </row>
    <row r="319" spans="1:17">
      <c r="A319" s="2" t="s">
        <v>535</v>
      </c>
      <c r="B319" s="2" t="s">
        <v>536</v>
      </c>
      <c r="C319" s="2" t="s">
        <v>537</v>
      </c>
      <c r="D319" s="2" t="s">
        <v>16</v>
      </c>
      <c r="E319" s="2" t="s">
        <v>577</v>
      </c>
      <c r="F319" s="2" t="s">
        <v>577</v>
      </c>
      <c r="G319" s="2" t="str">
        <f>I319&amp;" - "&amp;K319</f>
        <v>Labour force participation rate	 - % s.a.</v>
      </c>
      <c r="H319" s="2" t="s">
        <v>1007</v>
      </c>
      <c r="I319" s="2" t="s">
        <v>535</v>
      </c>
      <c r="J319" s="2" t="s">
        <v>1025</v>
      </c>
      <c r="K319" s="2" t="s">
        <v>348</v>
      </c>
      <c r="L319" s="2" t="s">
        <v>908</v>
      </c>
      <c r="M319" s="3" t="s">
        <v>892</v>
      </c>
      <c r="N319" s="3" t="s">
        <v>892</v>
      </c>
      <c r="O319" s="3" t="s">
        <v>873</v>
      </c>
      <c r="P319" s="3"/>
    </row>
    <row r="320" spans="1:17">
      <c r="A320" s="2" t="s">
        <v>538</v>
      </c>
      <c r="B320" s="2" t="s">
        <v>536</v>
      </c>
      <c r="C320" s="2" t="s">
        <v>539</v>
      </c>
      <c r="D320" s="2" t="s">
        <v>16</v>
      </c>
      <c r="E320" s="2" t="s">
        <v>577</v>
      </c>
      <c r="F320" s="2" t="s">
        <v>577</v>
      </c>
      <c r="G320" s="2" t="str">
        <f t="shared" ref="G320:G341" si="14">I320&amp;" - "&amp;K320</f>
        <v>Unemployment rate	 - % s.a.</v>
      </c>
      <c r="H320" s="2" t="s">
        <v>1008</v>
      </c>
      <c r="I320" s="2" t="s">
        <v>538</v>
      </c>
      <c r="J320" s="2" t="s">
        <v>1025</v>
      </c>
      <c r="K320" s="2" t="s">
        <v>348</v>
      </c>
      <c r="L320" s="2" t="s">
        <v>908</v>
      </c>
      <c r="M320" s="3" t="s">
        <v>892</v>
      </c>
      <c r="N320" s="3" t="s">
        <v>892</v>
      </c>
      <c r="O320" s="3" t="s">
        <v>873</v>
      </c>
      <c r="P320" s="3"/>
    </row>
    <row r="321" spans="1:16">
      <c r="A321" s="2" t="s">
        <v>540</v>
      </c>
      <c r="B321" s="2" t="s">
        <v>541</v>
      </c>
      <c r="C321" s="2" t="s">
        <v>542</v>
      </c>
      <c r="D321" s="2" t="s">
        <v>543</v>
      </c>
      <c r="E321" s="2" t="s">
        <v>577</v>
      </c>
      <c r="F321" s="2" t="s">
        <v>577</v>
      </c>
      <c r="G321" s="2" t="str">
        <f t="shared" si="14"/>
        <v>Not in labour force - 000s s.a.</v>
      </c>
      <c r="H321" s="2" t="s">
        <v>540</v>
      </c>
      <c r="I321" s="2" t="s">
        <v>540</v>
      </c>
      <c r="J321" s="2" t="s">
        <v>860</v>
      </c>
      <c r="K321" s="2" t="s">
        <v>858</v>
      </c>
      <c r="L321" s="2" t="s">
        <v>921</v>
      </c>
      <c r="M321" s="3" t="s">
        <v>892</v>
      </c>
      <c r="N321" s="3" t="s">
        <v>892</v>
      </c>
      <c r="O321" s="3" t="s">
        <v>873</v>
      </c>
      <c r="P321" s="3"/>
    </row>
    <row r="322" spans="1:16">
      <c r="A322" s="2" t="s">
        <v>544</v>
      </c>
      <c r="B322" s="2" t="s">
        <v>541</v>
      </c>
      <c r="C322" s="2" t="s">
        <v>545</v>
      </c>
      <c r="D322" s="2" t="s">
        <v>543</v>
      </c>
      <c r="E322" s="2" t="s">
        <v>577</v>
      </c>
      <c r="F322" s="2" t="s">
        <v>577</v>
      </c>
      <c r="G322" s="2" t="str">
        <f t="shared" si="14"/>
        <v>Working-age population - 000s s.a.</v>
      </c>
      <c r="H322" s="2" t="s">
        <v>544</v>
      </c>
      <c r="I322" s="2" t="s">
        <v>544</v>
      </c>
      <c r="J322" s="2" t="s">
        <v>860</v>
      </c>
      <c r="K322" s="2" t="s">
        <v>858</v>
      </c>
      <c r="L322" s="2" t="s">
        <v>921</v>
      </c>
      <c r="M322" s="3" t="s">
        <v>892</v>
      </c>
      <c r="N322" s="3" t="s">
        <v>892</v>
      </c>
      <c r="O322" s="3" t="s">
        <v>873</v>
      </c>
      <c r="P322" s="3"/>
    </row>
    <row r="323" spans="1:16">
      <c r="A323" s="2" t="s">
        <v>546</v>
      </c>
      <c r="B323" s="2" t="s">
        <v>22</v>
      </c>
      <c r="C323" s="2" t="s">
        <v>547</v>
      </c>
      <c r="D323" s="2" t="s">
        <v>58</v>
      </c>
      <c r="E323" s="2" t="s">
        <v>577</v>
      </c>
      <c r="F323" s="2" t="s">
        <v>577</v>
      </c>
      <c r="G323" s="2" t="str">
        <f t="shared" si="14"/>
        <v>Labour cost index (LCI) - Index</v>
      </c>
      <c r="H323" s="2" t="s">
        <v>1009</v>
      </c>
      <c r="I323" s="2" t="s">
        <v>546</v>
      </c>
      <c r="J323" s="2" t="s">
        <v>58</v>
      </c>
      <c r="K323" s="2" t="s">
        <v>58</v>
      </c>
      <c r="L323" s="2" t="s">
        <v>921</v>
      </c>
      <c r="M323" s="3" t="s">
        <v>892</v>
      </c>
      <c r="N323" s="3" t="s">
        <v>892</v>
      </c>
      <c r="O323" s="3" t="s">
        <v>873</v>
      </c>
      <c r="P323" s="3"/>
    </row>
    <row r="324" spans="1:16">
      <c r="A324" s="2" t="s">
        <v>546</v>
      </c>
      <c r="B324" s="2" t="s">
        <v>18</v>
      </c>
      <c r="C324" s="2" t="s">
        <v>548</v>
      </c>
      <c r="D324" s="2" t="s">
        <v>16</v>
      </c>
      <c r="E324" s="2" t="s">
        <v>577</v>
      </c>
      <c r="F324" s="2" t="s">
        <v>577</v>
      </c>
      <c r="G324" s="2" t="str">
        <f t="shared" si="14"/>
        <v>Labour cost index (LCI) - y/y%</v>
      </c>
      <c r="H324" s="2" t="s">
        <v>1010</v>
      </c>
      <c r="I324" s="2" t="s">
        <v>546</v>
      </c>
      <c r="J324" s="2" t="s">
        <v>16</v>
      </c>
      <c r="K324" s="2" t="s">
        <v>782</v>
      </c>
      <c r="L324" s="2" t="s">
        <v>908</v>
      </c>
      <c r="M324" s="3" t="s">
        <v>892</v>
      </c>
      <c r="N324" s="3" t="s">
        <v>892</v>
      </c>
      <c r="O324" s="3" t="s">
        <v>873</v>
      </c>
      <c r="P324" s="3"/>
    </row>
    <row r="325" spans="1:16">
      <c r="A325" s="2" t="s">
        <v>540</v>
      </c>
      <c r="B325" s="2" t="s">
        <v>18</v>
      </c>
      <c r="C325" s="2" t="s">
        <v>549</v>
      </c>
      <c r="D325" s="2" t="s">
        <v>16</v>
      </c>
      <c r="E325" s="2" t="s">
        <v>577</v>
      </c>
      <c r="F325" s="2" t="s">
        <v>577</v>
      </c>
      <c r="G325" s="2" t="str">
        <f t="shared" si="14"/>
        <v>Not in labour force - y/y%</v>
      </c>
      <c r="H325" s="2" t="s">
        <v>1011</v>
      </c>
      <c r="I325" s="2" t="s">
        <v>540</v>
      </c>
      <c r="J325" s="2" t="s">
        <v>1024</v>
      </c>
      <c r="K325" s="2" t="s">
        <v>782</v>
      </c>
      <c r="L325" s="2" t="s">
        <v>908</v>
      </c>
      <c r="M325" s="3" t="s">
        <v>892</v>
      </c>
      <c r="N325" s="3" t="s">
        <v>892</v>
      </c>
      <c r="O325" s="3" t="s">
        <v>873</v>
      </c>
      <c r="P325" s="3"/>
    </row>
    <row r="326" spans="1:16">
      <c r="A326" s="2" t="s">
        <v>544</v>
      </c>
      <c r="B326" s="2" t="s">
        <v>18</v>
      </c>
      <c r="C326" s="2" t="s">
        <v>550</v>
      </c>
      <c r="D326" s="2" t="s">
        <v>16</v>
      </c>
      <c r="E326" s="2" t="s">
        <v>577</v>
      </c>
      <c r="F326" s="2" t="s">
        <v>577</v>
      </c>
      <c r="G326" s="2" t="str">
        <f t="shared" si="14"/>
        <v>Working-age population - y/y%</v>
      </c>
      <c r="H326" s="2" t="s">
        <v>1012</v>
      </c>
      <c r="I326" s="2" t="s">
        <v>544</v>
      </c>
      <c r="J326" s="2" t="s">
        <v>1025</v>
      </c>
      <c r="K326" s="2" t="s">
        <v>782</v>
      </c>
      <c r="L326" s="2" t="s">
        <v>908</v>
      </c>
      <c r="M326" s="3" t="s">
        <v>892</v>
      </c>
      <c r="N326" s="3" t="s">
        <v>892</v>
      </c>
      <c r="O326" s="3" t="s">
        <v>873</v>
      </c>
      <c r="P326" s="3"/>
    </row>
    <row r="327" spans="1:16">
      <c r="A327" s="2" t="s">
        <v>551</v>
      </c>
      <c r="B327" s="2" t="s">
        <v>552</v>
      </c>
      <c r="C327" s="2" t="s">
        <v>553</v>
      </c>
      <c r="D327" s="2" t="s">
        <v>16</v>
      </c>
      <c r="E327" s="2" t="s">
        <v>577</v>
      </c>
      <c r="F327" s="2" t="s">
        <v>577</v>
      </c>
      <c r="G327" s="2" t="str">
        <f t="shared" si="14"/>
        <v>Labour force - Employed (y/y%)</v>
      </c>
      <c r="H327" s="2" t="s">
        <v>552</v>
      </c>
      <c r="I327" s="2" t="s">
        <v>551</v>
      </c>
      <c r="J327" s="2" t="s">
        <v>1025</v>
      </c>
      <c r="K327" s="2" t="s">
        <v>552</v>
      </c>
      <c r="L327" s="2" t="s">
        <v>908</v>
      </c>
      <c r="M327" s="3" t="s">
        <v>892</v>
      </c>
      <c r="N327" s="3" t="s">
        <v>892</v>
      </c>
      <c r="O327" s="3" t="s">
        <v>873</v>
      </c>
      <c r="P327" s="3"/>
    </row>
    <row r="328" spans="1:16">
      <c r="A328" s="2" t="s">
        <v>551</v>
      </c>
      <c r="B328" s="2" t="s">
        <v>554</v>
      </c>
      <c r="C328" s="2" t="s">
        <v>555</v>
      </c>
      <c r="D328" s="2" t="s">
        <v>16</v>
      </c>
      <c r="E328" s="2" t="s">
        <v>577</v>
      </c>
      <c r="F328" s="2" t="s">
        <v>577</v>
      </c>
      <c r="G328" s="2" t="str">
        <f t="shared" si="14"/>
        <v>Labour force - Unemployed (y/y%)</v>
      </c>
      <c r="H328" s="2" t="s">
        <v>554</v>
      </c>
      <c r="I328" s="2" t="s">
        <v>551</v>
      </c>
      <c r="J328" s="2" t="s">
        <v>1025</v>
      </c>
      <c r="K328" s="2" t="s">
        <v>554</v>
      </c>
      <c r="L328" s="2" t="s">
        <v>908</v>
      </c>
      <c r="M328" s="3" t="s">
        <v>892</v>
      </c>
      <c r="N328" s="3" t="s">
        <v>892</v>
      </c>
      <c r="O328" s="3" t="s">
        <v>873</v>
      </c>
      <c r="P328" s="3"/>
    </row>
    <row r="329" spans="1:16">
      <c r="A329" s="2" t="s">
        <v>551</v>
      </c>
      <c r="B329" s="2" t="s">
        <v>556</v>
      </c>
      <c r="C329" s="2" t="s">
        <v>557</v>
      </c>
      <c r="D329" s="2" t="s">
        <v>16</v>
      </c>
      <c r="E329" s="2" t="s">
        <v>577</v>
      </c>
      <c r="F329" s="2" t="s">
        <v>577</v>
      </c>
      <c r="G329" s="2" t="str">
        <f t="shared" si="14"/>
        <v>Labour force - Total (y/y%)</v>
      </c>
      <c r="H329" s="2" t="s">
        <v>556</v>
      </c>
      <c r="I329" s="2" t="s">
        <v>551</v>
      </c>
      <c r="J329" s="2" t="s">
        <v>1025</v>
      </c>
      <c r="K329" s="2" t="s">
        <v>556</v>
      </c>
      <c r="L329" s="2" t="s">
        <v>908</v>
      </c>
      <c r="M329" s="3" t="s">
        <v>892</v>
      </c>
      <c r="N329" s="3" t="s">
        <v>892</v>
      </c>
      <c r="O329" s="3" t="s">
        <v>873</v>
      </c>
      <c r="P329" s="3"/>
    </row>
    <row r="330" spans="1:16">
      <c r="A330" s="2" t="s">
        <v>551</v>
      </c>
      <c r="B330" s="2" t="s">
        <v>558</v>
      </c>
      <c r="C330" s="2" t="s">
        <v>559</v>
      </c>
      <c r="D330" s="2" t="s">
        <v>543</v>
      </c>
      <c r="E330" s="2" t="s">
        <v>577</v>
      </c>
      <c r="F330" s="2" t="s">
        <v>577</v>
      </c>
      <c r="G330" s="2" t="str">
        <f t="shared" si="14"/>
        <v>Labour force - Employed (000s s.a.)</v>
      </c>
      <c r="H330" s="2" t="s">
        <v>558</v>
      </c>
      <c r="I330" s="2" t="s">
        <v>551</v>
      </c>
      <c r="J330" s="2" t="s">
        <v>860</v>
      </c>
      <c r="K330" s="2" t="s">
        <v>558</v>
      </c>
      <c r="L330" s="2" t="s">
        <v>921</v>
      </c>
      <c r="M330" s="3" t="s">
        <v>892</v>
      </c>
      <c r="N330" s="3" t="s">
        <v>892</v>
      </c>
      <c r="O330" s="3" t="s">
        <v>873</v>
      </c>
      <c r="P330" s="3"/>
    </row>
    <row r="331" spans="1:16">
      <c r="A331" s="2" t="s">
        <v>551</v>
      </c>
      <c r="B331" s="2" t="s">
        <v>560</v>
      </c>
      <c r="C331" s="2" t="s">
        <v>561</v>
      </c>
      <c r="D331" s="2" t="s">
        <v>543</v>
      </c>
      <c r="E331" s="2" t="s">
        <v>577</v>
      </c>
      <c r="F331" s="2" t="s">
        <v>577</v>
      </c>
      <c r="G331" s="2" t="str">
        <f t="shared" si="14"/>
        <v>Labour force - Unemployed (000s s.a.)</v>
      </c>
      <c r="H331" s="2" t="s">
        <v>560</v>
      </c>
      <c r="I331" s="2" t="s">
        <v>551</v>
      </c>
      <c r="J331" s="2" t="s">
        <v>860</v>
      </c>
      <c r="K331" s="2" t="s">
        <v>560</v>
      </c>
      <c r="L331" s="2" t="s">
        <v>921</v>
      </c>
      <c r="M331" s="3" t="s">
        <v>892</v>
      </c>
      <c r="N331" s="3" t="s">
        <v>892</v>
      </c>
      <c r="O331" s="3" t="s">
        <v>873</v>
      </c>
      <c r="P331" s="3"/>
    </row>
    <row r="332" spans="1:16">
      <c r="A332" s="2" t="s">
        <v>551</v>
      </c>
      <c r="B332" s="2" t="s">
        <v>562</v>
      </c>
      <c r="C332" s="2" t="s">
        <v>563</v>
      </c>
      <c r="D332" s="2" t="s">
        <v>543</v>
      </c>
      <c r="E332" s="2" t="s">
        <v>577</v>
      </c>
      <c r="F332" s="2" t="s">
        <v>577</v>
      </c>
      <c r="G332" s="2" t="str">
        <f t="shared" si="14"/>
        <v>Labour force - Total (000s s.a.)</v>
      </c>
      <c r="H332" s="2" t="s">
        <v>1022</v>
      </c>
      <c r="I332" s="2" t="s">
        <v>551</v>
      </c>
      <c r="J332" s="2" t="s">
        <v>860</v>
      </c>
      <c r="K332" s="2" t="s">
        <v>562</v>
      </c>
      <c r="L332" s="2" t="s">
        <v>921</v>
      </c>
      <c r="M332" s="3" t="s">
        <v>892</v>
      </c>
      <c r="N332" s="3" t="s">
        <v>892</v>
      </c>
      <c r="O332" s="3" t="s">
        <v>873</v>
      </c>
      <c r="P332" s="3"/>
    </row>
    <row r="333" spans="1:16">
      <c r="A333" s="2" t="s">
        <v>564</v>
      </c>
      <c r="B333" s="2" t="s">
        <v>565</v>
      </c>
      <c r="C333" s="2" t="s">
        <v>566</v>
      </c>
      <c r="E333" s="2" t="s">
        <v>577</v>
      </c>
      <c r="F333" s="2" t="s">
        <v>577</v>
      </c>
      <c r="G333" s="2" t="str">
        <f t="shared" si="14"/>
        <v>Private sector wages - $</v>
      </c>
      <c r="H333" s="2" t="s">
        <v>1013</v>
      </c>
      <c r="I333" s="2" t="s">
        <v>564</v>
      </c>
      <c r="J333" s="2" t="s">
        <v>859</v>
      </c>
      <c r="K333" s="2" t="s">
        <v>859</v>
      </c>
      <c r="L333" s="2" t="s">
        <v>921</v>
      </c>
      <c r="M333" s="3" t="s">
        <v>892</v>
      </c>
      <c r="N333" s="3" t="s">
        <v>892</v>
      </c>
      <c r="O333" s="3" t="s">
        <v>873</v>
      </c>
      <c r="P333" s="3"/>
    </row>
    <row r="334" spans="1:16">
      <c r="A334" s="2" t="s">
        <v>564</v>
      </c>
      <c r="B334" s="2" t="s">
        <v>26</v>
      </c>
      <c r="C334" s="2" t="s">
        <v>567</v>
      </c>
      <c r="D334" s="2" t="s">
        <v>16</v>
      </c>
      <c r="E334" s="2" t="s">
        <v>577</v>
      </c>
      <c r="F334" s="2" t="s">
        <v>577</v>
      </c>
      <c r="G334" s="2" t="str">
        <f t="shared" si="14"/>
        <v>Private sector wages - q/q%</v>
      </c>
      <c r="H334" s="2" t="s">
        <v>1014</v>
      </c>
      <c r="I334" s="2" t="s">
        <v>564</v>
      </c>
      <c r="J334" s="2" t="s">
        <v>16</v>
      </c>
      <c r="K334" s="2" t="s">
        <v>781</v>
      </c>
      <c r="L334" s="2" t="s">
        <v>908</v>
      </c>
      <c r="M334" s="3" t="s">
        <v>892</v>
      </c>
      <c r="N334" s="3" t="s">
        <v>892</v>
      </c>
      <c r="O334" s="3" t="s">
        <v>873</v>
      </c>
      <c r="P334" s="3"/>
    </row>
    <row r="335" spans="1:16">
      <c r="A335" s="2" t="s">
        <v>564</v>
      </c>
      <c r="B335" s="2" t="s">
        <v>18</v>
      </c>
      <c r="C335" s="2" t="s">
        <v>568</v>
      </c>
      <c r="D335" s="2" t="s">
        <v>16</v>
      </c>
      <c r="E335" s="2" t="s">
        <v>577</v>
      </c>
      <c r="F335" s="2" t="s">
        <v>577</v>
      </c>
      <c r="G335" s="2" t="str">
        <f t="shared" si="14"/>
        <v>Private sector wages - y/y%</v>
      </c>
      <c r="H335" s="2" t="s">
        <v>1015</v>
      </c>
      <c r="I335" s="2" t="s">
        <v>564</v>
      </c>
      <c r="J335" s="2" t="s">
        <v>16</v>
      </c>
      <c r="K335" s="2" t="s">
        <v>782</v>
      </c>
      <c r="L335" s="2" t="s">
        <v>908</v>
      </c>
      <c r="M335" s="3" t="s">
        <v>892</v>
      </c>
      <c r="N335" s="3" t="s">
        <v>892</v>
      </c>
      <c r="O335" s="3" t="s">
        <v>873</v>
      </c>
      <c r="P335" s="3"/>
    </row>
    <row r="336" spans="1:16">
      <c r="A336" s="2" t="s">
        <v>569</v>
      </c>
      <c r="B336" s="2" t="s">
        <v>565</v>
      </c>
      <c r="C336" s="2" t="s">
        <v>570</v>
      </c>
      <c r="E336" s="2" t="s">
        <v>577</v>
      </c>
      <c r="F336" s="2" t="s">
        <v>577</v>
      </c>
      <c r="G336" s="2" t="str">
        <f t="shared" si="14"/>
        <v>Public sector wages - $</v>
      </c>
      <c r="H336" s="2" t="s">
        <v>1016</v>
      </c>
      <c r="I336" s="2" t="s">
        <v>569</v>
      </c>
      <c r="J336" s="2" t="s">
        <v>859</v>
      </c>
      <c r="K336" s="2" t="s">
        <v>859</v>
      </c>
      <c r="L336" s="2" t="s">
        <v>921</v>
      </c>
      <c r="M336" s="3" t="s">
        <v>892</v>
      </c>
      <c r="N336" s="3" t="s">
        <v>892</v>
      </c>
      <c r="O336" s="3" t="s">
        <v>873</v>
      </c>
      <c r="P336" s="3"/>
    </row>
    <row r="337" spans="1:16">
      <c r="A337" s="2" t="s">
        <v>569</v>
      </c>
      <c r="B337" s="2" t="s">
        <v>26</v>
      </c>
      <c r="C337" s="2" t="s">
        <v>571</v>
      </c>
      <c r="D337" s="2" t="s">
        <v>16</v>
      </c>
      <c r="E337" s="2" t="s">
        <v>577</v>
      </c>
      <c r="F337" s="2" t="s">
        <v>577</v>
      </c>
      <c r="G337" s="2" t="str">
        <f t="shared" si="14"/>
        <v>Public sector wages - q/q%</v>
      </c>
      <c r="H337" s="2" t="s">
        <v>1017</v>
      </c>
      <c r="I337" s="2" t="s">
        <v>569</v>
      </c>
      <c r="J337" s="2" t="s">
        <v>16</v>
      </c>
      <c r="K337" s="2" t="s">
        <v>781</v>
      </c>
      <c r="L337" s="2" t="s">
        <v>908</v>
      </c>
      <c r="M337" s="3" t="s">
        <v>892</v>
      </c>
      <c r="N337" s="3" t="s">
        <v>892</v>
      </c>
      <c r="O337" s="3" t="s">
        <v>873</v>
      </c>
      <c r="P337" s="3"/>
    </row>
    <row r="338" spans="1:16">
      <c r="A338" s="2" t="s">
        <v>569</v>
      </c>
      <c r="B338" s="2" t="s">
        <v>18</v>
      </c>
      <c r="C338" s="2" t="s">
        <v>572</v>
      </c>
      <c r="D338" s="2" t="s">
        <v>16</v>
      </c>
      <c r="E338" s="2" t="s">
        <v>577</v>
      </c>
      <c r="F338" s="2" t="s">
        <v>577</v>
      </c>
      <c r="G338" s="2" t="str">
        <f t="shared" si="14"/>
        <v>Public sector wages - y/y%</v>
      </c>
      <c r="H338" s="2" t="s">
        <v>1018</v>
      </c>
      <c r="I338" s="2" t="s">
        <v>569</v>
      </c>
      <c r="J338" s="2" t="s">
        <v>16</v>
      </c>
      <c r="K338" s="2" t="s">
        <v>782</v>
      </c>
      <c r="L338" s="2" t="s">
        <v>908</v>
      </c>
      <c r="M338" s="3" t="s">
        <v>892</v>
      </c>
      <c r="N338" s="3" t="s">
        <v>892</v>
      </c>
      <c r="O338" s="3" t="s">
        <v>873</v>
      </c>
      <c r="P338" s="3"/>
    </row>
    <row r="339" spans="1:16">
      <c r="A339" s="2" t="s">
        <v>573</v>
      </c>
      <c r="B339" s="2" t="s">
        <v>565</v>
      </c>
      <c r="C339" s="2" t="s">
        <v>574</v>
      </c>
      <c r="E339" s="2" t="s">
        <v>577</v>
      </c>
      <c r="F339" s="2" t="s">
        <v>577</v>
      </c>
      <c r="G339" s="2" t="str">
        <f t="shared" si="14"/>
        <v>Average hourly earnings (ordinary time and overtime)	 - $</v>
      </c>
      <c r="H339" s="2" t="s">
        <v>1019</v>
      </c>
      <c r="I339" s="2" t="s">
        <v>573</v>
      </c>
      <c r="J339" s="2" t="s">
        <v>859</v>
      </c>
      <c r="K339" s="2" t="s">
        <v>859</v>
      </c>
      <c r="L339" s="2" t="s">
        <v>921</v>
      </c>
      <c r="M339" s="3" t="s">
        <v>892</v>
      </c>
      <c r="N339" s="3" t="s">
        <v>892</v>
      </c>
      <c r="O339" s="3" t="s">
        <v>873</v>
      </c>
      <c r="P339" s="3"/>
    </row>
    <row r="340" spans="1:16">
      <c r="A340" s="2" t="s">
        <v>573</v>
      </c>
      <c r="B340" s="2" t="s">
        <v>26</v>
      </c>
      <c r="C340" s="2" t="s">
        <v>575</v>
      </c>
      <c r="D340" s="2" t="s">
        <v>16</v>
      </c>
      <c r="E340" s="2" t="s">
        <v>577</v>
      </c>
      <c r="F340" s="2" t="s">
        <v>577</v>
      </c>
      <c r="G340" s="2" t="str">
        <f t="shared" si="14"/>
        <v>Average hourly earnings (ordinary time and overtime)	 - q/q%</v>
      </c>
      <c r="H340" s="2" t="s">
        <v>1020</v>
      </c>
      <c r="I340" s="2" t="s">
        <v>573</v>
      </c>
      <c r="J340" s="2" t="s">
        <v>16</v>
      </c>
      <c r="K340" s="2" t="s">
        <v>781</v>
      </c>
      <c r="L340" s="2" t="s">
        <v>908</v>
      </c>
      <c r="M340" s="3" t="s">
        <v>892</v>
      </c>
      <c r="N340" s="3" t="s">
        <v>892</v>
      </c>
      <c r="O340" s="3" t="s">
        <v>873</v>
      </c>
      <c r="P340" s="3"/>
    </row>
    <row r="341" spans="1:16">
      <c r="A341" s="2" t="s">
        <v>573</v>
      </c>
      <c r="B341" s="2" t="s">
        <v>18</v>
      </c>
      <c r="C341" s="2" t="s">
        <v>576</v>
      </c>
      <c r="D341" s="2" t="s">
        <v>16</v>
      </c>
      <c r="E341" s="2" t="s">
        <v>577</v>
      </c>
      <c r="F341" s="2" t="s">
        <v>577</v>
      </c>
      <c r="G341" s="2" t="str">
        <f t="shared" si="14"/>
        <v>Average hourly earnings (ordinary time and overtime)	 - y/y%</v>
      </c>
      <c r="H341" s="2" t="s">
        <v>1021</v>
      </c>
      <c r="I341" s="2" t="s">
        <v>573</v>
      </c>
      <c r="J341" s="2" t="s">
        <v>16</v>
      </c>
      <c r="K341" s="2" t="s">
        <v>782</v>
      </c>
      <c r="L341" s="2" t="s">
        <v>908</v>
      </c>
      <c r="M341" s="3" t="s">
        <v>892</v>
      </c>
      <c r="N341" s="3" t="s">
        <v>892</v>
      </c>
      <c r="O341" s="3" t="s">
        <v>873</v>
      </c>
      <c r="P341" s="3"/>
    </row>
    <row r="342" spans="1:16">
      <c r="A342" s="8" t="s">
        <v>586</v>
      </c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 t="s">
        <v>731</v>
      </c>
      <c r="M342" s="9"/>
      <c r="N342" s="9"/>
      <c r="O342" s="9" t="s">
        <v>873</v>
      </c>
      <c r="P342" s="9"/>
    </row>
    <row r="343" spans="1:16">
      <c r="A343" s="2" t="s">
        <v>578</v>
      </c>
      <c r="B343" s="2" t="s">
        <v>579</v>
      </c>
      <c r="C343" s="2" t="s">
        <v>580</v>
      </c>
      <c r="D343" s="2" t="s">
        <v>581</v>
      </c>
      <c r="E343" s="2" t="s">
        <v>586</v>
      </c>
      <c r="F343" s="2" t="s">
        <v>586</v>
      </c>
      <c r="G343" s="2" t="s">
        <v>578</v>
      </c>
      <c r="I343" s="2" t="s">
        <v>578</v>
      </c>
      <c r="J343" s="2" t="s">
        <v>581</v>
      </c>
      <c r="L343" s="2" t="s">
        <v>921</v>
      </c>
      <c r="M343" s="3" t="s">
        <v>909</v>
      </c>
      <c r="N343" s="3" t="s">
        <v>909</v>
      </c>
      <c r="O343" s="3" t="s">
        <v>873</v>
      </c>
      <c r="P343" s="3"/>
    </row>
    <row r="344" spans="1:16">
      <c r="A344" s="2" t="s">
        <v>582</v>
      </c>
      <c r="B344" s="2" t="s">
        <v>22</v>
      </c>
      <c r="C344" s="2" t="s">
        <v>326</v>
      </c>
      <c r="D344" s="2" t="s">
        <v>58</v>
      </c>
      <c r="E344" s="2" t="s">
        <v>586</v>
      </c>
      <c r="F344" s="2" t="s">
        <v>586</v>
      </c>
      <c r="G344" s="2" t="s">
        <v>582</v>
      </c>
      <c r="I344" s="2" t="s">
        <v>582</v>
      </c>
      <c r="J344" s="2" t="s">
        <v>58</v>
      </c>
      <c r="L344" s="2" t="s">
        <v>921</v>
      </c>
      <c r="M344" s="3" t="s">
        <v>909</v>
      </c>
      <c r="N344" s="3" t="s">
        <v>909</v>
      </c>
      <c r="O344" s="3" t="s">
        <v>873</v>
      </c>
      <c r="P344" s="3"/>
    </row>
    <row r="345" spans="1:16">
      <c r="A345" s="2" t="s">
        <v>583</v>
      </c>
      <c r="B345" s="2" t="s">
        <v>11</v>
      </c>
      <c r="C345" s="2" t="s">
        <v>584</v>
      </c>
      <c r="D345" s="2" t="s">
        <v>217</v>
      </c>
      <c r="E345" s="2" t="s">
        <v>586</v>
      </c>
      <c r="F345" s="2" t="s">
        <v>586</v>
      </c>
      <c r="G345" s="2" t="s">
        <v>583</v>
      </c>
      <c r="I345" s="2" t="s">
        <v>583</v>
      </c>
      <c r="J345" s="2" t="s">
        <v>217</v>
      </c>
      <c r="L345" s="2" t="s">
        <v>921</v>
      </c>
      <c r="M345" s="3" t="s">
        <v>909</v>
      </c>
      <c r="N345" s="3" t="s">
        <v>909</v>
      </c>
      <c r="O345" s="3" t="s">
        <v>873</v>
      </c>
      <c r="P345" s="3"/>
    </row>
    <row r="346" spans="1:16">
      <c r="A346" s="2" t="s">
        <v>585</v>
      </c>
      <c r="B346" s="2" t="s">
        <v>360</v>
      </c>
      <c r="C346" s="2" t="s">
        <v>380</v>
      </c>
      <c r="D346" s="2" t="s">
        <v>352</v>
      </c>
      <c r="E346" s="2" t="s">
        <v>586</v>
      </c>
      <c r="F346" s="2" t="s">
        <v>586</v>
      </c>
      <c r="G346" s="2" t="s">
        <v>585</v>
      </c>
      <c r="I346" s="2" t="s">
        <v>585</v>
      </c>
      <c r="J346" s="2" t="s">
        <v>868</v>
      </c>
      <c r="L346" s="2" t="s">
        <v>921</v>
      </c>
      <c r="M346" s="3" t="s">
        <v>909</v>
      </c>
      <c r="N346" s="3" t="s">
        <v>909</v>
      </c>
      <c r="O346" s="3" t="s">
        <v>873</v>
      </c>
      <c r="P346" s="3"/>
    </row>
    <row r="347" spans="1:16">
      <c r="A347" s="8" t="s">
        <v>646</v>
      </c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 t="s">
        <v>731</v>
      </c>
      <c r="M347" s="9"/>
      <c r="N347" s="9"/>
      <c r="O347" s="9" t="s">
        <v>873</v>
      </c>
      <c r="P347" s="9"/>
    </row>
    <row r="348" spans="1:16">
      <c r="A348" s="5" t="s">
        <v>587</v>
      </c>
      <c r="B348" s="5" t="s">
        <v>588</v>
      </c>
      <c r="C348" s="6" t="s">
        <v>589</v>
      </c>
      <c r="D348" s="5" t="s">
        <v>16</v>
      </c>
      <c r="E348" s="2" t="s">
        <v>646</v>
      </c>
      <c r="F348" s="2" t="s">
        <v>646</v>
      </c>
      <c r="G348" s="2" t="s">
        <v>1029</v>
      </c>
      <c r="H348" s="2" t="s">
        <v>1029</v>
      </c>
      <c r="I348" s="5" t="s">
        <v>587</v>
      </c>
      <c r="J348" s="2" t="s">
        <v>1025</v>
      </c>
      <c r="L348" s="2" t="s">
        <v>731</v>
      </c>
      <c r="M348" s="3" t="s">
        <v>909</v>
      </c>
      <c r="N348" s="3" t="s">
        <v>909</v>
      </c>
      <c r="O348" s="3" t="s">
        <v>873</v>
      </c>
      <c r="P348" s="3"/>
    </row>
    <row r="349" spans="1:16">
      <c r="A349" s="5" t="s">
        <v>587</v>
      </c>
      <c r="B349" s="5" t="s">
        <v>590</v>
      </c>
      <c r="C349" s="6" t="s">
        <v>591</v>
      </c>
      <c r="D349" s="5" t="s">
        <v>16</v>
      </c>
      <c r="E349" s="2" t="s">
        <v>646</v>
      </c>
      <c r="F349" s="2" t="s">
        <v>646</v>
      </c>
      <c r="G349" s="2" t="s">
        <v>1030</v>
      </c>
      <c r="H349" s="2" t="s">
        <v>1030</v>
      </c>
      <c r="I349" s="5" t="s">
        <v>587</v>
      </c>
      <c r="J349" s="2" t="s">
        <v>1025</v>
      </c>
      <c r="L349" s="2" t="s">
        <v>731</v>
      </c>
      <c r="M349" s="3" t="s">
        <v>909</v>
      </c>
      <c r="N349" s="3" t="s">
        <v>909</v>
      </c>
      <c r="O349" s="3" t="s">
        <v>873</v>
      </c>
      <c r="P349" s="3"/>
    </row>
    <row r="350" spans="1:16">
      <c r="A350" s="5" t="s">
        <v>587</v>
      </c>
      <c r="B350" s="5" t="s">
        <v>592</v>
      </c>
      <c r="C350" s="6" t="s">
        <v>593</v>
      </c>
      <c r="D350" s="5" t="s">
        <v>16</v>
      </c>
      <c r="E350" s="2" t="s">
        <v>646</v>
      </c>
      <c r="F350" s="2" t="s">
        <v>646</v>
      </c>
      <c r="G350" s="2" t="s">
        <v>1028</v>
      </c>
      <c r="H350" s="2" t="s">
        <v>1028</v>
      </c>
      <c r="I350" s="5" t="s">
        <v>587</v>
      </c>
      <c r="J350" s="2" t="s">
        <v>1025</v>
      </c>
      <c r="L350" s="2" t="s">
        <v>731</v>
      </c>
      <c r="M350" s="3" t="s">
        <v>909</v>
      </c>
      <c r="N350" s="3" t="s">
        <v>909</v>
      </c>
      <c r="O350" s="3" t="s">
        <v>873</v>
      </c>
      <c r="P350" s="3"/>
    </row>
    <row r="351" spans="1:16">
      <c r="A351" s="5" t="s">
        <v>594</v>
      </c>
      <c r="B351" s="5" t="s">
        <v>595</v>
      </c>
      <c r="C351" s="6" t="s">
        <v>596</v>
      </c>
      <c r="D351" s="5" t="s">
        <v>16</v>
      </c>
      <c r="E351" s="2" t="s">
        <v>646</v>
      </c>
      <c r="F351" s="2" t="s">
        <v>646</v>
      </c>
      <c r="G351" s="2" t="s">
        <v>1027</v>
      </c>
      <c r="H351" s="2" t="s">
        <v>1027</v>
      </c>
      <c r="I351" s="5" t="s">
        <v>594</v>
      </c>
      <c r="J351" s="2" t="s">
        <v>16</v>
      </c>
      <c r="L351" s="2" t="s">
        <v>731</v>
      </c>
      <c r="M351" s="3" t="s">
        <v>909</v>
      </c>
      <c r="N351" s="3" t="s">
        <v>909</v>
      </c>
      <c r="O351" s="14" t="s">
        <v>873</v>
      </c>
      <c r="P351" s="14"/>
    </row>
    <row r="352" spans="1:16">
      <c r="A352" s="5" t="s">
        <v>594</v>
      </c>
      <c r="B352" s="5" t="s">
        <v>597</v>
      </c>
      <c r="C352" s="6" t="s">
        <v>598</v>
      </c>
      <c r="D352" s="5" t="s">
        <v>16</v>
      </c>
      <c r="E352" s="2" t="s">
        <v>646</v>
      </c>
      <c r="F352" s="2" t="s">
        <v>646</v>
      </c>
      <c r="G352" s="2" t="s">
        <v>1031</v>
      </c>
      <c r="H352" s="2" t="s">
        <v>1031</v>
      </c>
      <c r="I352" s="5" t="s">
        <v>594</v>
      </c>
      <c r="J352" s="2" t="s">
        <v>16</v>
      </c>
      <c r="L352" s="2" t="s">
        <v>731</v>
      </c>
      <c r="M352" s="3" t="s">
        <v>909</v>
      </c>
      <c r="N352" s="3" t="s">
        <v>909</v>
      </c>
      <c r="O352" s="14" t="s">
        <v>873</v>
      </c>
      <c r="P352" s="14"/>
    </row>
    <row r="353" spans="1:16">
      <c r="A353" s="5" t="s">
        <v>594</v>
      </c>
      <c r="B353" s="5" t="s">
        <v>599</v>
      </c>
      <c r="C353" s="6" t="s">
        <v>600</v>
      </c>
      <c r="D353" s="5" t="s">
        <v>16</v>
      </c>
      <c r="E353" s="2" t="s">
        <v>646</v>
      </c>
      <c r="F353" s="2" t="s">
        <v>646</v>
      </c>
      <c r="G353" s="2" t="s">
        <v>1032</v>
      </c>
      <c r="H353" s="2" t="s">
        <v>1032</v>
      </c>
      <c r="I353" s="5" t="s">
        <v>594</v>
      </c>
      <c r="J353" s="2" t="s">
        <v>16</v>
      </c>
      <c r="L353" s="2" t="s">
        <v>731</v>
      </c>
      <c r="M353" s="3" t="s">
        <v>909</v>
      </c>
      <c r="N353" s="3" t="s">
        <v>909</v>
      </c>
      <c r="O353" s="14" t="s">
        <v>873</v>
      </c>
      <c r="P353" s="14"/>
    </row>
    <row r="354" spans="1:16">
      <c r="A354" s="5" t="s">
        <v>594</v>
      </c>
      <c r="B354" s="5" t="s">
        <v>601</v>
      </c>
      <c r="C354" s="6" t="s">
        <v>602</v>
      </c>
      <c r="D354" s="5" t="s">
        <v>16</v>
      </c>
      <c r="E354" s="2" t="s">
        <v>646</v>
      </c>
      <c r="F354" s="2" t="s">
        <v>646</v>
      </c>
      <c r="G354" s="2" t="s">
        <v>1033</v>
      </c>
      <c r="H354" s="2" t="s">
        <v>1033</v>
      </c>
      <c r="I354" s="5" t="s">
        <v>594</v>
      </c>
      <c r="J354" s="2" t="s">
        <v>16</v>
      </c>
      <c r="L354" s="2" t="s">
        <v>731</v>
      </c>
      <c r="M354" s="3" t="s">
        <v>909</v>
      </c>
      <c r="N354" s="3" t="s">
        <v>909</v>
      </c>
      <c r="O354" s="14" t="s">
        <v>873</v>
      </c>
      <c r="P354" s="14"/>
    </row>
    <row r="355" spans="1:16">
      <c r="A355" s="5" t="s">
        <v>119</v>
      </c>
      <c r="B355" s="5" t="s">
        <v>603</v>
      </c>
      <c r="C355" s="6" t="s">
        <v>604</v>
      </c>
      <c r="D355" s="5" t="s">
        <v>121</v>
      </c>
      <c r="E355" s="2" t="s">
        <v>646</v>
      </c>
      <c r="F355" s="2" t="s">
        <v>646</v>
      </c>
      <c r="G355" s="2" t="s">
        <v>1034</v>
      </c>
      <c r="H355" s="2" t="s">
        <v>1034</v>
      </c>
      <c r="I355" s="5" t="s">
        <v>119</v>
      </c>
      <c r="J355" s="2" t="s">
        <v>16</v>
      </c>
      <c r="L355" s="2" t="s">
        <v>731</v>
      </c>
      <c r="M355" s="3" t="s">
        <v>909</v>
      </c>
      <c r="N355" s="3" t="s">
        <v>909</v>
      </c>
      <c r="O355" s="10" t="s">
        <v>873</v>
      </c>
      <c r="P355" s="10"/>
    </row>
    <row r="356" spans="1:16">
      <c r="A356" s="5" t="s">
        <v>119</v>
      </c>
      <c r="B356" s="5" t="s">
        <v>605</v>
      </c>
      <c r="C356" s="6" t="s">
        <v>606</v>
      </c>
      <c r="D356" s="5" t="s">
        <v>121</v>
      </c>
      <c r="E356" s="2" t="s">
        <v>646</v>
      </c>
      <c r="F356" s="2" t="s">
        <v>646</v>
      </c>
      <c r="G356" s="2" t="s">
        <v>1035</v>
      </c>
      <c r="H356" s="2" t="s">
        <v>1035</v>
      </c>
      <c r="I356" s="5" t="s">
        <v>119</v>
      </c>
      <c r="J356" s="2" t="s">
        <v>16</v>
      </c>
      <c r="L356" s="2" t="s">
        <v>731</v>
      </c>
      <c r="M356" s="3" t="s">
        <v>909</v>
      </c>
      <c r="N356" s="3" t="s">
        <v>909</v>
      </c>
      <c r="O356" s="10" t="s">
        <v>873</v>
      </c>
      <c r="P356" s="10"/>
    </row>
    <row r="357" spans="1:16">
      <c r="A357" s="5" t="s">
        <v>119</v>
      </c>
      <c r="B357" s="5" t="s">
        <v>607</v>
      </c>
      <c r="C357" s="6" t="s">
        <v>608</v>
      </c>
      <c r="D357" s="5" t="s">
        <v>121</v>
      </c>
      <c r="E357" s="2" t="s">
        <v>646</v>
      </c>
      <c r="F357" s="2" t="s">
        <v>646</v>
      </c>
      <c r="G357" s="2" t="s">
        <v>1036</v>
      </c>
      <c r="H357" s="2" t="s">
        <v>1036</v>
      </c>
      <c r="I357" s="5" t="s">
        <v>119</v>
      </c>
      <c r="J357" s="2" t="s">
        <v>16</v>
      </c>
      <c r="L357" s="2" t="s">
        <v>731</v>
      </c>
      <c r="M357" s="3" t="s">
        <v>909</v>
      </c>
      <c r="N357" s="3" t="s">
        <v>909</v>
      </c>
      <c r="O357" s="10" t="s">
        <v>873</v>
      </c>
      <c r="P357" s="10"/>
    </row>
    <row r="358" spans="1:16">
      <c r="A358" s="5" t="s">
        <v>119</v>
      </c>
      <c r="B358" s="5" t="s">
        <v>609</v>
      </c>
      <c r="C358" s="6" t="s">
        <v>610</v>
      </c>
      <c r="D358" s="5" t="s">
        <v>121</v>
      </c>
      <c r="E358" s="2" t="s">
        <v>646</v>
      </c>
      <c r="F358" s="2" t="s">
        <v>646</v>
      </c>
      <c r="G358" s="2" t="s">
        <v>1037</v>
      </c>
      <c r="H358" s="2" t="s">
        <v>1037</v>
      </c>
      <c r="I358" s="5" t="s">
        <v>119</v>
      </c>
      <c r="J358" s="2" t="s">
        <v>16</v>
      </c>
      <c r="L358" s="2" t="s">
        <v>731</v>
      </c>
      <c r="M358" s="3" t="s">
        <v>909</v>
      </c>
      <c r="N358" s="3" t="s">
        <v>909</v>
      </c>
      <c r="O358" s="10" t="s">
        <v>873</v>
      </c>
      <c r="P358" s="10"/>
    </row>
    <row r="359" spans="1:16">
      <c r="A359" s="5" t="s">
        <v>611</v>
      </c>
      <c r="B359" s="5" t="s">
        <v>612</v>
      </c>
      <c r="C359" s="6" t="s">
        <v>613</v>
      </c>
      <c r="D359" s="5" t="s">
        <v>121</v>
      </c>
      <c r="E359" s="2" t="s">
        <v>646</v>
      </c>
      <c r="F359" s="2" t="s">
        <v>646</v>
      </c>
      <c r="G359" s="2" t="s">
        <v>1038</v>
      </c>
      <c r="H359" s="2" t="s">
        <v>1038</v>
      </c>
      <c r="I359" s="5" t="s">
        <v>611</v>
      </c>
      <c r="J359" s="2" t="s">
        <v>16</v>
      </c>
      <c r="L359" s="2" t="s">
        <v>731</v>
      </c>
      <c r="M359" s="3" t="s">
        <v>909</v>
      </c>
      <c r="N359" s="3" t="s">
        <v>909</v>
      </c>
      <c r="O359" s="13" t="s">
        <v>873</v>
      </c>
      <c r="P359" s="13"/>
    </row>
    <row r="360" spans="1:16">
      <c r="A360" s="5" t="s">
        <v>611</v>
      </c>
      <c r="B360" s="5" t="s">
        <v>614</v>
      </c>
      <c r="C360" s="6" t="s">
        <v>615</v>
      </c>
      <c r="D360" s="5" t="s">
        <v>121</v>
      </c>
      <c r="E360" s="2" t="s">
        <v>646</v>
      </c>
      <c r="F360" s="2" t="s">
        <v>646</v>
      </c>
      <c r="G360" s="2" t="s">
        <v>1039</v>
      </c>
      <c r="H360" s="2" t="s">
        <v>1039</v>
      </c>
      <c r="I360" s="5" t="s">
        <v>611</v>
      </c>
      <c r="J360" s="2" t="s">
        <v>16</v>
      </c>
      <c r="L360" s="2" t="s">
        <v>731</v>
      </c>
      <c r="M360" s="3" t="s">
        <v>909</v>
      </c>
      <c r="N360" s="3" t="s">
        <v>909</v>
      </c>
      <c r="O360" s="13" t="s">
        <v>873</v>
      </c>
      <c r="P360" s="13"/>
    </row>
    <row r="361" spans="1:16">
      <c r="A361" s="5" t="s">
        <v>616</v>
      </c>
      <c r="B361" s="5" t="s">
        <v>617</v>
      </c>
      <c r="C361" s="6" t="s">
        <v>618</v>
      </c>
      <c r="D361" s="5" t="s">
        <v>16</v>
      </c>
      <c r="E361" s="2" t="s">
        <v>646</v>
      </c>
      <c r="F361" s="2" t="s">
        <v>646</v>
      </c>
      <c r="G361" s="2" t="s">
        <v>1040</v>
      </c>
      <c r="H361" s="2" t="s">
        <v>1040</v>
      </c>
      <c r="I361" s="5" t="s">
        <v>616</v>
      </c>
      <c r="J361" s="2" t="s">
        <v>16</v>
      </c>
      <c r="L361" s="2" t="s">
        <v>731</v>
      </c>
      <c r="M361" s="3" t="s">
        <v>909</v>
      </c>
      <c r="N361" s="3" t="s">
        <v>909</v>
      </c>
      <c r="O361" s="10" t="s">
        <v>873</v>
      </c>
      <c r="P361" s="10"/>
    </row>
    <row r="362" spans="1:16">
      <c r="A362" s="5" t="s">
        <v>616</v>
      </c>
      <c r="B362" s="5" t="s">
        <v>619</v>
      </c>
      <c r="C362" s="6" t="s">
        <v>620</v>
      </c>
      <c r="D362" s="5" t="s">
        <v>16</v>
      </c>
      <c r="E362" s="2" t="s">
        <v>646</v>
      </c>
      <c r="F362" s="2" t="s">
        <v>646</v>
      </c>
      <c r="G362" s="2" t="s">
        <v>1026</v>
      </c>
      <c r="H362" s="2" t="s">
        <v>1026</v>
      </c>
      <c r="I362" s="5" t="s">
        <v>616</v>
      </c>
      <c r="J362" s="2" t="s">
        <v>16</v>
      </c>
      <c r="L362" s="2" t="s">
        <v>731</v>
      </c>
      <c r="M362" s="3" t="s">
        <v>909</v>
      </c>
      <c r="N362" s="3" t="s">
        <v>909</v>
      </c>
      <c r="O362" s="10" t="s">
        <v>873</v>
      </c>
      <c r="P362" s="10"/>
    </row>
    <row r="363" spans="1:16">
      <c r="A363" s="5" t="s">
        <v>621</v>
      </c>
      <c r="B363" s="5" t="s">
        <v>622</v>
      </c>
      <c r="C363" s="6" t="s">
        <v>623</v>
      </c>
      <c r="D363" s="5" t="s">
        <v>16</v>
      </c>
      <c r="E363" s="2" t="s">
        <v>646</v>
      </c>
      <c r="F363" s="2" t="s">
        <v>646</v>
      </c>
      <c r="G363" s="2" t="s">
        <v>1041</v>
      </c>
      <c r="H363" s="2" t="s">
        <v>1041</v>
      </c>
      <c r="I363" s="5" t="s">
        <v>621</v>
      </c>
      <c r="J363" s="2" t="s">
        <v>16</v>
      </c>
      <c r="L363" s="2" t="s">
        <v>731</v>
      </c>
      <c r="M363" s="3" t="s">
        <v>909</v>
      </c>
      <c r="N363" s="3" t="s">
        <v>909</v>
      </c>
      <c r="O363" s="11" t="s">
        <v>873</v>
      </c>
      <c r="P363" s="11"/>
    </row>
    <row r="364" spans="1:16">
      <c r="A364" s="5" t="s">
        <v>621</v>
      </c>
      <c r="B364" s="5" t="s">
        <v>624</v>
      </c>
      <c r="C364" s="6" t="s">
        <v>625</v>
      </c>
      <c r="D364" s="5" t="s">
        <v>16</v>
      </c>
      <c r="E364" s="2" t="s">
        <v>646</v>
      </c>
      <c r="F364" s="2" t="s">
        <v>646</v>
      </c>
      <c r="G364" s="2" t="s">
        <v>1042</v>
      </c>
      <c r="H364" s="2" t="s">
        <v>1042</v>
      </c>
      <c r="I364" s="5" t="s">
        <v>621</v>
      </c>
      <c r="J364" s="2" t="s">
        <v>16</v>
      </c>
      <c r="L364" s="2" t="s">
        <v>731</v>
      </c>
      <c r="M364" s="3" t="s">
        <v>909</v>
      </c>
      <c r="N364" s="3" t="s">
        <v>909</v>
      </c>
      <c r="O364" s="11" t="s">
        <v>873</v>
      </c>
      <c r="P364" s="11"/>
    </row>
    <row r="365" spans="1:16">
      <c r="A365" s="5" t="s">
        <v>626</v>
      </c>
      <c r="B365" s="5" t="s">
        <v>627</v>
      </c>
      <c r="C365" s="6" t="s">
        <v>628</v>
      </c>
      <c r="D365" s="5" t="s">
        <v>16</v>
      </c>
      <c r="E365" s="2" t="s">
        <v>646</v>
      </c>
      <c r="F365" s="2" t="s">
        <v>646</v>
      </c>
      <c r="G365" s="2" t="s">
        <v>1043</v>
      </c>
      <c r="H365" s="2" t="s">
        <v>1043</v>
      </c>
      <c r="I365" s="5" t="s">
        <v>626</v>
      </c>
      <c r="J365" s="2" t="s">
        <v>1025</v>
      </c>
      <c r="L365" s="2" t="s">
        <v>731</v>
      </c>
      <c r="M365" s="3" t="s">
        <v>909</v>
      </c>
      <c r="N365" s="3" t="s">
        <v>909</v>
      </c>
      <c r="O365" s="12" t="s">
        <v>873</v>
      </c>
      <c r="P365" s="12"/>
    </row>
    <row r="366" spans="1:16">
      <c r="A366" s="5" t="s">
        <v>626</v>
      </c>
      <c r="B366" s="5" t="s">
        <v>629</v>
      </c>
      <c r="C366" s="6" t="s">
        <v>630</v>
      </c>
      <c r="D366" s="5" t="s">
        <v>16</v>
      </c>
      <c r="E366" s="2" t="s">
        <v>646</v>
      </c>
      <c r="F366" s="2" t="s">
        <v>646</v>
      </c>
      <c r="G366" s="2" t="s">
        <v>1044</v>
      </c>
      <c r="H366" s="2" t="s">
        <v>1044</v>
      </c>
      <c r="I366" s="5" t="s">
        <v>626</v>
      </c>
      <c r="J366" s="2" t="s">
        <v>1025</v>
      </c>
      <c r="L366" s="2" t="s">
        <v>731</v>
      </c>
      <c r="M366" s="3" t="s">
        <v>909</v>
      </c>
      <c r="N366" s="3" t="s">
        <v>909</v>
      </c>
      <c r="O366" s="12" t="s">
        <v>873</v>
      </c>
      <c r="P366" s="12"/>
    </row>
    <row r="367" spans="1:16">
      <c r="A367" s="5" t="s">
        <v>631</v>
      </c>
      <c r="B367" s="5" t="s">
        <v>632</v>
      </c>
      <c r="C367" s="6" t="s">
        <v>633</v>
      </c>
      <c r="D367" s="5" t="s">
        <v>62</v>
      </c>
      <c r="E367" s="2" t="s">
        <v>646</v>
      </c>
      <c r="F367" s="2" t="s">
        <v>646</v>
      </c>
      <c r="G367" s="2" t="s">
        <v>1045</v>
      </c>
      <c r="H367" s="2" t="s">
        <v>1045</v>
      </c>
      <c r="I367" s="5" t="s">
        <v>631</v>
      </c>
      <c r="J367" s="2" t="s">
        <v>62</v>
      </c>
      <c r="L367" s="2" t="s">
        <v>731</v>
      </c>
      <c r="M367" s="3" t="s">
        <v>909</v>
      </c>
      <c r="N367" s="3" t="s">
        <v>909</v>
      </c>
      <c r="O367" s="14" t="s">
        <v>873</v>
      </c>
      <c r="P367" s="14"/>
    </row>
    <row r="368" spans="1:16">
      <c r="A368" s="5" t="s">
        <v>631</v>
      </c>
      <c r="B368" s="5" t="s">
        <v>634</v>
      </c>
      <c r="C368" s="6" t="s">
        <v>635</v>
      </c>
      <c r="D368" s="5" t="s">
        <v>62</v>
      </c>
      <c r="E368" s="2" t="s">
        <v>646</v>
      </c>
      <c r="F368" s="2" t="s">
        <v>646</v>
      </c>
      <c r="G368" s="2" t="s">
        <v>1046</v>
      </c>
      <c r="H368" s="2" t="s">
        <v>1046</v>
      </c>
      <c r="I368" s="5" t="s">
        <v>631</v>
      </c>
      <c r="J368" s="2" t="s">
        <v>62</v>
      </c>
      <c r="L368" s="2" t="s">
        <v>731</v>
      </c>
      <c r="M368" s="3" t="s">
        <v>909</v>
      </c>
      <c r="N368" s="3" t="s">
        <v>909</v>
      </c>
      <c r="O368" s="14" t="s">
        <v>873</v>
      </c>
      <c r="P368" s="14"/>
    </row>
    <row r="369" spans="1:16">
      <c r="A369" s="5" t="s">
        <v>636</v>
      </c>
      <c r="B369" s="5" t="s">
        <v>637</v>
      </c>
      <c r="C369" s="6" t="s">
        <v>638</v>
      </c>
      <c r="D369" s="5" t="s">
        <v>68</v>
      </c>
      <c r="E369" s="2" t="s">
        <v>646</v>
      </c>
      <c r="F369" s="2" t="s">
        <v>646</v>
      </c>
      <c r="G369" s="2" t="s">
        <v>1047</v>
      </c>
      <c r="H369" s="2" t="s">
        <v>1047</v>
      </c>
      <c r="I369" s="5" t="s">
        <v>636</v>
      </c>
      <c r="J369" s="2" t="s">
        <v>68</v>
      </c>
      <c r="L369" s="2" t="s">
        <v>731</v>
      </c>
      <c r="M369" s="3" t="s">
        <v>909</v>
      </c>
      <c r="N369" s="3" t="s">
        <v>909</v>
      </c>
      <c r="O369" s="10" t="s">
        <v>873</v>
      </c>
      <c r="P369" s="10"/>
    </row>
    <row r="370" spans="1:16">
      <c r="A370" s="5" t="s">
        <v>636</v>
      </c>
      <c r="B370" s="5" t="s">
        <v>639</v>
      </c>
      <c r="C370" s="6" t="s">
        <v>640</v>
      </c>
      <c r="D370" s="5" t="s">
        <v>68</v>
      </c>
      <c r="E370" s="2" t="s">
        <v>646</v>
      </c>
      <c r="F370" s="2" t="s">
        <v>646</v>
      </c>
      <c r="G370" s="2" t="s">
        <v>1048</v>
      </c>
      <c r="H370" s="2" t="s">
        <v>1048</v>
      </c>
      <c r="I370" s="5" t="s">
        <v>636</v>
      </c>
      <c r="J370" s="2" t="s">
        <v>68</v>
      </c>
      <c r="L370" s="2" t="s">
        <v>731</v>
      </c>
      <c r="M370" s="3" t="s">
        <v>909</v>
      </c>
      <c r="N370" s="3" t="s">
        <v>909</v>
      </c>
      <c r="O370" s="10" t="s">
        <v>873</v>
      </c>
      <c r="P370" s="10"/>
    </row>
    <row r="371" spans="1:16">
      <c r="A371" s="5" t="s">
        <v>641</v>
      </c>
      <c r="B371" s="5" t="s">
        <v>642</v>
      </c>
      <c r="C371" s="6" t="s">
        <v>643</v>
      </c>
      <c r="D371" s="5" t="s">
        <v>16</v>
      </c>
      <c r="E371" s="2" t="s">
        <v>646</v>
      </c>
      <c r="F371" s="2" t="s">
        <v>646</v>
      </c>
      <c r="G371" s="2" t="s">
        <v>1049</v>
      </c>
      <c r="H371" s="2" t="s">
        <v>1049</v>
      </c>
      <c r="I371" s="5" t="s">
        <v>641</v>
      </c>
      <c r="J371" s="2" t="s">
        <v>16</v>
      </c>
      <c r="L371" s="2" t="s">
        <v>731</v>
      </c>
      <c r="M371" s="3" t="s">
        <v>909</v>
      </c>
      <c r="N371" s="3" t="s">
        <v>909</v>
      </c>
      <c r="O371" s="10" t="s">
        <v>873</v>
      </c>
      <c r="P371" s="10"/>
    </row>
    <row r="372" spans="1:16">
      <c r="A372" s="5" t="s">
        <v>641</v>
      </c>
      <c r="B372" s="5" t="s">
        <v>644</v>
      </c>
      <c r="C372" s="6" t="s">
        <v>645</v>
      </c>
      <c r="D372" s="5" t="s">
        <v>16</v>
      </c>
      <c r="E372" s="2" t="s">
        <v>646</v>
      </c>
      <c r="F372" s="2" t="s">
        <v>646</v>
      </c>
      <c r="G372" s="2" t="s">
        <v>1050</v>
      </c>
      <c r="H372" s="2" t="s">
        <v>1050</v>
      </c>
      <c r="I372" s="5" t="s">
        <v>641</v>
      </c>
      <c r="J372" s="2" t="s">
        <v>16</v>
      </c>
      <c r="L372" s="2" t="s">
        <v>731</v>
      </c>
      <c r="M372" s="3" t="s">
        <v>909</v>
      </c>
      <c r="N372" s="3" t="s">
        <v>909</v>
      </c>
      <c r="O372" s="10" t="s">
        <v>873</v>
      </c>
      <c r="P372" s="10"/>
    </row>
    <row r="373" spans="1:16">
      <c r="A373" s="8" t="s">
        <v>727</v>
      </c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 t="s">
        <v>731</v>
      </c>
      <c r="M373" s="9" t="s">
        <v>52</v>
      </c>
      <c r="N373" s="9" t="s">
        <v>53</v>
      </c>
      <c r="O373" s="9" t="s">
        <v>873</v>
      </c>
      <c r="P373" s="9"/>
    </row>
    <row r="374" spans="1:16">
      <c r="A374" s="5" t="s">
        <v>647</v>
      </c>
      <c r="B374" s="5" t="s">
        <v>648</v>
      </c>
      <c r="C374" s="6" t="s">
        <v>649</v>
      </c>
      <c r="D374" s="5" t="s">
        <v>217</v>
      </c>
      <c r="E374" s="2" t="s">
        <v>727</v>
      </c>
      <c r="F374" s="2" t="s">
        <v>727</v>
      </c>
      <c r="H374" s="5"/>
      <c r="J374" s="2" t="s">
        <v>217</v>
      </c>
      <c r="L374" s="2" t="s">
        <v>921</v>
      </c>
      <c r="M374" s="3"/>
      <c r="N374" s="3"/>
      <c r="O374" s="3" t="s">
        <v>872</v>
      </c>
      <c r="P374" s="3"/>
    </row>
    <row r="375" spans="1:16">
      <c r="A375" s="5" t="s">
        <v>650</v>
      </c>
      <c r="B375" s="5" t="s">
        <v>651</v>
      </c>
      <c r="C375" s="6" t="s">
        <v>652</v>
      </c>
      <c r="D375" s="5" t="s">
        <v>217</v>
      </c>
      <c r="E375" s="2" t="s">
        <v>727</v>
      </c>
      <c r="F375" s="2" t="s">
        <v>727</v>
      </c>
      <c r="G375" s="5" t="s">
        <v>650</v>
      </c>
      <c r="H375" s="5" t="s">
        <v>650</v>
      </c>
      <c r="I375" s="2" t="str">
        <f>TRIM(_xlfn.TEXTBEFORE(_xlfn.TEXTAFTER(B375,"."),"(",,,, _xlfn.TEXTAFTER(B375,".")))</f>
        <v>Total</v>
      </c>
      <c r="J375" s="2" t="s">
        <v>217</v>
      </c>
      <c r="K375" s="2" t="s">
        <v>1055</v>
      </c>
      <c r="L375" s="2" t="s">
        <v>921</v>
      </c>
      <c r="M375" s="3" t="s">
        <v>892</v>
      </c>
      <c r="N375" s="3" t="s">
        <v>53</v>
      </c>
      <c r="O375" s="3" t="s">
        <v>872</v>
      </c>
      <c r="P375" s="3"/>
    </row>
    <row r="376" spans="1:16">
      <c r="A376" s="5" t="s">
        <v>650</v>
      </c>
      <c r="B376" s="5" t="s">
        <v>653</v>
      </c>
      <c r="C376" s="6" t="s">
        <v>654</v>
      </c>
      <c r="D376" s="5" t="s">
        <v>217</v>
      </c>
      <c r="E376" s="2" t="s">
        <v>727</v>
      </c>
      <c r="F376" s="2" t="s">
        <v>727</v>
      </c>
      <c r="G376" s="2" t="s">
        <v>1051</v>
      </c>
      <c r="H376" s="5" t="s">
        <v>650</v>
      </c>
      <c r="I376" s="2" t="str">
        <f t="shared" ref="I376:I409" si="15">TRIM(_xlfn.TEXTBEFORE(_xlfn.TEXTAFTER(B376,"."),"(",,,, _xlfn.TEXTAFTER(B376,".")))</f>
        <v>Interest only</v>
      </c>
      <c r="J376" s="2" t="s">
        <v>217</v>
      </c>
      <c r="K376" s="2" t="s">
        <v>1056</v>
      </c>
      <c r="L376" s="2" t="s">
        <v>921</v>
      </c>
      <c r="M376" s="3" t="s">
        <v>892</v>
      </c>
      <c r="N376" s="3" t="s">
        <v>53</v>
      </c>
      <c r="O376" s="3" t="s">
        <v>872</v>
      </c>
      <c r="P376" s="3"/>
    </row>
    <row r="377" spans="1:16">
      <c r="A377" s="5" t="s">
        <v>650</v>
      </c>
      <c r="B377" s="5" t="s">
        <v>655</v>
      </c>
      <c r="C377" s="6" t="s">
        <v>656</v>
      </c>
      <c r="D377" s="5" t="s">
        <v>217</v>
      </c>
      <c r="E377" s="2" t="s">
        <v>727</v>
      </c>
      <c r="F377" s="2" t="s">
        <v>727</v>
      </c>
      <c r="G377" s="2" t="s">
        <v>1052</v>
      </c>
      <c r="H377" s="5" t="s">
        <v>650</v>
      </c>
      <c r="I377" s="2" t="str">
        <f t="shared" si="15"/>
        <v>Revolving credit</v>
      </c>
      <c r="J377" s="2" t="s">
        <v>217</v>
      </c>
      <c r="K377" s="2" t="s">
        <v>1056</v>
      </c>
      <c r="L377" s="2" t="s">
        <v>921</v>
      </c>
      <c r="M377" s="3" t="s">
        <v>892</v>
      </c>
      <c r="N377" s="3" t="s">
        <v>53</v>
      </c>
      <c r="O377" s="3" t="s">
        <v>872</v>
      </c>
      <c r="P377" s="3"/>
    </row>
    <row r="378" spans="1:16">
      <c r="A378" s="5" t="s">
        <v>650</v>
      </c>
      <c r="B378" s="5" t="s">
        <v>657</v>
      </c>
      <c r="C378" s="6" t="s">
        <v>658</v>
      </c>
      <c r="D378" s="5" t="s">
        <v>217</v>
      </c>
      <c r="E378" s="2" t="s">
        <v>727</v>
      </c>
      <c r="F378" s="2" t="s">
        <v>727</v>
      </c>
      <c r="G378" s="2" t="s">
        <v>1053</v>
      </c>
      <c r="H378" s="5" t="s">
        <v>650</v>
      </c>
      <c r="I378" s="2" t="str">
        <f t="shared" si="15"/>
        <v>Principal &amp; interest</v>
      </c>
      <c r="J378" s="2" t="s">
        <v>217</v>
      </c>
      <c r="K378" s="2" t="s">
        <v>1056</v>
      </c>
      <c r="L378" s="2" t="s">
        <v>921</v>
      </c>
      <c r="M378" s="3" t="s">
        <v>892</v>
      </c>
      <c r="N378" s="3" t="s">
        <v>53</v>
      </c>
      <c r="O378" s="3" t="s">
        <v>872</v>
      </c>
      <c r="P378" s="3"/>
    </row>
    <row r="379" spans="1:16">
      <c r="A379" s="5" t="s">
        <v>650</v>
      </c>
      <c r="B379" s="5" t="s">
        <v>659</v>
      </c>
      <c r="C379" s="6" t="s">
        <v>660</v>
      </c>
      <c r="D379" s="5" t="s">
        <v>217</v>
      </c>
      <c r="E379" s="2" t="s">
        <v>727</v>
      </c>
      <c r="F379" s="2" t="s">
        <v>727</v>
      </c>
      <c r="G379" s="2" t="s">
        <v>1054</v>
      </c>
      <c r="H379" s="5" t="s">
        <v>650</v>
      </c>
      <c r="I379" s="2" t="str">
        <f t="shared" si="15"/>
        <v>Other</v>
      </c>
      <c r="J379" s="2" t="s">
        <v>217</v>
      </c>
      <c r="K379" s="2" t="s">
        <v>1056</v>
      </c>
      <c r="L379" s="2" t="s">
        <v>921</v>
      </c>
      <c r="M379" s="3" t="s">
        <v>892</v>
      </c>
      <c r="N379" s="3" t="s">
        <v>53</v>
      </c>
      <c r="O379" s="3" t="s">
        <v>872</v>
      </c>
      <c r="P379" s="3"/>
    </row>
    <row r="380" spans="1:16">
      <c r="A380" s="5" t="s">
        <v>661</v>
      </c>
      <c r="B380" s="5" t="s">
        <v>662</v>
      </c>
      <c r="C380" s="6" t="s">
        <v>663</v>
      </c>
      <c r="D380" s="5" t="s">
        <v>217</v>
      </c>
      <c r="E380" s="2" t="s">
        <v>727</v>
      </c>
      <c r="F380" s="2" t="s">
        <v>727</v>
      </c>
      <c r="G380" s="5" t="s">
        <v>661</v>
      </c>
      <c r="H380" s="5" t="s">
        <v>661</v>
      </c>
      <c r="I380" s="2" t="str">
        <f t="shared" si="15"/>
        <v>Total</v>
      </c>
      <c r="J380" s="2" t="s">
        <v>217</v>
      </c>
      <c r="K380" s="2" t="s">
        <v>1055</v>
      </c>
      <c r="L380" s="2" t="s">
        <v>921</v>
      </c>
      <c r="M380" s="3" t="s">
        <v>892</v>
      </c>
      <c r="N380" s="3" t="s">
        <v>53</v>
      </c>
      <c r="O380" s="3" t="s">
        <v>872</v>
      </c>
      <c r="P380" s="3"/>
    </row>
    <row r="381" spans="1:16">
      <c r="A381" s="5" t="s">
        <v>661</v>
      </c>
      <c r="B381" s="5" t="s">
        <v>664</v>
      </c>
      <c r="C381" s="6" t="s">
        <v>665</v>
      </c>
      <c r="D381" s="5" t="s">
        <v>217</v>
      </c>
      <c r="E381" s="2" t="s">
        <v>727</v>
      </c>
      <c r="F381" s="2" t="s">
        <v>727</v>
      </c>
      <c r="G381" s="2" t="s">
        <v>1051</v>
      </c>
      <c r="H381" s="5" t="s">
        <v>661</v>
      </c>
      <c r="I381" s="2" t="str">
        <f t="shared" si="15"/>
        <v>Interest only</v>
      </c>
      <c r="J381" s="2" t="s">
        <v>217</v>
      </c>
      <c r="K381" s="2" t="s">
        <v>1056</v>
      </c>
      <c r="L381" s="2" t="s">
        <v>921</v>
      </c>
      <c r="M381" s="3" t="s">
        <v>892</v>
      </c>
      <c r="N381" s="3" t="s">
        <v>53</v>
      </c>
      <c r="O381" s="3" t="s">
        <v>872</v>
      </c>
      <c r="P381" s="3"/>
    </row>
    <row r="382" spans="1:16">
      <c r="A382" s="5" t="s">
        <v>661</v>
      </c>
      <c r="B382" s="5" t="s">
        <v>666</v>
      </c>
      <c r="C382" s="6" t="s">
        <v>667</v>
      </c>
      <c r="D382" s="5" t="s">
        <v>217</v>
      </c>
      <c r="E382" s="2" t="s">
        <v>727</v>
      </c>
      <c r="F382" s="2" t="s">
        <v>727</v>
      </c>
      <c r="G382" s="2" t="s">
        <v>1052</v>
      </c>
      <c r="H382" s="5" t="s">
        <v>661</v>
      </c>
      <c r="I382" s="2" t="str">
        <f t="shared" si="15"/>
        <v>Revolving credit</v>
      </c>
      <c r="J382" s="2" t="s">
        <v>217</v>
      </c>
      <c r="K382" s="2" t="s">
        <v>1056</v>
      </c>
      <c r="L382" s="2" t="s">
        <v>921</v>
      </c>
      <c r="M382" s="3" t="s">
        <v>892</v>
      </c>
      <c r="N382" s="3" t="s">
        <v>53</v>
      </c>
      <c r="O382" s="3" t="s">
        <v>872</v>
      </c>
      <c r="P382" s="3"/>
    </row>
    <row r="383" spans="1:16">
      <c r="A383" s="5" t="s">
        <v>661</v>
      </c>
      <c r="B383" s="5" t="s">
        <v>668</v>
      </c>
      <c r="C383" s="6" t="s">
        <v>669</v>
      </c>
      <c r="D383" s="5" t="s">
        <v>217</v>
      </c>
      <c r="E383" s="2" t="s">
        <v>727</v>
      </c>
      <c r="F383" s="2" t="s">
        <v>727</v>
      </c>
      <c r="G383" s="2" t="s">
        <v>1053</v>
      </c>
      <c r="H383" s="5" t="s">
        <v>661</v>
      </c>
      <c r="I383" s="2" t="str">
        <f t="shared" si="15"/>
        <v>Principal &amp; interest</v>
      </c>
      <c r="J383" s="2" t="s">
        <v>217</v>
      </c>
      <c r="K383" s="2" t="s">
        <v>1056</v>
      </c>
      <c r="L383" s="2" t="s">
        <v>921</v>
      </c>
      <c r="M383" s="3" t="s">
        <v>892</v>
      </c>
      <c r="N383" s="3" t="s">
        <v>53</v>
      </c>
      <c r="O383" s="3" t="s">
        <v>872</v>
      </c>
      <c r="P383" s="3"/>
    </row>
    <row r="384" spans="1:16">
      <c r="A384" s="5" t="s">
        <v>661</v>
      </c>
      <c r="B384" s="5" t="s">
        <v>670</v>
      </c>
      <c r="C384" s="6" t="s">
        <v>671</v>
      </c>
      <c r="D384" s="5" t="s">
        <v>217</v>
      </c>
      <c r="E384" s="2" t="s">
        <v>727</v>
      </c>
      <c r="F384" s="2" t="s">
        <v>727</v>
      </c>
      <c r="G384" s="2" t="s">
        <v>1054</v>
      </c>
      <c r="H384" s="5" t="s">
        <v>661</v>
      </c>
      <c r="I384" s="2" t="str">
        <f t="shared" si="15"/>
        <v>Other</v>
      </c>
      <c r="J384" s="2" t="s">
        <v>217</v>
      </c>
      <c r="K384" s="2" t="s">
        <v>1056</v>
      </c>
      <c r="L384" s="2" t="s">
        <v>921</v>
      </c>
      <c r="M384" s="3" t="s">
        <v>892</v>
      </c>
      <c r="N384" s="3" t="s">
        <v>53</v>
      </c>
      <c r="O384" s="3" t="s">
        <v>872</v>
      </c>
      <c r="P384" s="3"/>
    </row>
    <row r="385" spans="1:16">
      <c r="A385" s="5" t="s">
        <v>672</v>
      </c>
      <c r="B385" s="5" t="s">
        <v>673</v>
      </c>
      <c r="C385" s="6" t="s">
        <v>674</v>
      </c>
      <c r="D385" s="5" t="s">
        <v>217</v>
      </c>
      <c r="E385" s="2" t="s">
        <v>727</v>
      </c>
      <c r="F385" s="2" t="s">
        <v>727</v>
      </c>
      <c r="G385" s="5" t="s">
        <v>672</v>
      </c>
      <c r="H385" s="5" t="s">
        <v>672</v>
      </c>
      <c r="I385" s="2" t="str">
        <f t="shared" si="15"/>
        <v>Total</v>
      </c>
      <c r="J385" s="2" t="s">
        <v>217</v>
      </c>
      <c r="K385" s="2" t="s">
        <v>1055</v>
      </c>
      <c r="L385" s="2" t="s">
        <v>921</v>
      </c>
      <c r="M385" s="3" t="s">
        <v>892</v>
      </c>
      <c r="N385" s="3" t="s">
        <v>53</v>
      </c>
      <c r="O385" s="3" t="s">
        <v>872</v>
      </c>
      <c r="P385" s="3"/>
    </row>
    <row r="386" spans="1:16">
      <c r="A386" s="5" t="s">
        <v>672</v>
      </c>
      <c r="B386" s="5" t="s">
        <v>675</v>
      </c>
      <c r="C386" s="6" t="s">
        <v>676</v>
      </c>
      <c r="D386" s="5" t="s">
        <v>217</v>
      </c>
      <c r="E386" s="2" t="s">
        <v>727</v>
      </c>
      <c r="F386" s="2" t="s">
        <v>727</v>
      </c>
      <c r="G386" s="2" t="s">
        <v>1051</v>
      </c>
      <c r="H386" s="5" t="s">
        <v>672</v>
      </c>
      <c r="I386" s="2" t="str">
        <f t="shared" si="15"/>
        <v>Overdrafts</v>
      </c>
      <c r="J386" s="2" t="s">
        <v>217</v>
      </c>
      <c r="K386" s="2" t="s">
        <v>1056</v>
      </c>
      <c r="L386" s="2" t="s">
        <v>921</v>
      </c>
      <c r="M386" s="3" t="s">
        <v>892</v>
      </c>
      <c r="N386" s="3" t="s">
        <v>53</v>
      </c>
      <c r="O386" s="3" t="s">
        <v>872</v>
      </c>
      <c r="P386" s="3"/>
    </row>
    <row r="387" spans="1:16">
      <c r="A387" s="5" t="s">
        <v>672</v>
      </c>
      <c r="B387" s="5" t="s">
        <v>677</v>
      </c>
      <c r="C387" s="6" t="s">
        <v>678</v>
      </c>
      <c r="D387" s="5" t="s">
        <v>217</v>
      </c>
      <c r="E387" s="2" t="s">
        <v>727</v>
      </c>
      <c r="F387" s="2" t="s">
        <v>727</v>
      </c>
      <c r="G387" s="2" t="s">
        <v>1052</v>
      </c>
      <c r="H387" s="5" t="s">
        <v>672</v>
      </c>
      <c r="I387" s="2" t="str">
        <f t="shared" si="15"/>
        <v>Credit cards</v>
      </c>
      <c r="J387" s="2" t="s">
        <v>217</v>
      </c>
      <c r="K387" s="2" t="s">
        <v>1056</v>
      </c>
      <c r="L387" s="2" t="s">
        <v>921</v>
      </c>
      <c r="M387" s="3" t="s">
        <v>892</v>
      </c>
      <c r="N387" s="3" t="s">
        <v>53</v>
      </c>
      <c r="O387" s="3" t="s">
        <v>872</v>
      </c>
      <c r="P387" s="3"/>
    </row>
    <row r="388" spans="1:16">
      <c r="A388" s="5" t="s">
        <v>672</v>
      </c>
      <c r="B388" s="5" t="s">
        <v>679</v>
      </c>
      <c r="C388" s="6" t="s">
        <v>680</v>
      </c>
      <c r="D388" s="5" t="s">
        <v>217</v>
      </c>
      <c r="E388" s="2" t="s">
        <v>727</v>
      </c>
      <c r="F388" s="2" t="s">
        <v>727</v>
      </c>
      <c r="G388" s="2" t="s">
        <v>1053</v>
      </c>
      <c r="H388" s="5" t="s">
        <v>672</v>
      </c>
      <c r="I388" s="2" t="str">
        <f t="shared" si="15"/>
        <v>Term loans</v>
      </c>
      <c r="J388" s="2" t="s">
        <v>217</v>
      </c>
      <c r="K388" s="2" t="s">
        <v>1056</v>
      </c>
      <c r="L388" s="2" t="s">
        <v>921</v>
      </c>
      <c r="M388" s="3" t="s">
        <v>892</v>
      </c>
      <c r="N388" s="3" t="s">
        <v>53</v>
      </c>
      <c r="O388" s="3" t="s">
        <v>872</v>
      </c>
      <c r="P388" s="3"/>
    </row>
    <row r="389" spans="1:16">
      <c r="A389" s="5" t="s">
        <v>672</v>
      </c>
      <c r="B389" s="5" t="s">
        <v>681</v>
      </c>
      <c r="C389" s="6" t="s">
        <v>682</v>
      </c>
      <c r="D389" s="5" t="s">
        <v>217</v>
      </c>
      <c r="E389" s="2" t="s">
        <v>727</v>
      </c>
      <c r="F389" s="2" t="s">
        <v>727</v>
      </c>
      <c r="G389" s="2" t="s">
        <v>1054</v>
      </c>
      <c r="H389" s="5" t="s">
        <v>672</v>
      </c>
      <c r="I389" s="2" t="str">
        <f t="shared" si="15"/>
        <v>Other</v>
      </c>
      <c r="J389" s="2" t="s">
        <v>217</v>
      </c>
      <c r="K389" s="2" t="s">
        <v>1056</v>
      </c>
      <c r="L389" s="2" t="s">
        <v>921</v>
      </c>
      <c r="M389" s="3" t="s">
        <v>892</v>
      </c>
      <c r="N389" s="3" t="s">
        <v>53</v>
      </c>
      <c r="O389" s="3" t="s">
        <v>872</v>
      </c>
      <c r="P389" s="3"/>
    </row>
    <row r="390" spans="1:16">
      <c r="A390" s="5" t="s">
        <v>683</v>
      </c>
      <c r="B390" s="5" t="s">
        <v>684</v>
      </c>
      <c r="C390" s="6" t="s">
        <v>685</v>
      </c>
      <c r="D390" s="5" t="s">
        <v>217</v>
      </c>
      <c r="E390" s="2" t="s">
        <v>727</v>
      </c>
      <c r="F390" s="2" t="s">
        <v>727</v>
      </c>
      <c r="G390" s="5" t="s">
        <v>683</v>
      </c>
      <c r="H390" s="5" t="s">
        <v>683</v>
      </c>
      <c r="I390" s="2" t="str">
        <f t="shared" si="15"/>
        <v>Total</v>
      </c>
      <c r="J390" s="2" t="s">
        <v>217</v>
      </c>
      <c r="K390" s="2" t="s">
        <v>1055</v>
      </c>
      <c r="L390" s="2" t="s">
        <v>921</v>
      </c>
      <c r="M390" s="3" t="s">
        <v>892</v>
      </c>
      <c r="N390" s="3" t="s">
        <v>53</v>
      </c>
      <c r="O390" s="3" t="s">
        <v>872</v>
      </c>
      <c r="P390" s="3"/>
    </row>
    <row r="391" spans="1:16">
      <c r="A391" s="5" t="s">
        <v>683</v>
      </c>
      <c r="B391" s="5" t="s">
        <v>686</v>
      </c>
      <c r="C391" s="6" t="s">
        <v>687</v>
      </c>
      <c r="D391" s="5" t="s">
        <v>217</v>
      </c>
      <c r="E391" s="2" t="s">
        <v>727</v>
      </c>
      <c r="F391" s="2" t="s">
        <v>727</v>
      </c>
      <c r="G391" s="2" t="s">
        <v>1051</v>
      </c>
      <c r="H391" s="5" t="s">
        <v>683</v>
      </c>
      <c r="I391" s="2" t="str">
        <f t="shared" si="15"/>
        <v>Interest only</v>
      </c>
      <c r="J391" s="2" t="s">
        <v>217</v>
      </c>
      <c r="K391" s="2" t="s">
        <v>1056</v>
      </c>
      <c r="L391" s="2" t="s">
        <v>921</v>
      </c>
      <c r="M391" s="3" t="s">
        <v>892</v>
      </c>
      <c r="N391" s="3" t="s">
        <v>53</v>
      </c>
      <c r="O391" s="3" t="s">
        <v>872</v>
      </c>
      <c r="P391" s="3"/>
    </row>
    <row r="392" spans="1:16">
      <c r="A392" s="5" t="s">
        <v>683</v>
      </c>
      <c r="B392" s="5" t="s">
        <v>688</v>
      </c>
      <c r="C392" s="6" t="s">
        <v>689</v>
      </c>
      <c r="D392" s="5" t="s">
        <v>217</v>
      </c>
      <c r="E392" s="2" t="s">
        <v>727</v>
      </c>
      <c r="F392" s="2" t="s">
        <v>727</v>
      </c>
      <c r="G392" s="2" t="s">
        <v>1052</v>
      </c>
      <c r="H392" s="5" t="s">
        <v>683</v>
      </c>
      <c r="I392" s="2" t="str">
        <f t="shared" si="15"/>
        <v>Revolving credit</v>
      </c>
      <c r="J392" s="2" t="s">
        <v>217</v>
      </c>
      <c r="K392" s="2" t="s">
        <v>1056</v>
      </c>
      <c r="L392" s="2" t="s">
        <v>921</v>
      </c>
      <c r="M392" s="3" t="s">
        <v>892</v>
      </c>
      <c r="N392" s="3" t="s">
        <v>53</v>
      </c>
      <c r="O392" s="3" t="s">
        <v>872</v>
      </c>
      <c r="P392" s="3"/>
    </row>
    <row r="393" spans="1:16">
      <c r="A393" s="5" t="s">
        <v>683</v>
      </c>
      <c r="B393" s="5" t="s">
        <v>690</v>
      </c>
      <c r="C393" s="6" t="s">
        <v>691</v>
      </c>
      <c r="D393" s="5" t="s">
        <v>217</v>
      </c>
      <c r="E393" s="2" t="s">
        <v>727</v>
      </c>
      <c r="F393" s="2" t="s">
        <v>727</v>
      </c>
      <c r="G393" s="2" t="s">
        <v>1053</v>
      </c>
      <c r="H393" s="5" t="s">
        <v>683</v>
      </c>
      <c r="I393" s="2" t="str">
        <f t="shared" si="15"/>
        <v>Principal &amp; interest</v>
      </c>
      <c r="J393" s="2" t="s">
        <v>217</v>
      </c>
      <c r="K393" s="2" t="s">
        <v>1056</v>
      </c>
      <c r="L393" s="2" t="s">
        <v>921</v>
      </c>
      <c r="M393" s="3" t="s">
        <v>892</v>
      </c>
      <c r="N393" s="3" t="s">
        <v>53</v>
      </c>
      <c r="O393" s="3" t="s">
        <v>872</v>
      </c>
      <c r="P393" s="3"/>
    </row>
    <row r="394" spans="1:16">
      <c r="A394" s="5" t="s">
        <v>683</v>
      </c>
      <c r="B394" s="5" t="s">
        <v>692</v>
      </c>
      <c r="C394" s="6" t="s">
        <v>693</v>
      </c>
      <c r="D394" s="5" t="s">
        <v>217</v>
      </c>
      <c r="E394" s="2" t="s">
        <v>727</v>
      </c>
      <c r="F394" s="2" t="s">
        <v>727</v>
      </c>
      <c r="G394" s="2" t="s">
        <v>1054</v>
      </c>
      <c r="H394" s="5" t="s">
        <v>683</v>
      </c>
      <c r="I394" s="2" t="str">
        <f t="shared" si="15"/>
        <v>Other</v>
      </c>
      <c r="J394" s="2" t="s">
        <v>217</v>
      </c>
      <c r="K394" s="2" t="s">
        <v>1056</v>
      </c>
      <c r="L394" s="2" t="s">
        <v>921</v>
      </c>
      <c r="M394" s="3" t="s">
        <v>892</v>
      </c>
      <c r="N394" s="3" t="s">
        <v>53</v>
      </c>
      <c r="O394" s="3" t="s">
        <v>872</v>
      </c>
      <c r="P394" s="3"/>
    </row>
    <row r="395" spans="1:16">
      <c r="A395" s="5" t="s">
        <v>694</v>
      </c>
      <c r="B395" s="5" t="s">
        <v>695</v>
      </c>
      <c r="C395" s="6" t="s">
        <v>696</v>
      </c>
      <c r="D395" s="5" t="s">
        <v>217</v>
      </c>
      <c r="E395" s="2" t="s">
        <v>727</v>
      </c>
      <c r="F395" s="2" t="s">
        <v>727</v>
      </c>
      <c r="G395" s="5" t="s">
        <v>694</v>
      </c>
      <c r="H395" s="5" t="s">
        <v>694</v>
      </c>
      <c r="I395" s="2" t="str">
        <f t="shared" si="15"/>
        <v>Total</v>
      </c>
      <c r="J395" s="2" t="s">
        <v>217</v>
      </c>
      <c r="K395" s="2" t="s">
        <v>1055</v>
      </c>
      <c r="L395" s="2" t="s">
        <v>921</v>
      </c>
      <c r="M395" s="3" t="s">
        <v>892</v>
      </c>
      <c r="N395" s="3" t="s">
        <v>53</v>
      </c>
      <c r="O395" s="3" t="s">
        <v>872</v>
      </c>
      <c r="P395" s="3"/>
    </row>
    <row r="396" spans="1:16">
      <c r="A396" s="5" t="s">
        <v>694</v>
      </c>
      <c r="B396" s="5" t="s">
        <v>697</v>
      </c>
      <c r="C396" s="6" t="s">
        <v>698</v>
      </c>
      <c r="D396" s="5" t="s">
        <v>217</v>
      </c>
      <c r="E396" s="2" t="s">
        <v>727</v>
      </c>
      <c r="F396" s="2" t="s">
        <v>727</v>
      </c>
      <c r="G396" s="2" t="s">
        <v>1051</v>
      </c>
      <c r="H396" s="5" t="s">
        <v>694</v>
      </c>
      <c r="I396" s="2" t="str">
        <f t="shared" si="15"/>
        <v>Interest only</v>
      </c>
      <c r="J396" s="2" t="s">
        <v>217</v>
      </c>
      <c r="K396" s="2" t="s">
        <v>1056</v>
      </c>
      <c r="L396" s="2" t="s">
        <v>921</v>
      </c>
      <c r="M396" s="3" t="s">
        <v>892</v>
      </c>
      <c r="N396" s="3" t="s">
        <v>53</v>
      </c>
      <c r="O396" s="3" t="s">
        <v>872</v>
      </c>
      <c r="P396" s="3"/>
    </row>
    <row r="397" spans="1:16">
      <c r="A397" s="5" t="s">
        <v>694</v>
      </c>
      <c r="B397" s="5" t="s">
        <v>699</v>
      </c>
      <c r="C397" s="6" t="s">
        <v>700</v>
      </c>
      <c r="D397" s="5" t="s">
        <v>217</v>
      </c>
      <c r="E397" s="2" t="s">
        <v>727</v>
      </c>
      <c r="F397" s="2" t="s">
        <v>727</v>
      </c>
      <c r="G397" s="2" t="s">
        <v>1052</v>
      </c>
      <c r="H397" s="5" t="s">
        <v>694</v>
      </c>
      <c r="I397" s="2" t="str">
        <f t="shared" si="15"/>
        <v>Revolving credit</v>
      </c>
      <c r="J397" s="2" t="s">
        <v>217</v>
      </c>
      <c r="K397" s="2" t="s">
        <v>1056</v>
      </c>
      <c r="L397" s="2" t="s">
        <v>921</v>
      </c>
      <c r="M397" s="3" t="s">
        <v>892</v>
      </c>
      <c r="N397" s="3" t="s">
        <v>53</v>
      </c>
      <c r="O397" s="3" t="s">
        <v>872</v>
      </c>
      <c r="P397" s="3"/>
    </row>
    <row r="398" spans="1:16">
      <c r="A398" s="5" t="s">
        <v>694</v>
      </c>
      <c r="B398" s="5" t="s">
        <v>701</v>
      </c>
      <c r="C398" s="6" t="s">
        <v>702</v>
      </c>
      <c r="D398" s="5" t="s">
        <v>217</v>
      </c>
      <c r="E398" s="2" t="s">
        <v>727</v>
      </c>
      <c r="F398" s="2" t="s">
        <v>727</v>
      </c>
      <c r="G398" s="2" t="s">
        <v>1053</v>
      </c>
      <c r="H398" s="5" t="s">
        <v>694</v>
      </c>
      <c r="I398" s="2" t="str">
        <f t="shared" si="15"/>
        <v>Principal &amp; interest</v>
      </c>
      <c r="J398" s="2" t="s">
        <v>217</v>
      </c>
      <c r="K398" s="2" t="s">
        <v>1056</v>
      </c>
      <c r="L398" s="2" t="s">
        <v>921</v>
      </c>
      <c r="M398" s="3" t="s">
        <v>892</v>
      </c>
      <c r="N398" s="3" t="s">
        <v>53</v>
      </c>
      <c r="O398" s="3" t="s">
        <v>872</v>
      </c>
      <c r="P398" s="3"/>
    </row>
    <row r="399" spans="1:16">
      <c r="A399" s="5" t="s">
        <v>694</v>
      </c>
      <c r="B399" s="5" t="s">
        <v>703</v>
      </c>
      <c r="C399" s="6" t="s">
        <v>704</v>
      </c>
      <c r="D399" s="5" t="s">
        <v>217</v>
      </c>
      <c r="E399" s="2" t="s">
        <v>727</v>
      </c>
      <c r="F399" s="2" t="s">
        <v>727</v>
      </c>
      <c r="G399" s="2" t="s">
        <v>1054</v>
      </c>
      <c r="H399" s="5" t="s">
        <v>694</v>
      </c>
      <c r="I399" s="2" t="str">
        <f t="shared" si="15"/>
        <v>Other</v>
      </c>
      <c r="J399" s="2" t="s">
        <v>217</v>
      </c>
      <c r="K399" s="2" t="s">
        <v>1056</v>
      </c>
      <c r="L399" s="2" t="s">
        <v>921</v>
      </c>
      <c r="M399" s="3" t="s">
        <v>892</v>
      </c>
      <c r="N399" s="3" t="s">
        <v>53</v>
      </c>
      <c r="O399" s="3" t="s">
        <v>872</v>
      </c>
      <c r="P399" s="3"/>
    </row>
    <row r="400" spans="1:16">
      <c r="A400" s="5" t="s">
        <v>705</v>
      </c>
      <c r="B400" s="5" t="s">
        <v>706</v>
      </c>
      <c r="C400" s="6" t="s">
        <v>707</v>
      </c>
      <c r="D400" s="5" t="s">
        <v>217</v>
      </c>
      <c r="E400" s="2" t="s">
        <v>727</v>
      </c>
      <c r="F400" s="2" t="s">
        <v>727</v>
      </c>
      <c r="G400" s="5" t="s">
        <v>705</v>
      </c>
      <c r="H400" s="5" t="s">
        <v>705</v>
      </c>
      <c r="I400" s="2" t="str">
        <f t="shared" si="15"/>
        <v>Total</v>
      </c>
      <c r="J400" s="2" t="s">
        <v>217</v>
      </c>
      <c r="K400" s="2" t="s">
        <v>1055</v>
      </c>
      <c r="L400" s="2" t="s">
        <v>921</v>
      </c>
      <c r="M400" s="3" t="s">
        <v>892</v>
      </c>
      <c r="N400" s="3" t="s">
        <v>53</v>
      </c>
      <c r="O400" s="3" t="s">
        <v>872</v>
      </c>
      <c r="P400" s="3"/>
    </row>
    <row r="401" spans="1:16">
      <c r="A401" s="5" t="s">
        <v>705</v>
      </c>
      <c r="B401" s="5" t="s">
        <v>708</v>
      </c>
      <c r="C401" s="6" t="s">
        <v>709</v>
      </c>
      <c r="D401" s="5" t="s">
        <v>217</v>
      </c>
      <c r="E401" s="2" t="s">
        <v>727</v>
      </c>
      <c r="F401" s="2" t="s">
        <v>727</v>
      </c>
      <c r="G401" s="2" t="s">
        <v>1051</v>
      </c>
      <c r="H401" s="5" t="s">
        <v>705</v>
      </c>
      <c r="I401" s="2" t="str">
        <f t="shared" si="15"/>
        <v>Interest only</v>
      </c>
      <c r="J401" s="2" t="s">
        <v>217</v>
      </c>
      <c r="K401" s="2" t="s">
        <v>1056</v>
      </c>
      <c r="L401" s="2" t="s">
        <v>921</v>
      </c>
      <c r="M401" s="3" t="s">
        <v>892</v>
      </c>
      <c r="N401" s="3" t="s">
        <v>53</v>
      </c>
      <c r="O401" s="3" t="s">
        <v>872</v>
      </c>
      <c r="P401" s="3"/>
    </row>
    <row r="402" spans="1:16">
      <c r="A402" s="5" t="s">
        <v>705</v>
      </c>
      <c r="B402" s="5" t="s">
        <v>710</v>
      </c>
      <c r="C402" s="6" t="s">
        <v>711</v>
      </c>
      <c r="D402" s="5" t="s">
        <v>217</v>
      </c>
      <c r="E402" s="2" t="s">
        <v>727</v>
      </c>
      <c r="F402" s="2" t="s">
        <v>727</v>
      </c>
      <c r="G402" s="2" t="s">
        <v>1052</v>
      </c>
      <c r="H402" s="5" t="s">
        <v>705</v>
      </c>
      <c r="I402" s="2" t="str">
        <f t="shared" si="15"/>
        <v>Revolving credit</v>
      </c>
      <c r="J402" s="2" t="s">
        <v>217</v>
      </c>
      <c r="K402" s="2" t="s">
        <v>1056</v>
      </c>
      <c r="L402" s="2" t="s">
        <v>921</v>
      </c>
      <c r="M402" s="3" t="s">
        <v>892</v>
      </c>
      <c r="N402" s="3" t="s">
        <v>53</v>
      </c>
      <c r="O402" s="3" t="s">
        <v>872</v>
      </c>
      <c r="P402" s="3"/>
    </row>
    <row r="403" spans="1:16">
      <c r="A403" s="5" t="s">
        <v>705</v>
      </c>
      <c r="B403" s="5" t="s">
        <v>712</v>
      </c>
      <c r="C403" s="6" t="s">
        <v>713</v>
      </c>
      <c r="D403" s="5" t="s">
        <v>217</v>
      </c>
      <c r="E403" s="2" t="s">
        <v>727</v>
      </c>
      <c r="F403" s="2" t="s">
        <v>727</v>
      </c>
      <c r="G403" s="2" t="s">
        <v>1053</v>
      </c>
      <c r="H403" s="5" t="s">
        <v>705</v>
      </c>
      <c r="I403" s="2" t="str">
        <f t="shared" si="15"/>
        <v>Principal &amp; interest</v>
      </c>
      <c r="J403" s="2" t="s">
        <v>217</v>
      </c>
      <c r="K403" s="2" t="s">
        <v>1056</v>
      </c>
      <c r="L403" s="2" t="s">
        <v>921</v>
      </c>
      <c r="M403" s="3" t="s">
        <v>892</v>
      </c>
      <c r="N403" s="3" t="s">
        <v>53</v>
      </c>
      <c r="O403" s="3" t="s">
        <v>872</v>
      </c>
      <c r="P403" s="3"/>
    </row>
    <row r="404" spans="1:16">
      <c r="A404" s="5" t="s">
        <v>705</v>
      </c>
      <c r="B404" s="5" t="s">
        <v>714</v>
      </c>
      <c r="C404" s="6" t="s">
        <v>715</v>
      </c>
      <c r="D404" s="5" t="s">
        <v>217</v>
      </c>
      <c r="E404" s="2" t="s">
        <v>727</v>
      </c>
      <c r="F404" s="2" t="s">
        <v>727</v>
      </c>
      <c r="G404" s="2" t="s">
        <v>1054</v>
      </c>
      <c r="H404" s="5" t="s">
        <v>705</v>
      </c>
      <c r="I404" s="2" t="str">
        <f t="shared" si="15"/>
        <v>Other</v>
      </c>
      <c r="J404" s="2" t="s">
        <v>217</v>
      </c>
      <c r="K404" s="2" t="s">
        <v>1056</v>
      </c>
      <c r="L404" s="2" t="s">
        <v>921</v>
      </c>
      <c r="M404" s="3" t="s">
        <v>892</v>
      </c>
      <c r="N404" s="3" t="s">
        <v>53</v>
      </c>
      <c r="O404" s="3" t="s">
        <v>872</v>
      </c>
      <c r="P404" s="3"/>
    </row>
    <row r="405" spans="1:16">
      <c r="A405" s="5" t="s">
        <v>716</v>
      </c>
      <c r="B405" s="5" t="s">
        <v>717</v>
      </c>
      <c r="C405" s="6" t="s">
        <v>718</v>
      </c>
      <c r="D405" s="5" t="s">
        <v>217</v>
      </c>
      <c r="E405" s="2" t="s">
        <v>727</v>
      </c>
      <c r="F405" s="2" t="s">
        <v>727</v>
      </c>
      <c r="G405" s="5" t="s">
        <v>716</v>
      </c>
      <c r="H405" s="5" t="s">
        <v>716</v>
      </c>
      <c r="I405" s="2" t="str">
        <f t="shared" si="15"/>
        <v>Total</v>
      </c>
      <c r="J405" s="2" t="s">
        <v>217</v>
      </c>
      <c r="K405" s="2" t="s">
        <v>1055</v>
      </c>
      <c r="L405" s="2" t="s">
        <v>921</v>
      </c>
      <c r="M405" s="3" t="s">
        <v>892</v>
      </c>
      <c r="N405" s="3" t="s">
        <v>53</v>
      </c>
      <c r="O405" s="3" t="s">
        <v>872</v>
      </c>
      <c r="P405" s="3"/>
    </row>
    <row r="406" spans="1:16">
      <c r="A406" s="5" t="s">
        <v>716</v>
      </c>
      <c r="B406" s="5" t="s">
        <v>719</v>
      </c>
      <c r="C406" s="6" t="s">
        <v>720</v>
      </c>
      <c r="D406" s="5" t="s">
        <v>217</v>
      </c>
      <c r="E406" s="2" t="s">
        <v>727</v>
      </c>
      <c r="F406" s="2" t="s">
        <v>727</v>
      </c>
      <c r="G406" s="2" t="s">
        <v>1051</v>
      </c>
      <c r="H406" s="5" t="s">
        <v>716</v>
      </c>
      <c r="I406" s="2" t="str">
        <f t="shared" si="15"/>
        <v>Interest only</v>
      </c>
      <c r="J406" s="2" t="s">
        <v>217</v>
      </c>
      <c r="K406" s="2" t="s">
        <v>1056</v>
      </c>
      <c r="L406" s="2" t="s">
        <v>921</v>
      </c>
      <c r="M406" s="3" t="s">
        <v>892</v>
      </c>
      <c r="N406" s="3" t="s">
        <v>53</v>
      </c>
      <c r="O406" s="3" t="s">
        <v>872</v>
      </c>
      <c r="P406" s="3"/>
    </row>
    <row r="407" spans="1:16">
      <c r="A407" s="5" t="s">
        <v>716</v>
      </c>
      <c r="B407" s="5" t="s">
        <v>721</v>
      </c>
      <c r="C407" s="6" t="s">
        <v>722</v>
      </c>
      <c r="D407" s="5" t="s">
        <v>217</v>
      </c>
      <c r="E407" s="2" t="s">
        <v>727</v>
      </c>
      <c r="F407" s="2" t="s">
        <v>727</v>
      </c>
      <c r="G407" s="2" t="s">
        <v>1052</v>
      </c>
      <c r="H407" s="5" t="s">
        <v>716</v>
      </c>
      <c r="I407" s="2" t="str">
        <f t="shared" si="15"/>
        <v>Revolving credit</v>
      </c>
      <c r="J407" s="2" t="s">
        <v>217</v>
      </c>
      <c r="K407" s="2" t="s">
        <v>1056</v>
      </c>
      <c r="L407" s="2" t="s">
        <v>921</v>
      </c>
      <c r="M407" s="3" t="s">
        <v>892</v>
      </c>
      <c r="N407" s="3" t="s">
        <v>53</v>
      </c>
      <c r="O407" s="3" t="s">
        <v>872</v>
      </c>
      <c r="P407" s="3"/>
    </row>
    <row r="408" spans="1:16">
      <c r="A408" s="5" t="s">
        <v>716</v>
      </c>
      <c r="B408" s="5" t="s">
        <v>723</v>
      </c>
      <c r="C408" s="6" t="s">
        <v>724</v>
      </c>
      <c r="D408" s="5" t="s">
        <v>217</v>
      </c>
      <c r="E408" s="2" t="s">
        <v>727</v>
      </c>
      <c r="F408" s="2" t="s">
        <v>727</v>
      </c>
      <c r="G408" s="2" t="s">
        <v>1053</v>
      </c>
      <c r="H408" s="5" t="s">
        <v>716</v>
      </c>
      <c r="I408" s="2" t="str">
        <f t="shared" si="15"/>
        <v>Principal &amp; interest</v>
      </c>
      <c r="J408" s="2" t="s">
        <v>217</v>
      </c>
      <c r="K408" s="2" t="s">
        <v>1056</v>
      </c>
      <c r="L408" s="2" t="s">
        <v>921</v>
      </c>
      <c r="M408" s="3" t="s">
        <v>892</v>
      </c>
      <c r="N408" s="3" t="s">
        <v>53</v>
      </c>
      <c r="O408" s="3" t="s">
        <v>872</v>
      </c>
      <c r="P408" s="3"/>
    </row>
    <row r="409" spans="1:16">
      <c r="A409" s="5" t="s">
        <v>716</v>
      </c>
      <c r="B409" s="5" t="s">
        <v>725</v>
      </c>
      <c r="C409" s="6" t="s">
        <v>726</v>
      </c>
      <c r="D409" s="5" t="s">
        <v>217</v>
      </c>
      <c r="E409" s="2" t="s">
        <v>727</v>
      </c>
      <c r="F409" s="2" t="s">
        <v>727</v>
      </c>
      <c r="G409" s="2" t="s">
        <v>1054</v>
      </c>
      <c r="H409" s="5" t="s">
        <v>716</v>
      </c>
      <c r="I409" s="2" t="str">
        <f t="shared" si="15"/>
        <v>Other</v>
      </c>
      <c r="J409" s="2" t="s">
        <v>217</v>
      </c>
      <c r="K409" s="2" t="s">
        <v>1056</v>
      </c>
      <c r="L409" s="2" t="s">
        <v>921</v>
      </c>
      <c r="M409" s="3" t="s">
        <v>892</v>
      </c>
      <c r="N409" s="3" t="s">
        <v>53</v>
      </c>
      <c r="O409" s="3" t="s">
        <v>872</v>
      </c>
      <c r="P409" s="3"/>
    </row>
    <row r="410" spans="1:16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9"/>
      <c r="N410" s="9"/>
      <c r="O410" s="9"/>
      <c r="P410" s="9"/>
    </row>
    <row r="411" spans="1:16">
      <c r="C411" s="2" t="s">
        <v>1057</v>
      </c>
      <c r="E411" s="2" t="s">
        <v>907</v>
      </c>
      <c r="F411" s="2" t="s">
        <v>907</v>
      </c>
      <c r="G411" s="2" t="s">
        <v>1057</v>
      </c>
      <c r="I411" s="2" t="s">
        <v>1057</v>
      </c>
      <c r="J411" s="2" t="s">
        <v>859</v>
      </c>
      <c r="L411" s="2" t="s">
        <v>921</v>
      </c>
      <c r="M411" s="3" t="s">
        <v>53</v>
      </c>
      <c r="N411" s="3" t="s">
        <v>53</v>
      </c>
      <c r="O411" s="3" t="s">
        <v>873</v>
      </c>
    </row>
    <row r="412" spans="1:16">
      <c r="C412" s="2" t="s">
        <v>1058</v>
      </c>
      <c r="E412" s="2" t="s">
        <v>907</v>
      </c>
      <c r="F412" s="2" t="s">
        <v>907</v>
      </c>
      <c r="G412" s="2" t="s">
        <v>1058</v>
      </c>
      <c r="I412" s="2" t="s">
        <v>1058</v>
      </c>
      <c r="J412" s="2" t="s">
        <v>859</v>
      </c>
      <c r="L412" s="2" t="s">
        <v>921</v>
      </c>
      <c r="M412" s="3" t="s">
        <v>53</v>
      </c>
      <c r="N412" s="3" t="s">
        <v>53</v>
      </c>
      <c r="O412" s="3" t="s">
        <v>873</v>
      </c>
    </row>
    <row r="413" spans="1:16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9"/>
      <c r="N413" s="9"/>
      <c r="O413" s="9"/>
      <c r="P413" s="9"/>
    </row>
    <row r="414" spans="1:16">
      <c r="C414" s="2" t="s">
        <v>1059</v>
      </c>
      <c r="E414" s="2" t="s">
        <v>1077</v>
      </c>
      <c r="F414" s="2" t="s">
        <v>1077</v>
      </c>
      <c r="G414" s="2" t="s">
        <v>1059</v>
      </c>
      <c r="H414" s="19"/>
      <c r="J414" s="2" t="s">
        <v>859</v>
      </c>
      <c r="L414" s="2" t="s">
        <v>921</v>
      </c>
      <c r="M414" s="3" t="s">
        <v>53</v>
      </c>
      <c r="N414" s="3" t="s">
        <v>53</v>
      </c>
      <c r="O414" s="3" t="s">
        <v>1002</v>
      </c>
    </row>
    <row r="415" spans="1:16">
      <c r="C415" s="2" t="s">
        <v>1060</v>
      </c>
      <c r="E415" s="2" t="s">
        <v>1077</v>
      </c>
      <c r="F415" s="2" t="s">
        <v>1077</v>
      </c>
      <c r="G415" s="2" t="s">
        <v>1060</v>
      </c>
      <c r="H415" s="19"/>
      <c r="J415" s="2" t="s">
        <v>859</v>
      </c>
      <c r="L415" s="2" t="s">
        <v>921</v>
      </c>
      <c r="M415" s="3" t="s">
        <v>53</v>
      </c>
      <c r="N415" s="3" t="s">
        <v>53</v>
      </c>
      <c r="O415" s="3" t="s">
        <v>1002</v>
      </c>
    </row>
    <row r="416" spans="1:16">
      <c r="C416" s="2" t="s">
        <v>1061</v>
      </c>
      <c r="E416" s="2" t="s">
        <v>1077</v>
      </c>
      <c r="F416" s="2" t="s">
        <v>1077</v>
      </c>
      <c r="G416" s="2" t="s">
        <v>1061</v>
      </c>
      <c r="H416" s="19"/>
      <c r="J416" s="2" t="s">
        <v>859</v>
      </c>
      <c r="L416" s="2" t="s">
        <v>921</v>
      </c>
      <c r="M416" s="3" t="s">
        <v>53</v>
      </c>
      <c r="N416" s="3" t="s">
        <v>53</v>
      </c>
      <c r="O416" s="3" t="s">
        <v>1002</v>
      </c>
    </row>
    <row r="417" spans="3:15">
      <c r="C417" s="2" t="s">
        <v>1062</v>
      </c>
      <c r="E417" s="2" t="s">
        <v>1077</v>
      </c>
      <c r="F417" s="2" t="s">
        <v>1077</v>
      </c>
      <c r="G417" s="2" t="s">
        <v>1062</v>
      </c>
      <c r="H417" s="19"/>
      <c r="J417" s="2" t="s">
        <v>859</v>
      </c>
      <c r="L417" s="2" t="s">
        <v>921</v>
      </c>
      <c r="M417" s="3" t="s">
        <v>53</v>
      </c>
      <c r="N417" s="3" t="s">
        <v>53</v>
      </c>
      <c r="O417" s="3" t="s">
        <v>1002</v>
      </c>
    </row>
    <row r="418" spans="3:15">
      <c r="C418" s="2" t="s">
        <v>1063</v>
      </c>
      <c r="E418" s="2" t="s">
        <v>1077</v>
      </c>
      <c r="F418" s="2" t="s">
        <v>1077</v>
      </c>
      <c r="G418" s="2" t="s">
        <v>1063</v>
      </c>
      <c r="H418" s="19"/>
      <c r="J418" s="2" t="s">
        <v>859</v>
      </c>
      <c r="L418" s="2" t="s">
        <v>921</v>
      </c>
      <c r="M418" s="3" t="s">
        <v>53</v>
      </c>
      <c r="N418" s="3" t="s">
        <v>53</v>
      </c>
      <c r="O418" s="3" t="s">
        <v>1002</v>
      </c>
    </row>
    <row r="419" spans="3:15">
      <c r="C419" s="2" t="s">
        <v>1064</v>
      </c>
      <c r="E419" s="2" t="s">
        <v>1077</v>
      </c>
      <c r="F419" s="2" t="s">
        <v>1077</v>
      </c>
      <c r="G419" s="2" t="s">
        <v>1064</v>
      </c>
      <c r="H419" s="19"/>
      <c r="J419" s="2" t="s">
        <v>859</v>
      </c>
      <c r="L419" s="2" t="s">
        <v>921</v>
      </c>
      <c r="M419" s="3" t="s">
        <v>53</v>
      </c>
      <c r="N419" s="3" t="s">
        <v>53</v>
      </c>
      <c r="O419" s="3" t="s">
        <v>1002</v>
      </c>
    </row>
    <row r="420" spans="3:15">
      <c r="C420" s="2" t="s">
        <v>1065</v>
      </c>
      <c r="E420" s="2" t="s">
        <v>1077</v>
      </c>
      <c r="F420" s="2" t="s">
        <v>1077</v>
      </c>
      <c r="G420" s="2" t="s">
        <v>1065</v>
      </c>
      <c r="J420" s="2" t="s">
        <v>859</v>
      </c>
      <c r="L420" s="2" t="s">
        <v>921</v>
      </c>
      <c r="M420" s="3" t="s">
        <v>53</v>
      </c>
      <c r="N420" s="3" t="s">
        <v>53</v>
      </c>
      <c r="O420" s="3" t="s">
        <v>1002</v>
      </c>
    </row>
    <row r="421" spans="3:15">
      <c r="C421" s="2" t="s">
        <v>1066</v>
      </c>
      <c r="E421" s="2" t="s">
        <v>1077</v>
      </c>
      <c r="F421" s="2" t="s">
        <v>1077</v>
      </c>
      <c r="G421" s="2" t="s">
        <v>1066</v>
      </c>
      <c r="H421" s="19"/>
      <c r="J421" s="2" t="s">
        <v>859</v>
      </c>
      <c r="L421" s="2" t="s">
        <v>921</v>
      </c>
      <c r="M421" s="3" t="s">
        <v>53</v>
      </c>
      <c r="N421" s="3" t="s">
        <v>53</v>
      </c>
      <c r="O421" s="3" t="s">
        <v>1002</v>
      </c>
    </row>
    <row r="422" spans="3:15">
      <c r="C422" s="2" t="s">
        <v>1067</v>
      </c>
      <c r="E422" s="2" t="s">
        <v>1077</v>
      </c>
      <c r="F422" s="2" t="s">
        <v>1077</v>
      </c>
      <c r="G422" s="2" t="s">
        <v>1067</v>
      </c>
      <c r="H422" s="19"/>
      <c r="J422" s="2" t="s">
        <v>859</v>
      </c>
      <c r="L422" s="2" t="s">
        <v>921</v>
      </c>
      <c r="M422" s="3" t="s">
        <v>53</v>
      </c>
      <c r="N422" s="3" t="s">
        <v>53</v>
      </c>
      <c r="O422" s="3" t="s">
        <v>1002</v>
      </c>
    </row>
    <row r="423" spans="3:15">
      <c r="C423" s="2" t="s">
        <v>1068</v>
      </c>
      <c r="E423" s="2" t="s">
        <v>1077</v>
      </c>
      <c r="F423" s="2" t="s">
        <v>1077</v>
      </c>
      <c r="G423" s="2" t="s">
        <v>1068</v>
      </c>
      <c r="H423" s="19"/>
      <c r="J423" s="2" t="s">
        <v>859</v>
      </c>
      <c r="L423" s="2" t="s">
        <v>921</v>
      </c>
      <c r="M423" s="3" t="s">
        <v>53</v>
      </c>
      <c r="N423" s="3" t="s">
        <v>53</v>
      </c>
      <c r="O423" s="3" t="s">
        <v>1002</v>
      </c>
    </row>
    <row r="424" spans="3:15">
      <c r="C424" s="2" t="s">
        <v>1069</v>
      </c>
      <c r="E424" s="2" t="s">
        <v>1077</v>
      </c>
      <c r="F424" s="2" t="s">
        <v>1077</v>
      </c>
      <c r="G424" s="2" t="s">
        <v>1069</v>
      </c>
      <c r="H424" s="19"/>
      <c r="J424" s="2" t="s">
        <v>859</v>
      </c>
      <c r="L424" s="2" t="s">
        <v>921</v>
      </c>
      <c r="M424" s="3" t="s">
        <v>53</v>
      </c>
      <c r="N424" s="3" t="s">
        <v>53</v>
      </c>
      <c r="O424" s="3" t="s">
        <v>1002</v>
      </c>
    </row>
    <row r="425" spans="3:15">
      <c r="C425" s="2" t="s">
        <v>1070</v>
      </c>
      <c r="E425" s="2" t="s">
        <v>1077</v>
      </c>
      <c r="F425" s="2" t="s">
        <v>1077</v>
      </c>
      <c r="G425" s="2" t="s">
        <v>1070</v>
      </c>
      <c r="H425" s="19"/>
      <c r="J425" s="2" t="s">
        <v>859</v>
      </c>
      <c r="L425" s="2" t="s">
        <v>921</v>
      </c>
      <c r="M425" s="3" t="s">
        <v>53</v>
      </c>
      <c r="N425" s="3" t="s">
        <v>53</v>
      </c>
      <c r="O425" s="3" t="s">
        <v>1002</v>
      </c>
    </row>
    <row r="426" spans="3:15">
      <c r="C426" s="2" t="s">
        <v>1071</v>
      </c>
      <c r="E426" s="2" t="s">
        <v>1077</v>
      </c>
      <c r="F426" s="2" t="s">
        <v>1077</v>
      </c>
      <c r="G426" s="2" t="s">
        <v>1071</v>
      </c>
      <c r="H426" s="19"/>
      <c r="J426" s="2" t="s">
        <v>859</v>
      </c>
      <c r="L426" s="2" t="s">
        <v>921</v>
      </c>
      <c r="M426" s="3" t="s">
        <v>53</v>
      </c>
      <c r="N426" s="3" t="s">
        <v>53</v>
      </c>
      <c r="O426" s="3" t="s">
        <v>1002</v>
      </c>
    </row>
    <row r="427" spans="3:15">
      <c r="C427" s="2" t="s">
        <v>1072</v>
      </c>
      <c r="E427" s="2" t="s">
        <v>1077</v>
      </c>
      <c r="F427" s="2" t="s">
        <v>1077</v>
      </c>
      <c r="G427" s="2" t="s">
        <v>1072</v>
      </c>
      <c r="H427" s="19"/>
      <c r="J427" s="2" t="s">
        <v>859</v>
      </c>
      <c r="L427" s="2" t="s">
        <v>921</v>
      </c>
      <c r="M427" s="3" t="s">
        <v>53</v>
      </c>
      <c r="N427" s="3" t="s">
        <v>53</v>
      </c>
      <c r="O427" s="3" t="s">
        <v>1002</v>
      </c>
    </row>
    <row r="428" spans="3:15">
      <c r="C428" s="2" t="s">
        <v>1073</v>
      </c>
      <c r="E428" s="2" t="s">
        <v>1077</v>
      </c>
      <c r="F428" s="2" t="s">
        <v>1077</v>
      </c>
      <c r="G428" s="2" t="s">
        <v>1073</v>
      </c>
      <c r="H428" s="19"/>
      <c r="J428" s="2" t="s">
        <v>859</v>
      </c>
      <c r="L428" s="2" t="s">
        <v>921</v>
      </c>
      <c r="M428" s="3" t="s">
        <v>53</v>
      </c>
      <c r="N428" s="3" t="s">
        <v>53</v>
      </c>
      <c r="O428" s="3" t="s">
        <v>1002</v>
      </c>
    </row>
    <row r="429" spans="3:15">
      <c r="C429" s="2" t="s">
        <v>1074</v>
      </c>
      <c r="E429" s="2" t="s">
        <v>1077</v>
      </c>
      <c r="F429" s="2" t="s">
        <v>1077</v>
      </c>
      <c r="G429" s="2" t="s">
        <v>1074</v>
      </c>
      <c r="H429" s="19"/>
      <c r="J429" s="2" t="s">
        <v>859</v>
      </c>
      <c r="L429" s="2" t="s">
        <v>921</v>
      </c>
      <c r="M429" s="3" t="s">
        <v>53</v>
      </c>
      <c r="N429" s="3" t="s">
        <v>53</v>
      </c>
      <c r="O429" s="3" t="s">
        <v>1002</v>
      </c>
    </row>
    <row r="430" spans="3:15">
      <c r="C430" s="2" t="s">
        <v>1075</v>
      </c>
      <c r="E430" s="2" t="s">
        <v>1077</v>
      </c>
      <c r="F430" s="2" t="s">
        <v>1077</v>
      </c>
      <c r="G430" s="2" t="s">
        <v>1075</v>
      </c>
      <c r="H430" s="19"/>
      <c r="J430" s="2" t="s">
        <v>859</v>
      </c>
      <c r="L430" s="2" t="s">
        <v>921</v>
      </c>
      <c r="M430" s="3" t="s">
        <v>53</v>
      </c>
      <c r="N430" s="3" t="s">
        <v>53</v>
      </c>
      <c r="O430" s="3" t="s">
        <v>1002</v>
      </c>
    </row>
    <row r="431" spans="3:15">
      <c r="C431" s="2" t="s">
        <v>1076</v>
      </c>
      <c r="E431" s="2" t="s">
        <v>1077</v>
      </c>
      <c r="F431" s="2" t="s">
        <v>1077</v>
      </c>
      <c r="G431" s="2" t="s">
        <v>1076</v>
      </c>
      <c r="H431" s="19"/>
      <c r="J431" s="2" t="s">
        <v>859</v>
      </c>
      <c r="L431" s="2" t="s">
        <v>921</v>
      </c>
      <c r="M431" s="3" t="s">
        <v>53</v>
      </c>
      <c r="N431" s="3" t="s">
        <v>53</v>
      </c>
      <c r="O431" s="3" t="s">
        <v>1002</v>
      </c>
    </row>
    <row r="435" spans="8:8">
      <c r="H435" s="19"/>
    </row>
    <row r="436" spans="8:8">
      <c r="H436" s="19"/>
    </row>
  </sheetData>
  <autoFilter ref="A1:P411" xr:uid="{7951F0BF-F4F4-4018-91DD-7578A3106959}"/>
  <hyperlinks>
    <hyperlink ref="C3" location="'Data'!R5C2" display="EXRT.DS41.NZB17" xr:uid="{7A4F220A-73AE-4A01-9521-F41239DF6073}"/>
    <hyperlink ref="C4" location="'Data'!R5C3" display="EXR.DS11.D06" xr:uid="{DF0EA1AF-7012-471F-8908-35612D8DE700}"/>
    <hyperlink ref="C5" location="'Data'!R5C4" display="EXR.DS11.D04" xr:uid="{BCFAC252-732B-4F3F-B81F-A5C9C3262355}"/>
    <hyperlink ref="C6" location="'Data'!R5C5" display="EXR.DS11.D01" xr:uid="{B9DC0199-8841-43E4-980A-08513BCAAC44}"/>
    <hyperlink ref="C7" location="'Data'!R5C6" display="EXR.DS11.D05" xr:uid="{7CF019DB-F183-4E2D-BC4C-7DF677776669}"/>
    <hyperlink ref="C8" location="'Data'!R5C7" display="EXR.DS11.D03" xr:uid="{249BF3E4-9A30-4E53-A7B0-82536B9A9480}"/>
    <hyperlink ref="C9" location="'Data'!R5C8" display="EXR.DS11.D02" xr:uid="{2B83B25F-165F-4F14-8634-568A5092742D}"/>
    <hyperlink ref="C10" location="'Data'!R5C9" display="EXR.DS11.D12" xr:uid="{25D9C6A1-2265-4B10-AC78-6FADB54CE211}"/>
    <hyperlink ref="C11" location="'Data'!R5C10" display="EXR.DS11.D11" xr:uid="{58563EB5-BC83-42E7-97DC-B1605BB005A5}"/>
    <hyperlink ref="C12" location="'Data'!R5C11" display="EXR.DS11.D14" xr:uid="{16CBDB1D-75DC-4198-ACDC-62E83D66320E}"/>
    <hyperlink ref="C13" location="'Data'!R5C12" display="EXR.DS11.D08" xr:uid="{A776FFF7-BDB6-4F95-ABF5-0059A1B6ECB4}"/>
    <hyperlink ref="C14" location="'Data'!R5C13" display="EXR.DS11.D13" xr:uid="{8BAFCFFC-78FA-4CB7-8FCE-12860C4A900D}"/>
    <hyperlink ref="C15" location="'Data'!R5C14" display="EXR.DS11.D15" xr:uid="{3CFBDDF8-A258-4F2A-8CB7-7761EE5951AF}"/>
    <hyperlink ref="C16" location="'Data'!R5C15" display="EXR.DS11.D09" xr:uid="{6DB9FD0B-68B1-4966-A879-192BD00EF927}"/>
    <hyperlink ref="C17" location="'Data'!R5C16" display="EXR.DS11.D16" xr:uid="{56C27A56-3BB5-47BC-BCBD-73A8FDE2FCA0}"/>
    <hyperlink ref="C18" location="'Data'!R5C17" display="EXR.DS11.D31" xr:uid="{4E2F5535-E389-4938-AE9F-59475B633285}"/>
    <hyperlink ref="C19" location="'Data'!R5C18" display="EXR.DS11.D32" xr:uid="{B85D186C-BCF2-4BC3-9D31-CB05FE657F01}"/>
    <hyperlink ref="C20" location="'Data'!R5C19" display="EXR.DS11.D33" xr:uid="{909F8CB2-EF58-499C-8797-411336583AB9}"/>
    <hyperlink ref="C21" location="'Data'!R5C20" display="EXRT.DS41.N" xr:uid="{765CAD93-4607-4632-B9E3-CA7E4A9D70A8}"/>
    <hyperlink ref="C101" location="'Data'!R5C2" display="CPI.Q.C.ia" xr:uid="{87B9DABD-6606-4C09-82D5-777364D869A1}"/>
    <hyperlink ref="C102" location="'Data'!R5C3" display="CPI.Q.C.iaq" xr:uid="{45F0F54D-79BB-4A83-9009-41B30FB695B3}"/>
    <hyperlink ref="C103" location="'Data'!R5C4" display="CPI.Q.C.iay" xr:uid="{11D922BB-EFE3-4DF7-A1C5-27FB4BF4927A}"/>
    <hyperlink ref="C104" location="'Data'!R5C5" display="CPIT.Q.C.ia" xr:uid="{195AD599-18AE-4C38-BF23-0397894360A8}"/>
    <hyperlink ref="C105" location="'Data'!R5C6" display="CPIT.Q.C.iaq" xr:uid="{F242541A-34E2-4AF7-9070-3A0DE6E5B5A3}"/>
    <hyperlink ref="C106" location="'Data'!R5C7" display="CPIT.Q.C.iay" xr:uid="{811D79E4-028C-4DFE-8460-DD621DC36218}"/>
    <hyperlink ref="C107" location="'Data'!R5C8" display="CPIN.Q.C.ia" xr:uid="{C9FF11E9-C732-4B33-A305-86E754387718}"/>
    <hyperlink ref="C108" location="'Data'!R5C9" display="CPIN.Q.C.iaq" xr:uid="{96DA713C-3BB3-4EDD-895A-09B72B1E5AE0}"/>
    <hyperlink ref="C109" location="'Data'!R5C10" display="CPIN.Q.C.iay" xr:uid="{8915D1B3-5232-448E-9248-1C715D81873A}"/>
    <hyperlink ref="C110" location="'Data'!R5C11" display="CPI.Q.C01.ia" xr:uid="{487A732E-141D-479F-AB0F-652F65E83BF7}"/>
    <hyperlink ref="C111" location="'Data'!R5C12" display="CPI.Q.C01.iaq" xr:uid="{5BBCBCC7-FE4C-472C-8322-E53D397260EB}"/>
    <hyperlink ref="C112" location="'Data'!R5C13" display="CPI.Q.C01.iay" xr:uid="{C5D620D8-2247-438C-B3E0-9158FA6D4002}"/>
    <hyperlink ref="C113" location="'Data'!R5C14" display="CPI.Q.C04.ia" xr:uid="{F2266257-65C6-4FBF-99E6-279AE1D1878A}"/>
    <hyperlink ref="C114" location="'Data'!R5C15" display="CPI.Q.C04.iaq" xr:uid="{32FBCDC2-1B74-4801-8449-DCA5E6CD2E69}"/>
    <hyperlink ref="C115" location="'Data'!R5C16" display="CPI.Q.C04.iay" xr:uid="{F9A88359-1D90-4784-A20E-65408EA24D1D}"/>
    <hyperlink ref="C116" location="'Data'!R5C17" display="CPI.Q.C07.ia" xr:uid="{B7D07463-0694-4CA4-A2EB-C51AE807F30D}"/>
    <hyperlink ref="C117" location="'Data'!R5C18" display="CPI.Q.C07.iaq" xr:uid="{EFBCEACC-1D23-416A-BFA0-6C97F5BE6349}"/>
    <hyperlink ref="C118" location="'Data'!R5C19" display="CPI.Q.C07.iay" xr:uid="{521ECBEE-64C3-4CDC-BF6A-195AA5ECC72A}"/>
    <hyperlink ref="C119" location="'Data'!R5C20" display="CPI.Q.C07202.ia" xr:uid="{1337AB8A-5F54-48B0-ACA5-765DFD0CB9D9}"/>
    <hyperlink ref="C120" location="'Data'!R5C21" display="CPI.Q.C07202.iaq" xr:uid="{4FDFECEE-C6D4-49DC-9F00-A6F48C78C396}"/>
    <hyperlink ref="C121" location="'Data'!R5C22" display="CPI.Q.C07202.iay" xr:uid="{57D767AB-B2A2-435A-A6A4-FD6D75F5E354}"/>
    <hyperlink ref="C122" location="'Data'!R5C23" display="CPI.Q.ZC21.ia" xr:uid="{C157E1B6-D3CC-480B-8C67-0D462482DD53}"/>
    <hyperlink ref="C123" location="'Data'!R5C24" display="CPI.Q.ZC21.iaq" xr:uid="{0AFAE541-EEE0-47A5-95D7-3583D1A5F74C}"/>
    <hyperlink ref="C124" location="'Data'!R5C25" display="CPI.Q.ZC21.iay" xr:uid="{E9B8E04D-D62A-41F3-8246-56D4F8721017}"/>
    <hyperlink ref="C125" location="'Data'!R5C26" display="CPI.Q.ZC40.iaq" xr:uid="{7712505F-5AAD-477C-93B4-3315BBAA1244}"/>
    <hyperlink ref="C126" location="'Data'!R5C27" display="CPIM.Q.C40T10B17.iay" xr:uid="{CD556832-BC73-46B6-B4F3-3E2327F6DD5C}"/>
    <hyperlink ref="C127" location="'Data'!R5C28" display="CPI.Q.ZC41.iaq" xr:uid="{B12FE37A-26BE-4EA4-AFED-BAD0F006C734}"/>
    <hyperlink ref="C128" location="'Data'!R5C29" display="CPIW.Q.C41P50B17.iay" xr:uid="{C60CE466-9490-45D1-AF50-DF75250915FD}"/>
    <hyperlink ref="C129" location="'Data'!R5C30" display="CPI.Q.ZC42.iay" xr:uid="{36473368-7030-49B1-ADD8-A98FEC9C76E5}"/>
    <hyperlink ref="C130" location="'Data'!R5C31" display="CPI.Q.ZC43.iay" xr:uid="{994594F0-DAA0-4C75-91A4-B357719C62E7}"/>
    <hyperlink ref="C131" location="'Data'!R5C32" display="CPI.Q.ZC431.iay" xr:uid="{FCE146C1-68B4-42A3-8726-ED090CA2A415}"/>
    <hyperlink ref="C132" location="'Data'!R5C33" display="CPI.Q.ZC432.iay" xr:uid="{6D00A7F2-443E-4D2F-A7DE-1C0C8B167C22}"/>
    <hyperlink ref="C133" location="'Data'!R5C34" display="HPI.Q.H01T0.ia" xr:uid="{2927D728-9D05-4910-AC60-665E4CB33E5B}"/>
    <hyperlink ref="C134" location="'Data'!R5C35" display="HPI.Q.H01T0.iaq" xr:uid="{1BA7BD89-D204-4239-992E-92C50F601679}"/>
    <hyperlink ref="C135" location="'Data'!R5C36" display="HPI.Q.H01T0.iay" xr:uid="{35462D5A-C5AD-40F2-BD76-C7A6F69B22C4}"/>
    <hyperlink ref="C136" location="'Data'!R5C37" display="GDE.Q.DY.RS" xr:uid="{16D50607-6B94-441D-B659-00FF063C7372}"/>
    <hyperlink ref="C137" location="'Data'!R5C38" display="GDE.Q.DY.rsq" xr:uid="{96B1329C-7443-4DEF-BF53-C1752CB2F66F}"/>
    <hyperlink ref="C138" location="'Data'!R5C39" display="GDE.Q.DY.rsy" xr:uid="{920682A6-DC9A-4FC4-AD7A-905C3D315064}"/>
    <hyperlink ref="C139" location="'Data'!R5C40" display="PPI06.Q.T0I1.ia" xr:uid="{9B36EDEA-FAC4-44DB-9AEF-26C1238B4C3E}"/>
    <hyperlink ref="C140" location="'Data'!R5C41" display="PPI06.Q.T0I1.iaq" xr:uid="{F25CBE74-1799-4E72-AF40-1D26A3E96A79}"/>
    <hyperlink ref="C141" location="'Data'!R5C42" display="PPI06.Q.T0I1.iay" xr:uid="{95F37341-4EE8-4A15-BE35-713EF6D6767F}"/>
    <hyperlink ref="C142" location="'Data'!R5C43" display="PPI06.Q.T0I2.ia" xr:uid="{1A150393-E36F-456B-83E6-6E99D74B1F1B}"/>
    <hyperlink ref="C143" location="'Data'!R5C44" display="PPI06.Q.T0I2.iaq" xr:uid="{7CE28BB3-51CF-4B7B-B331-02EDB67F87C1}"/>
    <hyperlink ref="C144" location="'Data'!R5C45" display="PPI06.Q.T0I2.iay" xr:uid="{B46EC831-E804-44E8-B119-E5C5836D7F51}"/>
    <hyperlink ref="C146" location="'Data'!R5C2" display="RTS06.Q.S1G.na" xr:uid="{AD5231C4-AEAB-4475-A295-6FF76F3EF84B}"/>
    <hyperlink ref="C147" location="'Data'!R5C3" display="RTS06.Q.S1G.ns" xr:uid="{5282FEF5-61C2-487F-8A63-28D8253C8406}"/>
    <hyperlink ref="C148" location="'Data'!R5C4" display="RTS06.Q.S1G.nsq" xr:uid="{CB6082B2-ADCE-4D65-8C09-CF8F7D9CC004}"/>
    <hyperlink ref="C149" location="'Data'!R5C5" display="RTS06.Q.S1G.nay" xr:uid="{98E36917-944B-44AD-A530-BC73AB7EF247}"/>
    <hyperlink ref="C150" location="'Data'!R5C6" display="RTS06.Q.S1G.ra" xr:uid="{0D476730-85FA-49B4-B349-87718114BAC6}"/>
    <hyperlink ref="C151" location="'Data'!R5C7" display="RTS06.Q.S1G.rs" xr:uid="{2A156BB4-9E57-47CC-83ED-4F1BA6A8FCEC}"/>
    <hyperlink ref="C152" location="'Data'!R5C8" display="RTS06.Q.S1G.rsq" xr:uid="{D165F6F6-92A5-401C-ADA3-DF004203F8A0}"/>
    <hyperlink ref="C153" location="'Data'!R5C9" display="RTS06.Q.S1G.ray" xr:uid="{B71200ED-52CB-4956-B015-2CBF6E11E95A}"/>
    <hyperlink ref="C154" location="'Data'!R5C10" display="GDE.Q.EC1.RA" xr:uid="{20FAD8D6-6DC9-46C6-9585-792A38DEA4B6}"/>
    <hyperlink ref="C155" location="'Data'!R5C11" display="GDE.Q.EC1.RS" xr:uid="{DF84F781-ECFC-43DE-87E6-57F39D59F545}"/>
    <hyperlink ref="C156" location="'Data'!R5C12" display="GDE.Q.EC1.rsq" xr:uid="{B0A1FB0A-638B-499C-A765-95EACC7DC668}"/>
    <hyperlink ref="C157" location="'Data'!R5C13" display="GDE.Q.EC1.ray" xr:uid="{E58D43B3-DECB-49F1-AF67-234CA1E76B5B}"/>
    <hyperlink ref="C158" location="'Data'!R5C14" display="GDE.Q.EG13.RA" xr:uid="{C6A3FBB0-61D1-4E33-9135-CC363007A4DF}"/>
    <hyperlink ref="C159" location="'Data'!R5C15" display="GDE.Q.EG13.RS" xr:uid="{58C8A164-A689-465C-AFA0-11B8EE013E0C}"/>
    <hyperlink ref="C160" location="'Data'!R5C16" display="GDE.Q.EG13.rsq" xr:uid="{44461C6E-0CA1-4FC9-B0D3-DFD412A216E2}"/>
    <hyperlink ref="C161" location="'Data'!R5C17" display="GDE.Q.EG13.ray" xr:uid="{DD3BEF77-797F-4486-A3E1-65855988688A}"/>
    <hyperlink ref="C163" location="'Data'!R5C2" display="QBLD.Q.B11N1BZR1.ns" xr:uid="{1B7F1D40-F6E0-422B-B0C0-E63F30FBF4B5}"/>
    <hyperlink ref="C164" location="'Data'!R5C3" display="QBLD.Q.B11N1BZR1.nsq" xr:uid="{CB136712-D49D-4F12-9143-A52FB74A5C0A}"/>
    <hyperlink ref="C165" location="'Data'!R5C4" display="GDE.Q.EI24.RA" xr:uid="{C3FC79D6-AC3C-449E-ACDD-22217765AFD2}"/>
    <hyperlink ref="C166" location="'Data'!R5C5" display="GDE.Q.EI24.RS" xr:uid="{88130EFB-7300-4125-BA2A-AFC80E816B3C}"/>
    <hyperlink ref="C167" location="'Data'!R5C6" display="GDE.Q.EI24.rsq" xr:uid="{D3915381-86BD-43DE-9273-ABC66D2ACD99}"/>
    <hyperlink ref="C168" location="'Data'!R5C7" display="GDE.Q.EI24.ray" xr:uid="{47B31714-EC2A-4753-84DC-8B5CD8EFFAB2}"/>
    <hyperlink ref="C169" location="'Data'!R5C8" display="GDE.Q.EI25.RA" xr:uid="{F140C9AF-F993-4243-97FA-D26052B240E0}"/>
    <hyperlink ref="C170" location="'Data'!R5C9" display="GDE.Q.EI25.RS" xr:uid="{A5DEDE18-515F-412B-917F-FCD01D2F69EF}"/>
    <hyperlink ref="C171" location="'Data'!R5C10" display="GDE.Q.EI25.rsq" xr:uid="{5C50F4BB-B8B6-4B6B-9B6B-AFB8412E87B9}"/>
    <hyperlink ref="C172" location="'Data'!R5C11" display="GDE.Q.EI25.ray" xr:uid="{7AB0AA57-B3F3-4625-AC33-3ABC215A3D7B}"/>
    <hyperlink ref="C173" location="'Data'!R5C12" display="GDE.Q.EI23.RA" xr:uid="{6CFF09CA-3712-4F74-A259-980ABF471854}"/>
    <hyperlink ref="C174" location="'Data'!R5C13" display="GDE.Q.EI23.RS" xr:uid="{1F8F8A0D-4CFE-45F0-8C06-87659212F641}"/>
    <hyperlink ref="C187" location="'Data'!R5C2" display="RTS06.Q.S1G.na" xr:uid="{8277C06E-412F-4E43-B9B9-0D96FC744DDF}"/>
    <hyperlink ref="C186" location="'Data'!R5C3" display="RTS06.Q.S1G.ns" xr:uid="{3E713D69-A7B6-4B43-AE03-18FF7AD5C989}"/>
    <hyperlink ref="C188" location="'Data'!R5C4" display="RTS06.Q.S1G.nsq" xr:uid="{9444B094-AF6B-4EA1-8311-B7963F8E7E26}"/>
    <hyperlink ref="C189" location="'Data'!R5C5" display="RTS06.Q.S1G.nay" xr:uid="{B65040DB-4123-4F81-8D20-061B24ECFFC9}"/>
    <hyperlink ref="C190" location="'Data'!R5C6" display="RTS06.Q.VG.na" xr:uid="{CF15816B-2F95-4C09-B596-42738609B237}"/>
    <hyperlink ref="C191" location="'Data'!R5C7" display="RTS06.Q.VG.nay" xr:uid="{66D9F1C0-FA7B-4DA7-89BE-B8F2ABF32C7F}"/>
    <hyperlink ref="C193" location="'Data'!R5C8" display="WTS06.Q.S1F0.na" xr:uid="{22646E8B-81C5-43F0-B104-7CC5B3740689}"/>
    <hyperlink ref="C192" location="'Data'!R5C9" display="WTS06.Q.S1F0.ns" xr:uid="{E75A997E-62AE-4272-A1A2-4AE85DACF17B}"/>
    <hyperlink ref="C194" location="'Data'!R5C10" display="WTS06.Q.S1F0.nsq" xr:uid="{67E71ADD-6C13-4A91-89E7-059DE7E4F3D4}"/>
    <hyperlink ref="C195" location="'Data'!R5C11" display="WTS06.Q.S1F0.nay" xr:uid="{AF989445-42C8-4193-9236-EDA675B8936D}"/>
    <hyperlink ref="C196" location="'Data'!R5C12" display="WTS06.Q.VF0.na" xr:uid="{3E91324A-F128-4187-9373-D7B18F2DFE47}"/>
    <hyperlink ref="C197" location="'Data'!R5C13" display="WTS06.Q.VF0.nay" xr:uid="{C759D4F0-B736-476A-AB4F-26C78EB6A9DC}"/>
    <hyperlink ref="C177" location="'Data'!R5C14" display="MAN06.Q.S1C0.na" xr:uid="{24093318-045D-489A-B83A-C60D956FEB00}"/>
    <hyperlink ref="C176" location="'Data'!R5C15" display="MAN06.Q.S1C0.ns" xr:uid="{C9ECFD4B-F363-4F18-A2BA-DB30B2DDABDB}"/>
    <hyperlink ref="C178" location="'Data'!R5C16" display="MAN06.Q.S1C0.nsq" xr:uid="{48837604-9297-4D82-9A66-29995ECCC4F9}"/>
    <hyperlink ref="C179" location="'Data'!R5C17" display="MAN06.Q.S1C0.nay" xr:uid="{6FFF1F4B-4E41-4D12-94D7-9A91971270EB}"/>
    <hyperlink ref="C180" location="'Data'!R5C18" display="MAN06.Q.VC0.na" xr:uid="{70294AF5-19AA-47FE-9D49-F9BC57415943}"/>
    <hyperlink ref="C181" location="'Data'!R5C19" display="MAN06.Q.VC0.nay" xr:uid="{938394A1-7CC4-4061-8BE9-F1360AA73217}"/>
    <hyperlink ref="C183" location="'Data'!R5C20" display="MAN06.Q.S1C111.na" xr:uid="{B78B9EA1-DCE5-4798-9C73-EE0DC54FF36D}"/>
    <hyperlink ref="C182" location="'Data'!R5C21" display="MAN06.Q.S1C111.ns" xr:uid="{47BDC3F8-1E7D-4F68-AAC7-87D66FBBCB4E}"/>
    <hyperlink ref="C184" location="'Data'!R5C22" display="MAN06.Q.S1C111.nsq" xr:uid="{27BA31DB-0160-41CA-8859-38F05D709843}"/>
    <hyperlink ref="C185" location="'Data'!R5C23" display="MAN06.Q.S1C111.nay" xr:uid="{5F133283-E883-4C1C-81D7-FF1BA6931ED3}"/>
    <hyperlink ref="C199" location="'Data'!R5C2" display="GDP06.Q.QT0.ra" xr:uid="{AD4E9BDD-7CFA-401D-BAF5-79412A712097}"/>
    <hyperlink ref="C200" location="'Data'!R5C3" display="GDP06.Q.QT0.rs" xr:uid="{92B39E63-84FF-44E9-8BE2-63084C1B2ECF}"/>
    <hyperlink ref="C201" location="'Data'!R5C4" display="GDP06.Q.QT0.rsq" xr:uid="{0372A757-CD2F-4475-AB39-97F8FD9F8E71}"/>
    <hyperlink ref="C202" location="'Data'!R5C5" display="GDP06.Q.QT0.ray" xr:uid="{850AF0D8-8223-4492-A2E7-A5F770B0D480}"/>
    <hyperlink ref="C203" location="'Data'!R5C6" display="GDE.Q.EY.NA" xr:uid="{36CC8EC0-8945-4243-B0C5-91E20361757A}"/>
    <hyperlink ref="C204" location="'Data'!R5C7" display="GDE.Q.EY.NS" xr:uid="{9264C755-7027-43A1-B74A-08CF51302C78}"/>
    <hyperlink ref="C205" location="'Data'!R5C8" display="GDE.Q.EY.nsq" xr:uid="{650DF880-EE10-4FB8-8DF0-B0A4C2F93D5D}"/>
    <hyperlink ref="C206" location="'Data'!R5C9" display="GDE.Q.EY.nay" xr:uid="{BDDECE0A-8D5B-4BB3-AF01-05D01A4EFAF8}"/>
    <hyperlink ref="C207" location="'Data'!R5C10" display="GDE.Q.EY.RA" xr:uid="{FB268FAC-58C9-4E1E-B60A-A1B7535CD6EF}"/>
    <hyperlink ref="C208" location="'Data'!R5C11" display="GDE.Q.EY.RS" xr:uid="{2E14B88C-5FC3-40DE-8440-8DEEA90F2DF6}"/>
    <hyperlink ref="C209" location="'Data'!R5C12" display="GDE.Q.EY.rsq" xr:uid="{EB67C5F7-3CF4-4DD6-9F10-05E85C7D9B84}"/>
    <hyperlink ref="C210" location="'Data'!R5C13" display="GDE.Q.EY.ray" xr:uid="{A6ACB7C8-B3D6-433B-82A9-25D7B2067727}"/>
    <hyperlink ref="C211" location="'Data'!R5C14" display="GDE.Q.EC1.NA" xr:uid="{4510FEB4-7BB4-49DE-9BBF-D80E873E5B70}"/>
    <hyperlink ref="C212" location="'Data'!R5C15" display="GDE.Q.EC1.NS" xr:uid="{513B6778-9DF8-4697-A66B-8C6586040071}"/>
    <hyperlink ref="C213" location="'Data'!R5C16" display="GDE.Q.EC1.nsq" xr:uid="{AC889D8C-254E-4B90-9A45-B99E734E223E}"/>
    <hyperlink ref="C214" location="'Data'!R5C17" display="GDE.Q.EC1.nay" xr:uid="{0847FE85-B84D-47BB-AF96-0D9CE64D3ABD}"/>
    <hyperlink ref="C215" location="'Data'!R5C18" display="GDE.Q.EC1.RA" xr:uid="{60D2FF53-4CD2-45D3-BEB8-2CC6C9FE6D93}"/>
    <hyperlink ref="C216" location="'Data'!R5C19" display="GDE.Q.EC1.RS" xr:uid="{CFE63244-260F-4FEB-A48B-BBF8BB6EA69D}"/>
    <hyperlink ref="C217" location="'Data'!R5C20" display="GDE.Q.EC1.rsq" xr:uid="{4016FCF8-6A00-4BA4-8CD7-63AC94C83F07}"/>
    <hyperlink ref="C218" location="'Data'!R5C21" display="GDE.Q.EC1.ray" xr:uid="{7293A1EF-426A-4337-B878-FEF723E0DA43}"/>
    <hyperlink ref="C219" location="'Data'!R5C22" display="GDE.Q.EG13.NA" xr:uid="{40C8F1A5-D2F7-4EA9-AE51-202F5A1ED757}"/>
    <hyperlink ref="C220" location="'Data'!R5C23" display="GDE.Q.EG13.NS" xr:uid="{0C0C8A05-A0B6-4B43-9D01-C9CC03761C3E}"/>
    <hyperlink ref="C221" location="'Data'!R5C24" display="GDE.Q.EG13.nsq" xr:uid="{3D53C718-CDCF-4254-88C3-7583E090BCF0}"/>
    <hyperlink ref="C222" location="'Data'!R5C25" display="GDE.Q.EG13.nay" xr:uid="{BB1231F7-3E7F-4FFE-94CC-B929C6E494D6}"/>
    <hyperlink ref="C223" location="'Data'!R5C26" display="GDE.Q.EG13.RA" xr:uid="{BC7A8263-B885-4EEC-93BC-0F0AFD2C6796}"/>
    <hyperlink ref="C224" location="'Data'!R5C27" display="GDE.Q.EG13.RS" xr:uid="{5228A1FB-75EB-4F65-B753-34C4C3004D85}"/>
    <hyperlink ref="C225" location="'Data'!R5C28" display="GDE.Q.EG13.rsq" xr:uid="{D20564A8-C3A0-4C06-9EA6-F39AFB2FD524}"/>
    <hyperlink ref="C226" location="'Data'!R5C29" display="GDE.Q.EG13.ray" xr:uid="{2C9E578A-9817-4576-9A32-7BDD18961647}"/>
    <hyperlink ref="C227" location="'Data'!R5C30" display="GDE.Q.EI23.NA" xr:uid="{217674F0-F9E5-432A-9476-76359749087E}"/>
    <hyperlink ref="C228" location="'Data'!R5C31" display="GDE.Q.EI23.NS" xr:uid="{8D942563-DB49-4093-A008-42ED21E9F72B}"/>
    <hyperlink ref="C229" location="'Data'!R5C32" display="GDE.Q.EI23.RA" xr:uid="{73E291A0-6971-4EE0-B090-41B12CBD9DCD}"/>
    <hyperlink ref="C230" location="'Data'!R5C33" display="GDE.Q.EI23.RS" xr:uid="{19D6CA3F-0B4E-4655-BA9F-60536704086E}"/>
    <hyperlink ref="C231" location="'Data'!R5C34" display="GDE.Q.EI24.NA" xr:uid="{038532D5-D43B-49DF-82C4-AA4108CBE5AB}"/>
    <hyperlink ref="C232" location="'Data'!R5C35" display="GDE.Q.EI24.NS" xr:uid="{6C20E88E-ECC2-4360-A636-063541C3F263}"/>
    <hyperlink ref="C233" location="'Data'!R5C36" display="GDE.Q.EI24.nsq" xr:uid="{FE14418D-79F2-47C4-B177-3933FE72F317}"/>
    <hyperlink ref="C234" location="'Data'!R5C37" display="GDE.Q.EI24.nay" xr:uid="{84648153-6BF2-4800-939F-93B41E380581}"/>
    <hyperlink ref="C235" location="'Data'!R5C38" display="GDE.Q.EI24.RA" xr:uid="{D54D37EE-50A0-480E-80AD-4B0FDE1C4BA9}"/>
    <hyperlink ref="C236" location="'Data'!R5C39" display="GDE.Q.EI24.RS" xr:uid="{AAEB9BFD-00C6-45E7-BE06-1E0B2DFCD5F1}"/>
    <hyperlink ref="C237" location="'Data'!R5C40" display="GDE.Q.EI24.rsq" xr:uid="{B7A22A56-EB3B-4B74-A690-95231B9C38A6}"/>
    <hyperlink ref="C238" location="'Data'!R5C41" display="GDE.Q.EI24.ray" xr:uid="{91CF6FB6-C316-44A1-930C-A47EF7CB720F}"/>
    <hyperlink ref="C239" location="'Data'!R5C42" display="GDE.Q.EI25.NA" xr:uid="{0A96A395-1FAB-4AB2-8EFF-7CE5B2F84B55}"/>
    <hyperlink ref="C240" location="'Data'!R5C43" display="GDE.Q.EI25.NS" xr:uid="{0DB3E512-7E47-4C48-860A-324562151289}"/>
    <hyperlink ref="C241" location="'Data'!R5C44" display="GDE.Q.EI25.nsq" xr:uid="{319292AB-1CE9-4CD8-9CC3-96CCA2216191}"/>
    <hyperlink ref="C242" location="'Data'!R5C45" display="GDE.Q.EI25.nay" xr:uid="{2BB0F498-7BD8-49DC-92DF-850ED965BD46}"/>
    <hyperlink ref="C243" location="'Data'!R5C46" display="GDE.Q.EI25.RA" xr:uid="{B6FA3820-54CC-4C8F-90D6-2740D3FA3B88}"/>
    <hyperlink ref="C244" location="'Data'!R5C47" display="GDE.Q.EI25.RS" xr:uid="{60C7E143-AF49-4305-A9D0-D8452D1404C2}"/>
    <hyperlink ref="C245" location="'Data'!R5C48" display="GDE.Q.EI25.rsq" xr:uid="{2CF85CE6-7B5C-4F9A-AF34-989E64D56E08}"/>
    <hyperlink ref="C246" location="'Data'!R5C49" display="GDE.Q.EI25.ray" xr:uid="{3DC9C818-55CC-4286-9327-075EBBC1BEA9}"/>
    <hyperlink ref="C247" location="'Data'!R5C50" display="GDE.Q.EY1.NA" xr:uid="{A2DD4CF5-6501-4DF4-BF47-15A97DB06A62}"/>
    <hyperlink ref="C248" location="'Data'!R5C51" display="GDE.Q.EY1.NS" xr:uid="{1B9EFF7E-FF6D-43EF-A18F-AF8E59FE3340}"/>
    <hyperlink ref="C249" location="'Data'!R5C52" display="GDE.Q.EY1.nsq" xr:uid="{D33FB7C1-99B1-46FF-A136-70B37E9B4527}"/>
    <hyperlink ref="C250" location="'Data'!R5C53" display="GDE.Q.EY1.nay" xr:uid="{CF2F929C-B2EA-4680-93BC-E0DB4A140218}"/>
    <hyperlink ref="C251" location="'Data'!R5C54" display="GDE.Q.EY1.RA" xr:uid="{3650C2EB-5F67-46E0-93E7-8BAC7D473184}"/>
    <hyperlink ref="C252" location="'Data'!R5C55" display="GDE.Q.EY1.RS" xr:uid="{6BC6FF04-6AD0-4EB2-8534-6C27A2549FD2}"/>
    <hyperlink ref="C253" location="'Data'!R5C56" display="GDE.Q.EY1.rsq" xr:uid="{10C8B007-412A-435D-8002-BD673F41B482}"/>
    <hyperlink ref="C254" location="'Data'!R5C57" display="GDE.Q.EY1.ray" xr:uid="{AB5A3959-96A5-4CDE-BC1D-1EED6405FA6C}"/>
    <hyperlink ref="C255" location="'Data'!R5C58" display="GDE.Q.EX.NA" xr:uid="{35A10055-5D5C-4589-A946-6CA9481588EB}"/>
    <hyperlink ref="C256" location="'Data'!R5C59" display="GDE.Q.EX.NS" xr:uid="{7D8EA43C-99C0-4A35-948D-0749A21BA182}"/>
    <hyperlink ref="C257" location="'Data'!R5C60" display="GDE.Q.EX.nsq" xr:uid="{08DD46F2-9DF4-4E4F-A4EB-602468D478BE}"/>
    <hyperlink ref="C258" location="'Data'!R5C61" display="GDE.Q.EX.nay" xr:uid="{4980A24D-640F-4325-A63A-FFB774DD5E58}"/>
    <hyperlink ref="C259" location="'Data'!R5C62" display="GDE.Q.EX.RA" xr:uid="{685F11A5-AAF9-418D-AEAD-34237448199D}"/>
    <hyperlink ref="C260" location="'Data'!R5C63" display="GDE.Q.EX.RS" xr:uid="{DC7574C9-FBCC-4A3C-A148-FAF61C0E0307}"/>
    <hyperlink ref="C261" location="'Data'!R5C64" display="GDE.Q.EX.rsq" xr:uid="{763DF590-00D2-4810-ABD6-2C6F07CC873E}"/>
    <hyperlink ref="C262" location="'Data'!R5C65" display="GDE.Q.EX.ray" xr:uid="{50AE482D-31E7-4D64-822F-C27961739F25}"/>
    <hyperlink ref="C263" location="'Data'!R5C66" display="GDE.Q.EM.NA" xr:uid="{37CA508D-70BD-4446-9C0A-73EC5C7F9BA9}"/>
    <hyperlink ref="C264" location="'Data'!R5C67" display="GDE.Q.EM.NS" xr:uid="{F0D71C8E-B3A7-447B-B9D1-4FB1243CDCF4}"/>
    <hyperlink ref="C265" location="'Data'!R5C68" display="GDE.Q.EM.nsq" xr:uid="{CA104073-561D-47AF-B951-668868EFF6BD}"/>
    <hyperlink ref="C266" location="'Data'!R5C69" display="GDE.Q.EM.nay" xr:uid="{5029BEB1-E5F1-42C5-865F-5C9DC43AEF71}"/>
    <hyperlink ref="C267" location="'Data'!R5C70" display="GDE.Q.EM.RA" xr:uid="{F65F20E4-3729-4336-991C-EDE7D01ADF1B}"/>
    <hyperlink ref="C268" location="'Data'!R5C71" display="GDE.Q.EM.RS" xr:uid="{3ED1D20D-D53F-4563-85E2-C2E0C01B280E}"/>
    <hyperlink ref="C269" location="'Data'!R5C72" display="GDE.Q.EM.rsq" xr:uid="{B1D8D68E-2F95-49A4-83E8-6F9BF4C5C113}"/>
    <hyperlink ref="C270" location="'Data'!R5C73" display="GDE.Q.EM.ray" xr:uid="{9398D958-B82F-4048-9D91-67DE30184383}"/>
    <hyperlink ref="C272" location="'Data'!R5C2" display="NATA.Y.G0.na" xr:uid="{9C1C2977-7EE5-4D81-9349-B525D154BB6E}"/>
    <hyperlink ref="C273" location="'Data'!R5C3" display="NATE.Y.E0Y.na" xr:uid="{9E31D6A3-2190-40D8-B025-EC13652572B3}"/>
    <hyperlink ref="C274" location="'Data'!R5C4" display="NATF.Y.D04.na" xr:uid="{7B8DCA69-A7C2-42D6-9065-578BA1089777}"/>
    <hyperlink ref="C275" location="'Data'!R5C5" display="ISAA.Y.I12.na" xr:uid="{1F2FBA5C-8024-4F38-A96E-20485DDFD250}"/>
    <hyperlink ref="C276" location="'Data'!R5C6" display="ISAF.Y.I13.na" xr:uid="{BA8446A0-33AD-4087-8D0E-75E7B71E16A9}"/>
    <hyperlink ref="C277" location="'Data'!R5C7" display="ISAG.Y.I13.na" xr:uid="{0830FE31-3469-4487-B566-FBF5571F6C59}"/>
    <hyperlink ref="C278" location="'Data'!R5C8" display="ISAJ.Y.I12.na" xr:uid="{B40E9D99-E0C9-4A26-8374-E7A1B3F01D96}"/>
    <hyperlink ref="C279" location="'Data'!R5C9" display="ISAK.Y.I10.na" xr:uid="{D3E8417D-3E13-4B73-9579-883CA4160F92}"/>
    <hyperlink ref="C280" location="'Data'!R5C10" display="ISAK.Y.I18.na" xr:uid="{CEA1E763-0B72-475C-8303-9668A077455A}"/>
    <hyperlink ref="C348" location="'Data'!R5C2" display="SOE.Q.E100.na" xr:uid="{235E8DBE-3B9F-4367-9F7A-7C8E0C4B94C1}"/>
    <hyperlink ref="C349" location="'Data'!R5C3" display="SOE.Q.E101.na" xr:uid="{F11FE369-4D49-49E6-87BA-AE54191177B2}"/>
    <hyperlink ref="C350" location="'Data'!R5C4" display="SOE.Q.E102.na" xr:uid="{5ECACC2D-37CE-432D-AA1D-2B9BA790E0ED}"/>
    <hyperlink ref="C351" location="'Data'!R5C5" display="SOE.Q.E210.na" xr:uid="{4C3D9EA5-51F1-4B8A-99CD-831AD8D1F301}"/>
    <hyperlink ref="C352" location="'Data'!R5C6" display="SOE.Q.E215.na" xr:uid="{C3DFCEA8-099E-43B1-92E9-CF974CFA45B4}"/>
    <hyperlink ref="C353" location="'Data'!R5C7" display="SOE.Q.E220.na" xr:uid="{C22B21AC-BA47-47F5-AD27-C19B24B02E48}"/>
    <hyperlink ref="C354" location="'Data'!R5C8" display="SOE.Q.E230.na" xr:uid="{315AF951-3ED9-45A8-A455-2EBD8B938565}"/>
    <hyperlink ref="C355" location="'Data'!R5C9" display="SOE.Q.E350.na" xr:uid="{15469447-8302-4288-9C57-3E00AAA0018A}"/>
    <hyperlink ref="C356" location="'Data'!R5C10" display="SOE.Q.E351.na" xr:uid="{798D6297-B46E-4D0D-8BFF-D01851D36397}"/>
    <hyperlink ref="C357" location="'Data'!R5C11" display="SOE.Q.E353.na" xr:uid="{26C5A3D6-731B-4295-A59C-DAAD1740B57D}"/>
    <hyperlink ref="C358" location="'Data'!R5C12" display="SOE.Q.E356.na" xr:uid="{B58AC731-0C9B-4F60-87C5-0477FB963E7A}"/>
    <hyperlink ref="C359" location="'Data'!R5C13" display="SOE.Q.E310.na" xr:uid="{49C27A7B-214B-401E-BDB3-57E76E4D6F74}"/>
    <hyperlink ref="C360" location="'Data'!R5C14" display="SOE.Q.E311.na" xr:uid="{74CFABB8-32C9-416C-A463-A38480526420}"/>
    <hyperlink ref="C361" location="'Data'!R5C15" display="SOE.Q.E402.ra" xr:uid="{C2116BD7-06BB-46E4-A2D4-3684982F9081}"/>
    <hyperlink ref="C362" location="'Data'!R5C16" display="SOE.Q.E403.ra" xr:uid="{778EEE92-B407-4540-8A41-B6BFAD046580}"/>
    <hyperlink ref="C363" location="'Data'!R5C17" display="SOE.Q.E460.na" xr:uid="{5570A68A-A15D-4278-9B1C-5E9489394EA9}"/>
    <hyperlink ref="C364" location="'Data'!R5C18" display="SOE.Q.E461.na" xr:uid="{23FF052B-F7A0-41E3-8C1E-69B46B5D0611}"/>
    <hyperlink ref="C365" location="'Data'!R5C19" display="SOE.Q.E470.na" xr:uid="{C60FF652-5668-43A0-BFF8-76F5A89EFA87}"/>
    <hyperlink ref="C366" location="'Data'!R5C20" display="SOE.Q.E471.na" xr:uid="{3331B1EC-8962-4DF6-A373-52381DCDAA56}"/>
    <hyperlink ref="C367" location="'Data'!R5C21" display="SOE.Q.E320.na" xr:uid="{001CAC91-106A-4AD5-BEB6-13EDE0AA90CC}"/>
    <hyperlink ref="C368" location="'Data'!R5C22" display="SOE.Q.E321.na" xr:uid="{E8BC3E78-6E99-425A-9406-9F066929B924}"/>
    <hyperlink ref="C369" location="'Data'!R5C23" display="SOE.Q.E330.na" xr:uid="{165C47C1-4E34-4347-B36D-8FB6504A11C2}"/>
    <hyperlink ref="C370" location="'Data'!R5C24" display="SOE.Q.E331.na" xr:uid="{CD0B4C19-20B8-4BB1-BC93-38438B9C1C33}"/>
    <hyperlink ref="C371" location="'Data'!R5C25" display="SOE.Q.E480.na" xr:uid="{1D7604EC-502C-4E01-9FCB-31549E0C3BCA}"/>
    <hyperlink ref="C372" location="'Data'!R5C26" display="SOE.Q.E481.na" xr:uid="{542FCE74-F967-474C-B52D-7F7C02234AE6}"/>
    <hyperlink ref="C374" location="'Data'!R5C2" display="BSPA.MALA4.P" xr:uid="{0C9F03C4-563B-4C48-BC44-A769D1C04564}"/>
    <hyperlink ref="C375" location="'Data'!R5C3" display="BSPA.MAM2A4.P1" xr:uid="{D3EC4606-E335-4ACC-B09C-37CA7B1C68EC}"/>
    <hyperlink ref="C376" location="'Data'!R5C4" display="BSPA.MAM2A4.P1H1" xr:uid="{B9EA2550-2630-4409-B558-B201C55A1B5D}"/>
    <hyperlink ref="C377" location="'Data'!R5C5" display="BSPA.MAM2A4.P1H2" xr:uid="{3B9DCA61-116C-4155-A0D1-62CD776073E8}"/>
    <hyperlink ref="C378" location="'Data'!R5C6" display="BSPA.MAM2A4.P1H3" xr:uid="{B8A6A748-C88B-4AF5-86C4-C320157B11C5}"/>
    <hyperlink ref="C379" location="'Data'!R5C7" display="BSPA.MAM2A4.P1H6" xr:uid="{02BDE9F4-76E9-4575-B69E-93FB3588C1B3}"/>
    <hyperlink ref="C380" location="'Data'!R5C8" display="BSPA.MAM3A4.P1" xr:uid="{690D2578-EEBD-4617-A908-362B1BFB23A4}"/>
    <hyperlink ref="C381" location="'Data'!R5C9" display="BSPA.MAM3A4.P1N1" xr:uid="{0B845A14-9A77-46A1-87D1-DD8BDC259D85}"/>
    <hyperlink ref="C382" location="'Data'!R5C10" display="BSPA.MAM3A4.P1N2" xr:uid="{EA3CBCDC-417A-4FB3-A7BE-268B65B16876}"/>
    <hyperlink ref="C383" location="'Data'!R5C11" display="BSPA.MAM3A4.P1N3" xr:uid="{D263DEFA-7894-4089-B738-A0FCBBEBC319}"/>
    <hyperlink ref="C384" location="'Data'!R5C12" display="BSPA.MAM3A4.P1N9" xr:uid="{9A7FCE7A-AEDF-471C-B510-E7AEACEEA5F9}"/>
    <hyperlink ref="C385" location="'Data'!R5C13" display="BSPAS.MAN1A4.P2" xr:uid="{6207F19F-5E6E-4680-8B22-BDD0DC01622B}"/>
    <hyperlink ref="C386" location="'Data'!R5C14" display="BSPA.MAN1A4.P2C1" xr:uid="{52613DDD-F67C-45EC-9FED-2AC87A235A4E}"/>
    <hyperlink ref="C387" location="'Data'!R5C15" display="BSPA.MAN1A4.P2C2" xr:uid="{B9B2681D-D479-4A5D-87EA-7474944C6A63}"/>
    <hyperlink ref="C388" location="'Data'!R5C16" display="BSPA.MAN1A4.P2C3" xr:uid="{B159126F-4710-4C3C-9AB5-0D36D1A6699B}"/>
    <hyperlink ref="C389" location="'Data'!R5C17" display="BSPA.MAN1A4.P2C9" xr:uid="{B9130565-0488-4660-8230-82F657DCF9A0}"/>
    <hyperlink ref="C390" location="'Data'!R5C18" display="BSPAS.MALA4.P3" xr:uid="{CC3305C3-67B4-4AF0-8039-161E9F6B6D84}"/>
    <hyperlink ref="C391" location="'Data'!R5C19" display="BSPA.MALA4.P3N1" xr:uid="{430D978D-D042-483C-B77A-C5BEC4230C4F}"/>
    <hyperlink ref="C392" location="'Data'!R5C20" display="BSPA.MALA4.P3N2" xr:uid="{4A94D9D5-D3D6-46C7-B861-6F260AEED72D}"/>
    <hyperlink ref="C393" location="'Data'!R5C21" display="BSPA.MALA4.P3N3" xr:uid="{878AAAF7-BAAC-494D-92CB-D82B2942B2F3}"/>
    <hyperlink ref="C394" location="'Data'!R5C22" display="BSPA.MALA4.P3N6" xr:uid="{34025DAA-2CEF-45CF-8884-B2B3D3A5AE1A}"/>
    <hyperlink ref="C395" location="'Data'!R5C23" display="BSPAS.MALA4.P4ZA" xr:uid="{0F2948E5-528A-4EA2-B695-E94EF32345A8}"/>
    <hyperlink ref="C396" location="'Data'!R5C24" display="BSPA.MALA4.P4N1A" xr:uid="{5F149A0D-C467-482B-A024-316A58A201B2}"/>
    <hyperlink ref="C397" location="'Data'!R5C25" display="BSPA.MALA4.P4N2A" xr:uid="{92CEAA56-2449-4EAE-BC9B-131AEF38DE76}"/>
    <hyperlink ref="C398" location="'Data'!R5C26" display="BSPA.MALA4.P4N3A" xr:uid="{EC919F2D-2B4B-43B4-9160-4DDF9AD4F525}"/>
    <hyperlink ref="C399" location="'Data'!R5C27" display="BSPA.MALA4.P4N6A" xr:uid="{4EF455EC-4D14-4017-A480-CD9FBA520C2F}"/>
    <hyperlink ref="C400" location="'Data'!R5C28" display="BSPA.MALA4.P5" xr:uid="{F91E794E-96E8-4018-B301-ED209AC7EA08}"/>
    <hyperlink ref="C401" location="'Data'!R5C29" display="BSPA.MALA4.P5N1" xr:uid="{7D882597-B8F4-48EF-B39B-D56933570F80}"/>
    <hyperlink ref="C402" location="'Data'!R5C30" display="BSPA.MALA4.P5N2" xr:uid="{D26473EA-5980-476F-A23F-EBFF1026C705}"/>
    <hyperlink ref="C403" location="'Data'!R5C31" display="BSPA.MALA4.P5N3" xr:uid="{E5AADFE8-E09D-47FD-A3D8-35440427970E}"/>
    <hyperlink ref="C404" location="'Data'!R5C32" display="BSPA.MALA4.P5N6" xr:uid="{C8C06A42-8622-418B-9A5F-654B092A718D}"/>
    <hyperlink ref="C405" location="'Data'!R5C33" display="BSPA.MALA4.P9" xr:uid="{B083071F-5565-4BC5-B44A-2289E220E9B4}"/>
    <hyperlink ref="C406" location="'Data'!R5C34" display="BSPA.MALA4.P9N1" xr:uid="{A8F215B7-47BA-47CC-A92D-7EA39F8F0289}"/>
    <hyperlink ref="C407" location="'Data'!R5C35" display="BSPA.MALA4.P9N2" xr:uid="{895364AA-6045-4D4F-A0E5-2E27295FB29C}"/>
    <hyperlink ref="C408" location="'Data'!R5C36" display="BSPA.MALA4.P9N3" xr:uid="{2A5D34B2-1DB4-4A66-9DDE-F120F0277939}"/>
    <hyperlink ref="C409" location="'Data'!R5C37" display="BSPA.MALA4.P9N6" xr:uid="{799E10D4-0C65-4BC6-947B-1A027FCA2A64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3BD39-C294-4238-A6DF-3CE578A775F4}">
  <dimension ref="A1:B3"/>
  <sheetViews>
    <sheetView workbookViewId="0">
      <selection activeCell="E12" sqref="E12"/>
    </sheetView>
  </sheetViews>
  <sheetFormatPr defaultRowHeight="10.15"/>
  <cols>
    <col min="1" max="1" width="11.4140625" customWidth="1"/>
    <col min="2" max="2" width="10.9140625" customWidth="1"/>
  </cols>
  <sheetData>
    <row r="1" spans="1:2" ht="13.15">
      <c r="A1" s="1" t="s">
        <v>43</v>
      </c>
      <c r="B1" s="1" t="s">
        <v>42</v>
      </c>
    </row>
    <row r="2" spans="1:2" ht="14.25">
      <c r="A2" s="2" t="s">
        <v>48</v>
      </c>
      <c r="B2" s="2" t="s">
        <v>48</v>
      </c>
    </row>
    <row r="3" spans="1:2" ht="14.25">
      <c r="A3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8C1A1D-AD83-4F4A-868F-B677405427ED}">
  <dimension ref="A1:M42"/>
  <sheetViews>
    <sheetView zoomScale="72" workbookViewId="0">
      <pane ySplit="1" topLeftCell="A2" activePane="bottomLeft" state="frozen"/>
      <selection pane="bottomLeft" activeCell="E21" sqref="E21"/>
    </sheetView>
  </sheetViews>
  <sheetFormatPr defaultRowHeight="14.25"/>
  <cols>
    <col min="1" max="1" width="8.6640625" style="2"/>
    <col min="2" max="2" width="14.4140625" style="2" customWidth="1"/>
    <col min="3" max="3" width="46.33203125" style="2" customWidth="1" collapsed="1"/>
    <col min="4" max="4" width="58.6640625" style="2" customWidth="1" collapsed="1"/>
    <col min="5" max="5" width="25.6640625" style="2" customWidth="1" collapsed="1"/>
    <col min="6" max="6" width="24.4140625" style="2" customWidth="1" collapsed="1"/>
    <col min="7" max="7" width="13.83203125" style="2" customWidth="1" collapsed="1"/>
    <col min="8" max="8" width="36.6640625" style="2" customWidth="1"/>
    <col min="9" max="9" width="14.83203125" style="2" customWidth="1"/>
    <col min="10" max="10" width="22.9140625" style="2" customWidth="1"/>
    <col min="11" max="11" width="12.25" style="2" bestFit="1" customWidth="1"/>
    <col min="12" max="12" width="18.1640625" style="2" customWidth="1"/>
    <col min="13" max="16384" width="8.6640625" style="2"/>
  </cols>
  <sheetData>
    <row r="1" spans="1:13">
      <c r="A1" s="1" t="s">
        <v>42</v>
      </c>
      <c r="B1" s="1" t="s">
        <v>43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51</v>
      </c>
      <c r="I1" s="1" t="s">
        <v>46</v>
      </c>
      <c r="J1" s="1" t="s">
        <v>54</v>
      </c>
      <c r="K1" s="1" t="s">
        <v>47</v>
      </c>
      <c r="L1" s="2" t="s">
        <v>49</v>
      </c>
      <c r="M1" s="2" t="s">
        <v>50</v>
      </c>
    </row>
    <row r="2" spans="1:13">
      <c r="A2" s="2" t="s">
        <v>48</v>
      </c>
      <c r="B2" s="2" t="s">
        <v>48</v>
      </c>
      <c r="C2" s="3" t="s">
        <v>21</v>
      </c>
      <c r="D2" s="3" t="s">
        <v>22</v>
      </c>
      <c r="E2" s="4" t="s">
        <v>23</v>
      </c>
      <c r="H2" s="3" t="s">
        <v>21</v>
      </c>
      <c r="I2" s="2" t="s">
        <v>44</v>
      </c>
      <c r="J2" s="2" t="str">
        <f>PROPER(_xlfn.TEXTAFTER(C2," "))&amp;" "&amp;D2</f>
        <v>Prices (Index)</v>
      </c>
      <c r="K2" s="3" t="s">
        <v>22</v>
      </c>
      <c r="L2" s="3" t="s">
        <v>52</v>
      </c>
    </row>
    <row r="3" spans="1:13">
      <c r="A3" s="2" t="s">
        <v>48</v>
      </c>
      <c r="B3" s="2" t="s">
        <v>48</v>
      </c>
      <c r="C3" s="3" t="s">
        <v>21</v>
      </c>
      <c r="D3" s="3" t="s">
        <v>26</v>
      </c>
      <c r="E3" s="4" t="s">
        <v>27</v>
      </c>
      <c r="F3" s="3" t="s">
        <v>16</v>
      </c>
      <c r="H3" s="3" t="s">
        <v>21</v>
      </c>
      <c r="I3" s="2" t="s">
        <v>44</v>
      </c>
      <c r="J3" s="2" t="str">
        <f t="shared" ref="J3:J23" si="0">PROPER(_xlfn.TEXTAFTER(C3," "))&amp;" "&amp;D3</f>
        <v>Prices (q/q%)</v>
      </c>
      <c r="K3" s="3" t="s">
        <v>26</v>
      </c>
      <c r="L3" s="3" t="s">
        <v>52</v>
      </c>
    </row>
    <row r="4" spans="1:13">
      <c r="A4" s="2" t="s">
        <v>48</v>
      </c>
      <c r="B4" s="2" t="s">
        <v>48</v>
      </c>
      <c r="C4" s="3" t="s">
        <v>21</v>
      </c>
      <c r="D4" s="3" t="s">
        <v>18</v>
      </c>
      <c r="E4" s="4" t="s">
        <v>29</v>
      </c>
      <c r="F4" s="3" t="s">
        <v>16</v>
      </c>
      <c r="H4" s="3" t="s">
        <v>21</v>
      </c>
      <c r="I4" s="2" t="s">
        <v>44</v>
      </c>
      <c r="J4" s="2" t="str">
        <f t="shared" si="0"/>
        <v>Prices (y/y%)</v>
      </c>
      <c r="K4" s="3" t="s">
        <v>18</v>
      </c>
      <c r="L4" s="3" t="s">
        <v>52</v>
      </c>
    </row>
    <row r="5" spans="1:13">
      <c r="A5" s="2" t="s">
        <v>48</v>
      </c>
      <c r="B5" s="2" t="s">
        <v>48</v>
      </c>
      <c r="C5" s="3" t="s">
        <v>5</v>
      </c>
      <c r="D5" s="3" t="s">
        <v>6</v>
      </c>
      <c r="E5" s="4" t="s">
        <v>7</v>
      </c>
      <c r="F5" s="3" t="s">
        <v>8</v>
      </c>
      <c r="H5" s="3" t="s">
        <v>5</v>
      </c>
      <c r="I5" s="2" t="s">
        <v>44</v>
      </c>
      <c r="J5" s="2" t="str">
        <f t="shared" si="0"/>
        <v>Values ($m s.a.)</v>
      </c>
      <c r="K5" s="3" t="s">
        <v>6</v>
      </c>
      <c r="L5" s="3" t="s">
        <v>52</v>
      </c>
    </row>
    <row r="6" spans="1:13">
      <c r="A6" s="2" t="s">
        <v>48</v>
      </c>
      <c r="B6" s="2" t="s">
        <v>48</v>
      </c>
      <c r="C6" s="3" t="s">
        <v>5</v>
      </c>
      <c r="D6" s="3" t="s">
        <v>11</v>
      </c>
      <c r="E6" s="4" t="s">
        <v>12</v>
      </c>
      <c r="F6" s="3" t="s">
        <v>8</v>
      </c>
      <c r="H6" s="3" t="s">
        <v>5</v>
      </c>
      <c r="I6" s="2" t="s">
        <v>44</v>
      </c>
      <c r="J6" s="2" t="str">
        <f t="shared" si="0"/>
        <v>Values ($m)</v>
      </c>
      <c r="K6" s="3" t="s">
        <v>11</v>
      </c>
      <c r="L6" s="3" t="s">
        <v>52</v>
      </c>
    </row>
    <row r="7" spans="1:13">
      <c r="A7" s="2" t="s">
        <v>48</v>
      </c>
      <c r="B7" s="2" t="s">
        <v>48</v>
      </c>
      <c r="C7" s="3" t="s">
        <v>5</v>
      </c>
      <c r="D7" s="3" t="s">
        <v>14</v>
      </c>
      <c r="E7" s="4" t="s">
        <v>15</v>
      </c>
      <c r="F7" s="3" t="s">
        <v>16</v>
      </c>
      <c r="H7" s="3" t="s">
        <v>5</v>
      </c>
      <c r="I7" s="2" t="s">
        <v>44</v>
      </c>
      <c r="J7" s="2" t="str">
        <f t="shared" si="0"/>
        <v>Values (q/q% s.a.)</v>
      </c>
      <c r="K7" s="3" t="s">
        <v>14</v>
      </c>
      <c r="L7" s="3" t="s">
        <v>52</v>
      </c>
    </row>
    <row r="8" spans="1:13">
      <c r="A8" s="2" t="s">
        <v>48</v>
      </c>
      <c r="B8" s="2" t="s">
        <v>48</v>
      </c>
      <c r="C8" s="3" t="s">
        <v>5</v>
      </c>
      <c r="D8" s="3" t="s">
        <v>18</v>
      </c>
      <c r="E8" s="4" t="s">
        <v>19</v>
      </c>
      <c r="F8" s="3" t="s">
        <v>16</v>
      </c>
      <c r="H8" s="3" t="s">
        <v>5</v>
      </c>
      <c r="I8" s="2" t="s">
        <v>44</v>
      </c>
      <c r="J8" s="2" t="str">
        <f t="shared" si="0"/>
        <v>Values (y/y%)</v>
      </c>
      <c r="K8" s="3" t="s">
        <v>18</v>
      </c>
      <c r="L8" s="3" t="s">
        <v>52</v>
      </c>
    </row>
    <row r="9" spans="1:13">
      <c r="A9" s="2" t="s">
        <v>48</v>
      </c>
      <c r="B9" s="2" t="s">
        <v>48</v>
      </c>
      <c r="C9" s="3" t="s">
        <v>31</v>
      </c>
      <c r="D9" s="3" t="s">
        <v>39</v>
      </c>
      <c r="E9" s="4" t="s">
        <v>40</v>
      </c>
      <c r="H9" s="3" t="s">
        <v>31</v>
      </c>
      <c r="I9" s="2" t="s">
        <v>44</v>
      </c>
      <c r="J9" s="2" t="str">
        <f t="shared" si="0"/>
        <v>Volumes (Index s.a.)</v>
      </c>
      <c r="K9" s="3" t="s">
        <v>39</v>
      </c>
      <c r="L9" s="3" t="s">
        <v>52</v>
      </c>
    </row>
    <row r="10" spans="1:13">
      <c r="A10" s="2" t="s">
        <v>48</v>
      </c>
      <c r="B10" s="2" t="s">
        <v>48</v>
      </c>
      <c r="C10" s="3" t="s">
        <v>31</v>
      </c>
      <c r="D10" s="3" t="s">
        <v>22</v>
      </c>
      <c r="E10" s="4" t="s">
        <v>32</v>
      </c>
      <c r="H10" s="3" t="s">
        <v>31</v>
      </c>
      <c r="I10" s="2" t="s">
        <v>44</v>
      </c>
      <c r="J10" s="2" t="str">
        <f t="shared" si="0"/>
        <v>Volumes (Index)</v>
      </c>
      <c r="K10" s="3" t="s">
        <v>22</v>
      </c>
      <c r="L10" s="3" t="s">
        <v>52</v>
      </c>
    </row>
    <row r="11" spans="1:13">
      <c r="A11" s="2" t="s">
        <v>48</v>
      </c>
      <c r="B11" s="2" t="s">
        <v>48</v>
      </c>
      <c r="C11" s="3" t="s">
        <v>31</v>
      </c>
      <c r="D11" s="3" t="s">
        <v>14</v>
      </c>
      <c r="E11" s="4" t="s">
        <v>35</v>
      </c>
      <c r="F11" s="3" t="s">
        <v>16</v>
      </c>
      <c r="H11" s="3" t="s">
        <v>31</v>
      </c>
      <c r="I11" s="2" t="s">
        <v>44</v>
      </c>
      <c r="J11" s="2" t="str">
        <f t="shared" si="0"/>
        <v>Volumes (q/q% s.a.)</v>
      </c>
      <c r="K11" s="3" t="s">
        <v>14</v>
      </c>
      <c r="L11" s="3" t="s">
        <v>52</v>
      </c>
    </row>
    <row r="12" spans="1:13">
      <c r="A12" s="2" t="s">
        <v>48</v>
      </c>
      <c r="B12" s="2" t="s">
        <v>48</v>
      </c>
      <c r="C12" s="3" t="s">
        <v>31</v>
      </c>
      <c r="D12" s="3" t="s">
        <v>18</v>
      </c>
      <c r="E12" s="4" t="s">
        <v>37</v>
      </c>
      <c r="F12" s="3" t="s">
        <v>16</v>
      </c>
      <c r="H12" s="3" t="s">
        <v>31</v>
      </c>
      <c r="I12" s="2" t="s">
        <v>44</v>
      </c>
      <c r="J12" s="2" t="str">
        <f t="shared" si="0"/>
        <v>Volumes (y/y%)</v>
      </c>
      <c r="K12" s="3" t="s">
        <v>18</v>
      </c>
      <c r="L12" s="3" t="s">
        <v>52</v>
      </c>
    </row>
    <row r="13" spans="1:13">
      <c r="A13" s="2" t="s">
        <v>48</v>
      </c>
      <c r="B13" s="2" t="s">
        <v>48</v>
      </c>
      <c r="C13" s="3" t="s">
        <v>24</v>
      </c>
      <c r="D13" s="3" t="s">
        <v>22</v>
      </c>
      <c r="E13" s="4" t="s">
        <v>25</v>
      </c>
      <c r="H13" s="3" t="s">
        <v>24</v>
      </c>
      <c r="I13" s="2" t="s">
        <v>45</v>
      </c>
      <c r="J13" s="2" t="str">
        <f t="shared" si="0"/>
        <v>Prices (Index)</v>
      </c>
      <c r="K13" s="3" t="s">
        <v>22</v>
      </c>
      <c r="L13" s="3" t="s">
        <v>53</v>
      </c>
    </row>
    <row r="14" spans="1:13">
      <c r="A14" s="2" t="s">
        <v>48</v>
      </c>
      <c r="B14" s="2" t="s">
        <v>48</v>
      </c>
      <c r="C14" s="3" t="s">
        <v>24</v>
      </c>
      <c r="D14" s="3" t="s">
        <v>26</v>
      </c>
      <c r="E14" s="4" t="s">
        <v>28</v>
      </c>
      <c r="F14" s="3" t="s">
        <v>16</v>
      </c>
      <c r="H14" s="3" t="s">
        <v>24</v>
      </c>
      <c r="I14" s="2" t="s">
        <v>45</v>
      </c>
      <c r="J14" s="2" t="str">
        <f t="shared" si="0"/>
        <v>Prices (q/q%)</v>
      </c>
      <c r="K14" s="3" t="s">
        <v>26</v>
      </c>
      <c r="L14" s="3" t="s">
        <v>53</v>
      </c>
    </row>
    <row r="15" spans="1:13">
      <c r="A15" s="2" t="s">
        <v>48</v>
      </c>
      <c r="B15" s="2" t="s">
        <v>48</v>
      </c>
      <c r="C15" s="3" t="s">
        <v>24</v>
      </c>
      <c r="D15" s="3" t="s">
        <v>18</v>
      </c>
      <c r="E15" s="4" t="s">
        <v>30</v>
      </c>
      <c r="F15" s="3" t="s">
        <v>16</v>
      </c>
      <c r="H15" s="3" t="s">
        <v>24</v>
      </c>
      <c r="I15" s="2" t="s">
        <v>45</v>
      </c>
      <c r="J15" s="2" t="str">
        <f t="shared" si="0"/>
        <v>Prices (y/y%)</v>
      </c>
      <c r="K15" s="3" t="s">
        <v>18</v>
      </c>
      <c r="L15" s="3" t="s">
        <v>53</v>
      </c>
    </row>
    <row r="16" spans="1:13">
      <c r="A16" s="2" t="s">
        <v>48</v>
      </c>
      <c r="B16" s="2" t="s">
        <v>48</v>
      </c>
      <c r="C16" s="3" t="s">
        <v>9</v>
      </c>
      <c r="D16" s="3" t="s">
        <v>6</v>
      </c>
      <c r="E16" s="4" t="s">
        <v>10</v>
      </c>
      <c r="F16" s="3" t="s">
        <v>8</v>
      </c>
      <c r="H16" s="3" t="s">
        <v>9</v>
      </c>
      <c r="I16" s="2" t="s">
        <v>45</v>
      </c>
      <c r="J16" s="2" t="str">
        <f t="shared" si="0"/>
        <v>Values ($m s.a.)</v>
      </c>
      <c r="K16" s="3" t="s">
        <v>6</v>
      </c>
      <c r="L16" s="3" t="s">
        <v>53</v>
      </c>
    </row>
    <row r="17" spans="1:12">
      <c r="A17" s="2" t="s">
        <v>48</v>
      </c>
      <c r="B17" s="2" t="s">
        <v>48</v>
      </c>
      <c r="C17" s="3" t="s">
        <v>9</v>
      </c>
      <c r="D17" s="3" t="s">
        <v>11</v>
      </c>
      <c r="E17" s="4" t="s">
        <v>13</v>
      </c>
      <c r="F17" s="3" t="s">
        <v>8</v>
      </c>
      <c r="H17" s="3" t="s">
        <v>9</v>
      </c>
      <c r="I17" s="2" t="s">
        <v>45</v>
      </c>
      <c r="J17" s="2" t="str">
        <f t="shared" si="0"/>
        <v>Values ($m)</v>
      </c>
      <c r="K17" s="3" t="s">
        <v>11</v>
      </c>
      <c r="L17" s="3" t="s">
        <v>53</v>
      </c>
    </row>
    <row r="18" spans="1:12">
      <c r="A18" s="2" t="s">
        <v>48</v>
      </c>
      <c r="B18" s="2" t="s">
        <v>48</v>
      </c>
      <c r="C18" s="3" t="s">
        <v>9</v>
      </c>
      <c r="D18" s="3" t="s">
        <v>14</v>
      </c>
      <c r="E18" s="4" t="s">
        <v>17</v>
      </c>
      <c r="F18" s="3" t="s">
        <v>16</v>
      </c>
      <c r="H18" s="3" t="s">
        <v>9</v>
      </c>
      <c r="I18" s="2" t="s">
        <v>45</v>
      </c>
      <c r="J18" s="2" t="str">
        <f t="shared" si="0"/>
        <v>Values (q/q% s.a.)</v>
      </c>
      <c r="K18" s="3" t="s">
        <v>14</v>
      </c>
      <c r="L18" s="3" t="s">
        <v>53</v>
      </c>
    </row>
    <row r="19" spans="1:12">
      <c r="A19" s="2" t="s">
        <v>48</v>
      </c>
      <c r="B19" s="2" t="s">
        <v>48</v>
      </c>
      <c r="C19" s="3" t="s">
        <v>9</v>
      </c>
      <c r="D19" s="3" t="s">
        <v>18</v>
      </c>
      <c r="E19" s="4" t="s">
        <v>20</v>
      </c>
      <c r="F19" s="3" t="s">
        <v>16</v>
      </c>
      <c r="H19" s="3" t="s">
        <v>9</v>
      </c>
      <c r="I19" s="2" t="s">
        <v>45</v>
      </c>
      <c r="J19" s="2" t="str">
        <f t="shared" si="0"/>
        <v>Values (y/y%)</v>
      </c>
      <c r="K19" s="3" t="s">
        <v>18</v>
      </c>
      <c r="L19" s="3" t="s">
        <v>53</v>
      </c>
    </row>
    <row r="20" spans="1:12">
      <c r="A20" s="2" t="s">
        <v>48</v>
      </c>
      <c r="B20" s="2" t="s">
        <v>48</v>
      </c>
      <c r="C20" s="3" t="s">
        <v>33</v>
      </c>
      <c r="D20" s="3" t="s">
        <v>39</v>
      </c>
      <c r="E20" s="4" t="s">
        <v>41</v>
      </c>
      <c r="H20" s="3" t="s">
        <v>33</v>
      </c>
      <c r="I20" s="2" t="s">
        <v>45</v>
      </c>
      <c r="J20" s="2" t="str">
        <f t="shared" si="0"/>
        <v>Volumes (Index s.a.)</v>
      </c>
      <c r="K20" s="3" t="s">
        <v>39</v>
      </c>
      <c r="L20" s="3" t="s">
        <v>53</v>
      </c>
    </row>
    <row r="21" spans="1:12">
      <c r="A21" s="2" t="s">
        <v>48</v>
      </c>
      <c r="B21" s="2" t="s">
        <v>48</v>
      </c>
      <c r="C21" s="3" t="s">
        <v>33</v>
      </c>
      <c r="D21" s="3" t="s">
        <v>22</v>
      </c>
      <c r="E21" s="4" t="s">
        <v>34</v>
      </c>
      <c r="H21" s="3" t="s">
        <v>33</v>
      </c>
      <c r="I21" s="2" t="s">
        <v>45</v>
      </c>
      <c r="J21" s="2" t="str">
        <f t="shared" si="0"/>
        <v>Volumes (Index)</v>
      </c>
      <c r="K21" s="3" t="s">
        <v>22</v>
      </c>
      <c r="L21" s="3" t="s">
        <v>53</v>
      </c>
    </row>
    <row r="22" spans="1:12">
      <c r="A22" s="2" t="s">
        <v>48</v>
      </c>
      <c r="B22" s="2" t="s">
        <v>48</v>
      </c>
      <c r="C22" s="3" t="s">
        <v>33</v>
      </c>
      <c r="D22" s="3" t="s">
        <v>14</v>
      </c>
      <c r="E22" s="4" t="s">
        <v>36</v>
      </c>
      <c r="F22" s="3" t="s">
        <v>16</v>
      </c>
      <c r="H22" s="3" t="s">
        <v>33</v>
      </c>
      <c r="I22" s="2" t="s">
        <v>45</v>
      </c>
      <c r="J22" s="2" t="str">
        <f t="shared" si="0"/>
        <v>Volumes (q/q% s.a.)</v>
      </c>
      <c r="K22" s="3" t="s">
        <v>14</v>
      </c>
      <c r="L22" s="3" t="s">
        <v>53</v>
      </c>
    </row>
    <row r="23" spans="1:12">
      <c r="A23" s="2" t="s">
        <v>48</v>
      </c>
      <c r="B23" s="2" t="s">
        <v>48</v>
      </c>
      <c r="C23" s="3" t="s">
        <v>33</v>
      </c>
      <c r="D23" s="3" t="s">
        <v>18</v>
      </c>
      <c r="E23" s="4" t="s">
        <v>38</v>
      </c>
      <c r="F23" s="3" t="s">
        <v>16</v>
      </c>
      <c r="H23" s="3" t="s">
        <v>33</v>
      </c>
      <c r="I23" s="2" t="s">
        <v>45</v>
      </c>
      <c r="J23" s="2" t="str">
        <f t="shared" si="0"/>
        <v>Volumes (y/y%)</v>
      </c>
      <c r="K23" s="3" t="s">
        <v>18</v>
      </c>
      <c r="L23" s="3" t="s">
        <v>53</v>
      </c>
    </row>
    <row r="24" spans="1:12">
      <c r="A24" s="2" t="s">
        <v>114</v>
      </c>
      <c r="B24" s="2" t="s">
        <v>114</v>
      </c>
      <c r="C24" s="5" t="s">
        <v>55</v>
      </c>
      <c r="D24" s="5" t="s">
        <v>56</v>
      </c>
      <c r="E24" s="6" t="s">
        <v>57</v>
      </c>
      <c r="F24" s="5" t="s">
        <v>58</v>
      </c>
      <c r="H24" s="5" t="s">
        <v>56</v>
      </c>
      <c r="K24" s="5" t="s">
        <v>58</v>
      </c>
      <c r="L24" s="3" t="s">
        <v>52</v>
      </c>
    </row>
    <row r="25" spans="1:12">
      <c r="A25" s="2" t="s">
        <v>114</v>
      </c>
      <c r="B25" s="2" t="s">
        <v>114</v>
      </c>
      <c r="C25" s="5" t="s">
        <v>59</v>
      </c>
      <c r="D25" s="5" t="s">
        <v>60</v>
      </c>
      <c r="E25" s="6" t="s">
        <v>61</v>
      </c>
      <c r="F25" s="5" t="s">
        <v>62</v>
      </c>
      <c r="H25" s="5" t="s">
        <v>60</v>
      </c>
      <c r="K25" s="5" t="s">
        <v>62</v>
      </c>
      <c r="L25" s="3" t="s">
        <v>52</v>
      </c>
    </row>
    <row r="26" spans="1:12">
      <c r="A26" s="2" t="s">
        <v>114</v>
      </c>
      <c r="B26" s="2" t="s">
        <v>114</v>
      </c>
      <c r="C26" s="5" t="s">
        <v>59</v>
      </c>
      <c r="D26" s="5" t="s">
        <v>63</v>
      </c>
      <c r="E26" s="6" t="s">
        <v>64</v>
      </c>
      <c r="F26" s="5" t="s">
        <v>65</v>
      </c>
      <c r="H26" s="5" t="s">
        <v>63</v>
      </c>
      <c r="K26" s="5" t="s">
        <v>65</v>
      </c>
      <c r="L26" s="3" t="s">
        <v>52</v>
      </c>
    </row>
    <row r="27" spans="1:12">
      <c r="A27" s="2" t="s">
        <v>114</v>
      </c>
      <c r="B27" s="2" t="s">
        <v>114</v>
      </c>
      <c r="C27" s="5" t="s">
        <v>59</v>
      </c>
      <c r="D27" s="5" t="s">
        <v>66</v>
      </c>
      <c r="E27" s="6" t="s">
        <v>67</v>
      </c>
      <c r="F27" s="5" t="s">
        <v>68</v>
      </c>
      <c r="H27" s="5" t="s">
        <v>66</v>
      </c>
      <c r="K27" s="5" t="s">
        <v>68</v>
      </c>
      <c r="L27" s="3" t="s">
        <v>52</v>
      </c>
    </row>
    <row r="28" spans="1:12">
      <c r="A28" s="2" t="s">
        <v>114</v>
      </c>
      <c r="B28" s="2" t="s">
        <v>114</v>
      </c>
      <c r="C28" s="5" t="s">
        <v>59</v>
      </c>
      <c r="D28" s="5" t="s">
        <v>69</v>
      </c>
      <c r="E28" s="6" t="s">
        <v>70</v>
      </c>
      <c r="F28" s="5" t="s">
        <v>71</v>
      </c>
      <c r="H28" s="5" t="s">
        <v>69</v>
      </c>
      <c r="K28" s="5" t="s">
        <v>71</v>
      </c>
      <c r="L28" s="3" t="s">
        <v>52</v>
      </c>
    </row>
    <row r="29" spans="1:12">
      <c r="A29" s="2" t="s">
        <v>114</v>
      </c>
      <c r="B29" s="2" t="s">
        <v>114</v>
      </c>
      <c r="C29" s="5" t="s">
        <v>59</v>
      </c>
      <c r="D29" s="5" t="s">
        <v>72</v>
      </c>
      <c r="E29" s="6" t="s">
        <v>73</v>
      </c>
      <c r="F29" s="5" t="s">
        <v>74</v>
      </c>
      <c r="H29" s="5" t="s">
        <v>72</v>
      </c>
      <c r="K29" s="5" t="s">
        <v>74</v>
      </c>
      <c r="L29" s="3" t="s">
        <v>52</v>
      </c>
    </row>
    <row r="30" spans="1:12">
      <c r="A30" s="2" t="s">
        <v>114</v>
      </c>
      <c r="B30" s="2" t="s">
        <v>114</v>
      </c>
      <c r="C30" s="5" t="s">
        <v>59</v>
      </c>
      <c r="D30" s="5" t="s">
        <v>75</v>
      </c>
      <c r="E30" s="6" t="s">
        <v>76</v>
      </c>
      <c r="F30" s="5" t="s">
        <v>77</v>
      </c>
      <c r="H30" s="5" t="s">
        <v>75</v>
      </c>
      <c r="K30" s="5" t="s">
        <v>77</v>
      </c>
      <c r="L30" s="3" t="s">
        <v>52</v>
      </c>
    </row>
    <row r="31" spans="1:12">
      <c r="A31" s="2" t="s">
        <v>114</v>
      </c>
      <c r="B31" s="2" t="s">
        <v>114</v>
      </c>
      <c r="C31" s="5" t="s">
        <v>59</v>
      </c>
      <c r="D31" s="5" t="s">
        <v>78</v>
      </c>
      <c r="E31" s="6" t="s">
        <v>79</v>
      </c>
      <c r="F31" s="5" t="s">
        <v>80</v>
      </c>
      <c r="H31" s="5" t="s">
        <v>78</v>
      </c>
      <c r="K31" s="5" t="s">
        <v>80</v>
      </c>
      <c r="L31" s="3" t="s">
        <v>52</v>
      </c>
    </row>
    <row r="32" spans="1:12">
      <c r="A32" s="2" t="s">
        <v>114</v>
      </c>
      <c r="B32" s="2" t="s">
        <v>114</v>
      </c>
      <c r="C32" s="5" t="s">
        <v>59</v>
      </c>
      <c r="D32" s="5" t="s">
        <v>81</v>
      </c>
      <c r="E32" s="6" t="s">
        <v>82</v>
      </c>
      <c r="F32" s="5" t="s">
        <v>83</v>
      </c>
      <c r="H32" s="5" t="s">
        <v>81</v>
      </c>
      <c r="K32" s="5" t="s">
        <v>83</v>
      </c>
      <c r="L32" s="3" t="s">
        <v>52</v>
      </c>
    </row>
    <row r="33" spans="1:12">
      <c r="A33" s="2" t="s">
        <v>114</v>
      </c>
      <c r="B33" s="2" t="s">
        <v>114</v>
      </c>
      <c r="C33" s="5" t="s">
        <v>59</v>
      </c>
      <c r="D33" s="5" t="s">
        <v>84</v>
      </c>
      <c r="E33" s="6" t="s">
        <v>85</v>
      </c>
      <c r="F33" s="5" t="s">
        <v>86</v>
      </c>
      <c r="H33" s="5" t="s">
        <v>84</v>
      </c>
      <c r="K33" s="5" t="s">
        <v>86</v>
      </c>
      <c r="L33" s="3" t="s">
        <v>52</v>
      </c>
    </row>
    <row r="34" spans="1:12">
      <c r="A34" s="2" t="s">
        <v>114</v>
      </c>
      <c r="B34" s="2" t="s">
        <v>114</v>
      </c>
      <c r="C34" s="5" t="s">
        <v>59</v>
      </c>
      <c r="D34" s="5" t="s">
        <v>87</v>
      </c>
      <c r="E34" s="6" t="s">
        <v>88</v>
      </c>
      <c r="F34" s="5" t="s">
        <v>89</v>
      </c>
      <c r="H34" s="5" t="s">
        <v>87</v>
      </c>
      <c r="K34" s="5" t="s">
        <v>89</v>
      </c>
      <c r="L34" s="3" t="s">
        <v>52</v>
      </c>
    </row>
    <row r="35" spans="1:12">
      <c r="A35" s="2" t="s">
        <v>114</v>
      </c>
      <c r="B35" s="2" t="s">
        <v>114</v>
      </c>
      <c r="C35" s="5" t="s">
        <v>59</v>
      </c>
      <c r="D35" s="5" t="s">
        <v>90</v>
      </c>
      <c r="E35" s="6" t="s">
        <v>91</v>
      </c>
      <c r="F35" s="5" t="s">
        <v>92</v>
      </c>
      <c r="H35" s="5" t="s">
        <v>90</v>
      </c>
      <c r="K35" s="5" t="s">
        <v>92</v>
      </c>
      <c r="L35" s="3" t="s">
        <v>52</v>
      </c>
    </row>
    <row r="36" spans="1:12">
      <c r="A36" s="2" t="s">
        <v>114</v>
      </c>
      <c r="B36" s="2" t="s">
        <v>114</v>
      </c>
      <c r="C36" s="5" t="s">
        <v>59</v>
      </c>
      <c r="D36" s="5" t="s">
        <v>93</v>
      </c>
      <c r="E36" s="6" t="s">
        <v>94</v>
      </c>
      <c r="F36" s="5" t="s">
        <v>95</v>
      </c>
      <c r="H36" s="5" t="s">
        <v>93</v>
      </c>
      <c r="K36" s="5" t="s">
        <v>95</v>
      </c>
      <c r="L36" s="3" t="s">
        <v>52</v>
      </c>
    </row>
    <row r="37" spans="1:12">
      <c r="A37" s="2" t="s">
        <v>114</v>
      </c>
      <c r="B37" s="2" t="s">
        <v>114</v>
      </c>
      <c r="C37" s="5" t="s">
        <v>59</v>
      </c>
      <c r="D37" s="5" t="s">
        <v>96</v>
      </c>
      <c r="E37" s="6" t="s">
        <v>97</v>
      </c>
      <c r="F37" s="5" t="s">
        <v>98</v>
      </c>
      <c r="H37" s="5" t="s">
        <v>96</v>
      </c>
      <c r="K37" s="5" t="s">
        <v>98</v>
      </c>
      <c r="L37" s="3" t="s">
        <v>52</v>
      </c>
    </row>
    <row r="38" spans="1:12">
      <c r="A38" s="2" t="s">
        <v>114</v>
      </c>
      <c r="B38" s="2" t="s">
        <v>114</v>
      </c>
      <c r="C38" s="5" t="s">
        <v>59</v>
      </c>
      <c r="D38" s="5" t="s">
        <v>99</v>
      </c>
      <c r="E38" s="6" t="s">
        <v>100</v>
      </c>
      <c r="F38" s="5" t="s">
        <v>101</v>
      </c>
      <c r="H38" s="5" t="s">
        <v>99</v>
      </c>
      <c r="K38" s="5" t="s">
        <v>101</v>
      </c>
      <c r="L38" s="3" t="s">
        <v>52</v>
      </c>
    </row>
    <row r="39" spans="1:12">
      <c r="A39" s="2" t="s">
        <v>114</v>
      </c>
      <c r="B39" s="2" t="s">
        <v>114</v>
      </c>
      <c r="C39" s="5" t="s">
        <v>59</v>
      </c>
      <c r="D39" s="5" t="s">
        <v>102</v>
      </c>
      <c r="E39" s="6" t="s">
        <v>103</v>
      </c>
      <c r="F39" s="5" t="s">
        <v>104</v>
      </c>
      <c r="H39" s="5" t="s">
        <v>102</v>
      </c>
      <c r="K39" s="5" t="s">
        <v>104</v>
      </c>
      <c r="L39" s="3" t="s">
        <v>52</v>
      </c>
    </row>
    <row r="40" spans="1:12">
      <c r="A40" s="2" t="s">
        <v>114</v>
      </c>
      <c r="B40" s="2" t="s">
        <v>114</v>
      </c>
      <c r="C40" s="5" t="s">
        <v>59</v>
      </c>
      <c r="D40" s="5" t="s">
        <v>105</v>
      </c>
      <c r="E40" s="6" t="s">
        <v>106</v>
      </c>
      <c r="F40" s="5" t="s">
        <v>107</v>
      </c>
      <c r="H40" s="5" t="s">
        <v>105</v>
      </c>
      <c r="K40" s="5" t="s">
        <v>107</v>
      </c>
      <c r="L40" s="3" t="s">
        <v>52</v>
      </c>
    </row>
    <row r="41" spans="1:12">
      <c r="A41" s="2" t="s">
        <v>114</v>
      </c>
      <c r="B41" s="2" t="s">
        <v>114</v>
      </c>
      <c r="C41" s="5" t="s">
        <v>59</v>
      </c>
      <c r="D41" s="5" t="s">
        <v>108</v>
      </c>
      <c r="E41" s="6" t="s">
        <v>109</v>
      </c>
      <c r="F41" s="5" t="s">
        <v>110</v>
      </c>
      <c r="H41" s="5" t="s">
        <v>108</v>
      </c>
      <c r="K41" s="5" t="s">
        <v>110</v>
      </c>
      <c r="L41" s="3" t="s">
        <v>52</v>
      </c>
    </row>
    <row r="42" spans="1:12">
      <c r="A42" s="2" t="s">
        <v>114</v>
      </c>
      <c r="B42" s="2" t="s">
        <v>114</v>
      </c>
      <c r="C42" s="5" t="s">
        <v>111</v>
      </c>
      <c r="D42" s="5" t="s">
        <v>112</v>
      </c>
      <c r="E42" s="6" t="s">
        <v>113</v>
      </c>
      <c r="F42" s="5" t="s">
        <v>58</v>
      </c>
      <c r="H42" s="5" t="s">
        <v>112</v>
      </c>
      <c r="K42" s="5" t="s">
        <v>58</v>
      </c>
      <c r="L42" s="3" t="s">
        <v>52</v>
      </c>
    </row>
  </sheetData>
  <autoFilter ref="A1:M23" xr:uid="{7951F0BF-F4F4-4018-91DD-7578A3106959}"/>
  <hyperlinks>
    <hyperlink ref="E2" location="'Data'!R5C2" display="OTIX.Q.U1A.ia" xr:uid="{6543812B-8EF7-4CD7-B644-53AFA590CB64}"/>
    <hyperlink ref="E3" location="'Data'!R5C3" display="OTIX.Q.U1A.iaq" xr:uid="{DB81E24C-6336-4CED-9751-EFDB8DD61F81}"/>
    <hyperlink ref="E4" location="'Data'!R5C4" display="OTIX.Q.U1A.iay" xr:uid="{D3A09D1A-0E3D-4CA4-9BF0-D653B65D1B9C}"/>
    <hyperlink ref="E10" location="'Data'!R5C5" display="OTIX.Q.U2A.ia" xr:uid="{0276DD14-E08B-4816-8CB4-20A2A424C48C}"/>
    <hyperlink ref="E9" location="'Data'!R5C6" display="OTIX.Q.U2A.is" xr:uid="{11DB93F8-9AD6-4C40-B743-876CF26CA1F8}"/>
    <hyperlink ref="E11" location="'Data'!R5C7" display="OTIX.Q.U2A.isq" xr:uid="{BF75C937-C424-40CD-B504-4837DA4FAEFC}"/>
    <hyperlink ref="E12" location="'Data'!R5C8" display="OTIX.Q.U2A.iay" xr:uid="{8A721DAF-AB0A-48A9-B5A7-EFBB7B4C22B2}"/>
    <hyperlink ref="E6" location="'Data'!R5C9" display="OTIX.Q.UA.na" xr:uid="{6949010C-1EAD-40EC-8925-EA78072E3BF7}"/>
    <hyperlink ref="E5" location="'Data'!R5C10" display="OTIX.Q.UA.ns" xr:uid="{9D3CCCBC-FFC2-4F11-BDCE-0EDAEC22700F}"/>
    <hyperlink ref="E7" location="'Data'!R5C11" display="OTIX.Q.UA.nsq" xr:uid="{BE47F9C5-2E18-4B22-946F-866293D3DA9C}"/>
    <hyperlink ref="E8" location="'Data'!R5C12" display="OTIX.Q.UA.nay" xr:uid="{0BF2F3ED-874E-4292-8098-AF1A3F9CA6F4}"/>
    <hyperlink ref="E13" location="'Data'!R5C13" display="OTIM.Q.U1A.ia" xr:uid="{0695856D-6AFB-4DD3-B9EB-7F9ABB90DBDC}"/>
    <hyperlink ref="E14" location="'Data'!R5C14" display="OTIM.Q.U1A.iaq" xr:uid="{6EEF7EA9-BBFC-4BA7-8BED-94324E8A9346}"/>
    <hyperlink ref="E15" location="'Data'!R5C15" display="OTIM.Q.U1A.iay" xr:uid="{683D185C-9B00-4246-8F76-6184C5973033}"/>
    <hyperlink ref="E21" location="'Data'!R5C16" display="OTIM.Q.U2A.ia" xr:uid="{CF857C76-2102-42C3-AFB2-BF614712C916}"/>
    <hyperlink ref="E20" location="'Data'!R5C17" display="OTIM.Q.U2A.is" xr:uid="{F391E3FC-9238-4C83-85AB-12204FF9AC4E}"/>
    <hyperlink ref="E22" location="'Data'!R5C18" display="OTIM.Q.U2A.isq" xr:uid="{A678CCD3-5528-44C2-965F-9C4F002DAC13}"/>
    <hyperlink ref="E23" location="'Data'!R5C19" display="OTIM.Q.U2A.iay" xr:uid="{79D94997-D7AE-4546-A3F3-9F25E875FDF9}"/>
    <hyperlink ref="E17" location="'Data'!R5C20" display="OTIM.Q.UA.na" xr:uid="{8B71AEDB-C30E-49E8-A1DB-AF4C70614EED}"/>
    <hyperlink ref="E16" location="'Data'!R5C21" display="OTIM.Q.UA.ns" xr:uid="{CB1B2392-54D3-43B9-A5F3-A6ED711A8BFD}"/>
    <hyperlink ref="E18" location="'Data'!R5C22" display="OTIM.Q.UA.nsq" xr:uid="{E65A33D3-27D1-4FFF-B233-6277AFE5DB13}"/>
    <hyperlink ref="E19" location="'Data'!R5C23" display="OTIM.Q.UA.nay" xr:uid="{5A48C877-82FD-4B43-A403-EE269B8FBC08}"/>
    <hyperlink ref="E24" location="'Data'!R5C2" display="place" xr:uid="{67FEDA33-E0B7-47EF-8BDB-6142CB2FD468}"/>
    <hyperlink ref="E25" location="'Data'!R5C3" display="place" xr:uid="{A1FC4B4C-E48E-43AD-9D73-49EB18D212FD}"/>
    <hyperlink ref="E26" location="'Data'!R5C4" display="place" xr:uid="{E192A278-192E-4521-8B2B-E7098FA31E96}"/>
    <hyperlink ref="E27" location="'Data'!R5C5" display="place" xr:uid="{10508085-A92D-457C-8447-F6E050F70812}"/>
    <hyperlink ref="E28" location="'Data'!R5C6" display="place" xr:uid="{39B82144-9403-4539-A448-614340282747}"/>
    <hyperlink ref="E29" location="'Data'!R5C7" display="place" xr:uid="{A6B56D91-1AAD-48FB-892B-8B5C51FD4E9D}"/>
    <hyperlink ref="E30" location="'Data'!R5C8" display="place" xr:uid="{8A22CBD7-CA23-40D8-B4A4-F7578B479484}"/>
    <hyperlink ref="E31" location="'Data'!R5C9" display="place" xr:uid="{9D3A41F2-0614-42B4-AC4D-B0E6F5207531}"/>
    <hyperlink ref="E32" location="'Data'!R5C10" display="place" xr:uid="{5CC59FC7-525B-4F23-AEBE-54B896A0DF8B}"/>
    <hyperlink ref="E33" location="'Data'!R5C11" display="place" xr:uid="{6EAFBB23-E2BC-4EB6-B24D-DEB3F605C652}"/>
    <hyperlink ref="E34" location="'Data'!R5C12" display="place" xr:uid="{05C7EC68-D3E9-4B90-861F-087107DD4D23}"/>
    <hyperlink ref="E35" location="'Data'!R5C13" display="place" xr:uid="{766F9D02-78BA-46BA-A5D7-76D6EE546913}"/>
    <hyperlink ref="E36" location="'Data'!R5C14" display="place" xr:uid="{56104186-F536-4AD1-B3CD-56D7C60C4BAD}"/>
    <hyperlink ref="E37" location="'Data'!R5C15" display="place" xr:uid="{296468D8-7B46-4E73-916D-38BDB23E7E28}"/>
    <hyperlink ref="E38" location="'Data'!R5C16" display="place" xr:uid="{57F49E49-613A-48B8-BFA6-AF246A9A9C7E}"/>
    <hyperlink ref="E39" location="'Data'!R5C17" display="place" xr:uid="{9DA6449A-05CB-4C9B-9FE0-03D9E48D4AEF}"/>
    <hyperlink ref="E40" location="'Data'!R5C18" display="place" xr:uid="{E7751F53-A07D-474D-8179-6A88B02E607C}"/>
    <hyperlink ref="E41" location="'Data'!R5C19" display="place" xr:uid="{D6703026-D782-4106-9F96-4F47F127D2F1}"/>
    <hyperlink ref="E42" location="'Data'!R5C20" display="place" xr:uid="{FD8BB520-E9AC-46CE-A710-17FD2412C05C}"/>
  </hyperlinks>
  <pageMargins left="0.7" right="0.7" top="0.75" bottom="0.75" header="0.3" footer="0.3"/>
  <pageSetup orientation="portrait" r:id="rId1"/>
  <headerFooter>
    <oddHeader>&amp;C&amp;"Calibri"&amp;10&amp;K000000 UNCLASSIFIED&amp;1#_x000D_</oddHeader>
    <oddFooter>&amp;C_x000D_&amp;1#&amp;"Calibri"&amp;10&amp;K000000 UNCLASSIFIED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AA6A0-9525-4758-AE28-F019DC3E1484}">
  <dimension ref="A1:A4"/>
  <sheetViews>
    <sheetView workbookViewId="0">
      <selection activeCell="A4" sqref="A4"/>
    </sheetView>
  </sheetViews>
  <sheetFormatPr defaultRowHeight="10.15"/>
  <sheetData>
    <row r="1" spans="1:1">
      <c r="A1" t="s">
        <v>1023</v>
      </c>
    </row>
    <row r="2" spans="1:1">
      <c r="A2" t="s">
        <v>1026</v>
      </c>
    </row>
    <row r="3" spans="1:1">
      <c r="A3" t="s">
        <v>1027</v>
      </c>
    </row>
    <row r="4" spans="1:1">
      <c r="A4" t="s">
        <v>1028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Series Definitions</vt:lpstr>
      <vt:lpstr>Sheet2</vt:lpstr>
      <vt:lpstr>Series Definitions (3)</vt:lpstr>
      <vt:lpstr>Graphs</vt:lpstr>
      <vt:lpstr>Series Definitions (2)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Hawley</dc:creator>
  <cp:lastModifiedBy>Michael Hawley</cp:lastModifiedBy>
  <dcterms:created xsi:type="dcterms:W3CDTF">2025-11-02T02:51:49Z</dcterms:created>
  <dcterms:modified xsi:type="dcterms:W3CDTF">2026-01-22T22:23:28Z</dcterms:modified>
</cp:coreProperties>
</file>