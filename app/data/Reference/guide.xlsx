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svnewzealand-my.sharepoint.com/personal/mike_csv_co_nz/Documents/06_Altitude/Altitude/app/data/Reference/"/>
    </mc:Choice>
  </mc:AlternateContent>
  <xr:revisionPtr revIDLastSave="245" documentId="8_{BCBC3A3A-E0FA-4AA3-8593-2140AD00DA78}" xr6:coauthVersionLast="47" xr6:coauthVersionMax="47" xr10:uidLastSave="{43184C56-6D01-455B-970A-89EB5729B607}"/>
  <bookViews>
    <workbookView xWindow="17160" yWindow="-21600" windowWidth="19380" windowHeight="20970" xr2:uid="{8E4D9682-10B3-4A32-8A23-CE2B94AA5C11}"/>
  </bookViews>
  <sheets>
    <sheet name="Guid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I2" i="2" l="1" a="1"/>
  <c r="I2" i="2" s="1"/>
  <c r="A2" i="2" a="1"/>
  <c r="A2" i="2" s="1"/>
  <c r="N2" i="2" l="1" a="1"/>
  <c r="N2" i="2" l="1"/>
  <c r="Q11" i="1" s="1" a="1"/>
  <c r="Q11" i="1" s="1"/>
  <c r="Q34" i="1" a="1"/>
  <c r="Q34" i="1" s="1"/>
  <c r="Q18" i="1" a="1"/>
  <c r="Q18" i="1" s="1"/>
  <c r="Q17" i="1" l="1" a="1"/>
  <c r="Q17" i="1" s="1"/>
  <c r="Q28" i="1" a="1"/>
  <c r="Q28" i="1" s="1"/>
  <c r="Q32" i="1" a="1"/>
  <c r="Q32" i="1" s="1"/>
  <c r="Q12" i="1" a="1"/>
  <c r="Q12" i="1" s="1"/>
  <c r="Q6" i="1" a="1"/>
  <c r="Q6" i="1" s="1"/>
  <c r="Q7" i="1" a="1"/>
  <c r="Q7" i="1" s="1"/>
  <c r="Q29" i="1" a="1"/>
  <c r="Q29" i="1" s="1"/>
  <c r="Q24" i="1" a="1"/>
  <c r="Q24" i="1" s="1"/>
  <c r="Q15" i="1" a="1"/>
  <c r="Q15" i="1" s="1"/>
  <c r="Q3" i="1" a="1"/>
  <c r="Q3" i="1" s="1"/>
  <c r="Q31" i="1" a="1"/>
  <c r="Q31" i="1" s="1"/>
  <c r="Q5" i="1" a="1"/>
  <c r="Q5" i="1" s="1"/>
  <c r="Q16" i="1" a="1"/>
  <c r="Q16" i="1" s="1"/>
  <c r="Q13" i="1" a="1"/>
  <c r="Q13" i="1" s="1"/>
  <c r="Q9" i="1" a="1"/>
  <c r="Q9" i="1" s="1"/>
  <c r="Q14" i="1" a="1"/>
  <c r="Q14" i="1" s="1"/>
  <c r="Q30" i="1" a="1"/>
  <c r="Q30" i="1" s="1"/>
  <c r="Q21" i="1" a="1"/>
  <c r="Q21" i="1" s="1"/>
  <c r="Q23" i="1" a="1"/>
  <c r="Q23" i="1" s="1"/>
  <c r="Q10" i="1" a="1"/>
  <c r="Q10" i="1" s="1"/>
  <c r="Q22" i="1" a="1"/>
  <c r="Q22" i="1" s="1"/>
  <c r="Q25" i="1" a="1"/>
  <c r="Q25" i="1" s="1"/>
  <c r="Q27" i="1" a="1"/>
  <c r="Q27" i="1" s="1"/>
  <c r="Q2" i="1" a="1"/>
  <c r="Q2" i="1" s="1"/>
  <c r="Q4" i="1" a="1"/>
  <c r="Q4" i="1" s="1"/>
  <c r="Q33" i="1" a="1"/>
  <c r="Q33" i="1" s="1"/>
  <c r="Q19" i="1" a="1"/>
  <c r="Q19" i="1" s="1"/>
  <c r="Q8" i="1" a="1"/>
  <c r="Q8" i="1" s="1"/>
  <c r="Q20" i="1" a="1"/>
  <c r="Q20" i="1" s="1"/>
  <c r="Q26" i="1" a="1"/>
  <c r="Q26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<sst xmlns="http://schemas.openxmlformats.org/spreadsheetml/2006/main" count="317" uniqueCount="116">
  <si>
    <t>Tick</t>
  </si>
  <si>
    <t>Prefix</t>
  </si>
  <si>
    <t>bond</t>
  </si>
  <si>
    <t>Lodged Bonds</t>
  </si>
  <si>
    <t>n</t>
  </si>
  <si>
    <t>,d</t>
  </si>
  <si>
    <t>Active Bonds</t>
  </si>
  <si>
    <t>Closed Bonds</t>
  </si>
  <si>
    <t>Median Rent</t>
  </si>
  <si>
    <t>Rent</t>
  </si>
  <si>
    <t>$</t>
  </si>
  <si>
    <t>Geometric Mean Rent</t>
  </si>
  <si>
    <t>Upper Quartile Rent</t>
  </si>
  <si>
    <t>Lower Quartile Rent</t>
  </si>
  <si>
    <t>Log Std Dev Weekly Rent</t>
  </si>
  <si>
    <t>hm14</t>
  </si>
  <si>
    <t>SOE.Q.E100.na</t>
  </si>
  <si>
    <t>Perception of monetary conditions (net) - End of current quarter</t>
  </si>
  <si>
    <t>Perception of monetary conditions (net)</t>
  </si>
  <si>
    <t>%</t>
  </si>
  <si>
    <t>Total %</t>
  </si>
  <si>
    <t>.2f</t>
  </si>
  <si>
    <t>SOE.Q.E101.na</t>
  </si>
  <si>
    <t>Perception of monetary conditions (net) - Next quarter</t>
  </si>
  <si>
    <t>SOE.Q.E102.na</t>
  </si>
  <si>
    <t>Perception of monetary conditions (net) - 1 year out</t>
  </si>
  <si>
    <t>SOE.Q.E210.na</t>
  </si>
  <si>
    <t>Annual CPI growth - 1 year out</t>
  </si>
  <si>
    <t>Annual CPI growth</t>
  </si>
  <si>
    <t>SOE.Q.E215.na</t>
  </si>
  <si>
    <t>Annual CPI growth - 2 years out</t>
  </si>
  <si>
    <t>SOE.Q.E220.na</t>
  </si>
  <si>
    <t>Annual CPI growth - 5 years out</t>
  </si>
  <si>
    <t>SOE.Q.E230.na</t>
  </si>
  <si>
    <t>Annual CPI growth - 10 years out</t>
  </si>
  <si>
    <t>SOE.Q.E350.na</t>
  </si>
  <si>
    <t>Official Cash Rate (OCR) - End of current quarter</t>
  </si>
  <si>
    <t>Official Cash Rate (OCR)</t>
  </si>
  <si>
    <t>%pa</t>
  </si>
  <si>
    <t>SOE.Q.E351.na</t>
  </si>
  <si>
    <t>Official Cash Rate (OCR) - 1 year out</t>
  </si>
  <si>
    <t>SOE.Q.E353.na</t>
  </si>
  <si>
    <t>Official Cash Rate (OCR) - 10 years out</t>
  </si>
  <si>
    <t>SOE.Q.E356.na</t>
  </si>
  <si>
    <t>Official Cash Rate (OCR) - 10 year average</t>
  </si>
  <si>
    <t>SOE.Q.E310.na</t>
  </si>
  <si>
    <t>10 year government bond yields - End of current quarter</t>
  </si>
  <si>
    <t>10 year government bond yields</t>
  </si>
  <si>
    <t>SOE.Q.E311.na</t>
  </si>
  <si>
    <t>10 year government bond yields - 1 year out</t>
  </si>
  <si>
    <t>SOE.Q.E402.ra</t>
  </si>
  <si>
    <t>Annual GDP growth - 1 year out</t>
  </si>
  <si>
    <t>Annual GDP growth</t>
  </si>
  <si>
    <t>SOE.Q.E403.ra</t>
  </si>
  <si>
    <t>Annual GDP growth - 2 years out</t>
  </si>
  <si>
    <t>SOE.Q.E460.na</t>
  </si>
  <si>
    <t>Annual hourly wage growth - 1 year out</t>
  </si>
  <si>
    <t>Annual hourly wage growth</t>
  </si>
  <si>
    <t>SOE.Q.E461.na</t>
  </si>
  <si>
    <t>Annual hourly wage growth - 2 years out</t>
  </si>
  <si>
    <t>SOE.Q.E470.na</t>
  </si>
  <si>
    <t>Unemployment rate - 1 year out</t>
  </si>
  <si>
    <t>Unemployment rate</t>
  </si>
  <si>
    <t>SOE.Q.E471.na</t>
  </si>
  <si>
    <t>Unemployment rate - 2 years out</t>
  </si>
  <si>
    <t>SOE.Q.E320.na</t>
  </si>
  <si>
    <t>US dollar exchange rate - Next quarter</t>
  </si>
  <si>
    <t>US dollar exchange rate</t>
  </si>
  <si>
    <t>NZD/USD</t>
  </si>
  <si>
    <t>SOE.Q.E321.na</t>
  </si>
  <si>
    <t>US dollar exchange rate - 1 year out</t>
  </si>
  <si>
    <t>SOE.Q.E330.na</t>
  </si>
  <si>
    <t>Australian dollar exchange rate - Next quarter</t>
  </si>
  <si>
    <t>Australian dollar exchange rate</t>
  </si>
  <si>
    <t>NZD/AUD</t>
  </si>
  <si>
    <t>SOE.Q.E331.na</t>
  </si>
  <si>
    <t>Australian dollar exchange rate - 1 year out</t>
  </si>
  <si>
    <t>SOE.Q.E480.na</t>
  </si>
  <si>
    <t>House price index - 1 year out</t>
  </si>
  <si>
    <t>House price index</t>
  </si>
  <si>
    <t>SOE.Q.E481.na</t>
  </si>
  <si>
    <t>House price index - 2 years out</t>
  </si>
  <si>
    <t>Dataset</t>
  </si>
  <si>
    <t>DatasetColumn</t>
  </si>
  <si>
    <t>ColumnName</t>
  </si>
  <si>
    <t>Category_1</t>
  </si>
  <si>
    <t>Category_2</t>
  </si>
  <si>
    <t>Quartile</t>
  </si>
  <si>
    <t>Mean</t>
  </si>
  <si>
    <t>Deviation</t>
  </si>
  <si>
    <t>Flow</t>
  </si>
  <si>
    <t>State</t>
  </si>
  <si>
    <t>-</t>
  </si>
  <si>
    <t>Level_1</t>
  </si>
  <si>
    <t>Level_2</t>
  </si>
  <si>
    <t>End of current quarter</t>
  </si>
  <si>
    <t>Next quarter</t>
  </si>
  <si>
    <t>1 year out</t>
  </si>
  <si>
    <t>2 years out</t>
  </si>
  <si>
    <t>5 years out</t>
  </si>
  <si>
    <t>10 years out</t>
  </si>
  <si>
    <t>10 year average</t>
  </si>
  <si>
    <t>Upper Quartile</t>
  </si>
  <si>
    <t>Lower Quartile</t>
  </si>
  <si>
    <t>Dim_Group</t>
  </si>
  <si>
    <t>Dim_Label</t>
  </si>
  <si>
    <t>Level_1_Order</t>
  </si>
  <si>
    <t>Average</t>
  </si>
  <si>
    <t>Out</t>
  </si>
  <si>
    <t>Series_1</t>
  </si>
  <si>
    <t>Series_2</t>
  </si>
  <si>
    <t>Stack</t>
  </si>
  <si>
    <t>Row</t>
  </si>
  <si>
    <t>Rollup</t>
  </si>
  <si>
    <t>Sum</t>
  </si>
  <si>
    <t>Change in Bonds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</si>
</sst>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8"/>
      <color rgb="FF006100"/>
      <name val="Arial"/>
      <family val="2"/>
    </font>
    <font>
      <sz val="8"/>
      <color rgb="FF9C0006"/>
      <name val="Arial"/>
      <family val="2"/>
    </font>
    <font>
      <sz val="8"/>
      <color rgb="FF9C5700"/>
      <name val="Arial"/>
      <family val="2"/>
    </font>
    <font>
      <sz val="8"/>
      <color rgb="FF3F3F76"/>
      <name val="Arial"/>
      <family val="2"/>
    </font>
    <font>
      <b/>
      <sz val="8"/>
      <color rgb="FF3F3F3F"/>
      <name val="Arial"/>
      <family val="2"/>
    </font>
    <font>
      <b/>
      <sz val="8"/>
      <color rgb="FFFA7D00"/>
      <name val="Arial"/>
      <family val="2"/>
    </font>
    <font>
      <sz val="8"/>
      <color rgb="FFFA7D00"/>
      <name val="Arial"/>
      <family val="2"/>
    </font>
    <font>
      <b/>
      <sz val="8"/>
      <color theme="0"/>
      <name val="Arial"/>
      <family val="2"/>
    </font>
    <font>
      <sz val="8"/>
      <color rgb="FFFF0000"/>
      <name val="Arial"/>
      <family val="2"/>
    </font>
    <font>
      <i/>
      <sz val="8"/>
      <color rgb="FF7F7F7F"/>
      <name val="Arial"/>
      <family val="2"/>
    </font>
    <font>
      <b/>
      <sz val="8"/>
      <color theme="1"/>
      <name val="Arial"/>
      <family val="2"/>
    </font>
    <font>
      <sz val="8"/>
      <color theme="0"/>
      <name val="Arial"/>
      <family val="2"/>
    </font>
    <font>
      <sz val="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-0.49998474074526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0" formatCode="General"/>
    </dxf>
    <dxf>
      <numFmt numFmtId="0" formatCode="General"/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E32A5-9196-4D58-A924-8B1110BC243E}" name="Guide" displayName="Guide" ref="A1:Q34" totalsRowShown="0">
  <autoFilter ref="A1:Q34" xr:uid="{718E32A5-9196-4D58-A924-8B1110BC243E}"/>
  <sortState xmlns:xlrd2="http://schemas.microsoft.com/office/spreadsheetml/2017/richdata2" ref="A2:O34">
    <sortCondition ref="A2:A34"/>
    <sortCondition ref="D2:D34"/>
    <sortCondition ref="E2:E34"/>
    <sortCondition ref="F2:F34"/>
    <sortCondition ref="C2:C34"/>
  </sortState>
  <tableColumns count="17">
    <tableColumn id="1" xr3:uid="{1E105523-1F9A-490B-B3B3-B8269576F2CA}" name="Dataset"/>
    <tableColumn id="2" xr3:uid="{3395981A-EBAB-4924-9326-47FB19E5DA48}" name="DatasetColumn"/>
    <tableColumn id="3" xr3:uid="{E3BF457C-F7A0-47B3-B2CD-5F811C035414}" name="ColumnName"/>
    <tableColumn id="4" xr3:uid="{C7A9722C-DC29-4AF5-B9B8-05CBCA5D36F8}" name="Category_1" dataDxfId="4"/>
    <tableColumn id="14" xr3:uid="{8125AED4-99A7-4E7E-9003-2D1CDDE68C99}" name="Category_2" dataDxfId="3"/>
    <tableColumn id="17" xr3:uid="{3D3C7246-D15C-427C-8A0E-171F32F2F1EE}" name="Level_1_Order" dataDxfId="2"/>
    <tableColumn id="15" xr3:uid="{C81B58F0-59F7-483F-9A57-480268B28ECE}" name="Level_1"/>
    <tableColumn id="16" xr3:uid="{C2D32ECC-FFE5-42E9-A2FA-C589A7F771B2}" name="Level_2"/>
    <tableColumn id="18" xr3:uid="{80FF5F57-A832-41D8-B591-66D040656FDD}" name="Series_1"/>
    <tableColumn id="19" xr3:uid="{08505AF9-EE3F-42EE-9627-2DDD0683BD01}" name="Series_2"/>
    <tableColumn id="11" xr3:uid="{EF677ABD-19B2-4A31-A239-2A79C72E2E73}" name="Rollup"/>
    <tableColumn id="7" xr3:uid="{9C5EBF99-C99F-4ADA-BBE2-A225D6203489}" name="Dim_Group"/>
    <tableColumn id="8" xr3:uid="{CD0AAC95-D2CD-4D30-9011-9942EBEBB4C1}" name="Dim_Label"/>
    <tableColumn id="9" xr3:uid="{20D4E739-3650-49F4-B4E1-DAD4BEFED02E}" name="Tick"/>
    <tableColumn id="10" xr3:uid="{FF813B21-86DC-48A9-A6EA-F4F229F2A91A}" name="Prefix"/>
    <tableColumn id="5" xr3:uid="{58341DB7-5CB8-472C-8948-416C2373B4BA}" name="Row" dataDxfId="1">
      <calculatedColumnFormula>ROW(Guide[[#This Row],[Row]])</calculatedColumnFormula>
    </tableColumn>
    <tableColumn id="6" xr3:uid="{D6E30528-2360-40F7-A607-B78AA4014508}" name="Stack" dataDxfId="0">
      <calculatedColumnFormula array="1">_xlfn.XLOOKUP(
Guide[[#This Row],[Dataset]]&amp;Guide[[#This Row],[Category_1]]&amp;Guide[[#This Row],[Category_2]]&amp;Guide[[#This Row],[Dim_Group]],_xlfn.ANCHORARRAY( Sheet1!$N$2),_xlfn.CHOOSECOLS(_xlfn.ANCHORARRAY(Sheet1!$I$2),5),0)</calculatedColumnFormula>
    </tableColumn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9BAD0-8494-4CE9-A247-A006F24ADF8E}">
  <dimension ref="A1:Q34"/>
  <sheetViews>
    <sheetView tabSelected="1" zoomScaleNormal="100" workbookViewId="0">
      <selection activeCell="D6" sqref="D6"/>
    </sheetView>
  </sheetViews>
  <sheetFormatPr defaultRowHeight="10.15" x14ac:dyDescent="0.3"/>
  <cols>
    <col min="1" max="1" width="8.83203125" customWidth="1"/>
    <col min="2" max="2" width="24.58203125" customWidth="1"/>
    <col min="3" max="3" width="50.75" bestFit="1" customWidth="1"/>
    <col min="4" max="4" width="31.83203125" bestFit="1" customWidth="1"/>
    <col min="5" max="6" width="15.08203125" customWidth="1"/>
    <col min="7" max="7" width="20.83203125" customWidth="1"/>
    <col min="8" max="11" width="15.08203125" customWidth="1"/>
    <col min="12" max="12" width="14.1640625" bestFit="1" customWidth="1"/>
    <col min="13" max="13" width="12.9140625" customWidth="1"/>
  </cols>
  <sheetData>
    <row r="1" spans="1:17" x14ac:dyDescent="0.3">
      <c r="A1" s="1" t="s">
        <v>82</v>
      </c>
      <c r="B1" s="1" t="s">
        <v>83</v>
      </c>
      <c r="C1" s="1" t="s">
        <v>84</v>
      </c>
      <c r="D1" s="2" t="s">
        <v>85</v>
      </c>
      <c r="E1" s="2" t="s">
        <v>86</v>
      </c>
      <c r="F1" t="s">
        <v>106</v>
      </c>
      <c r="G1" t="s">
        <v>93</v>
      </c>
      <c r="H1" t="s">
        <v>94</v>
      </c>
      <c r="I1" t="s">
        <v>109</v>
      </c>
      <c r="J1" t="s">
        <v>110</v>
      </c>
      <c r="K1" t="s">
        <v>113</v>
      </c>
      <c r="L1" s="4" t="s">
        <v>104</v>
      </c>
      <c r="M1" s="4" t="s">
        <v>105</v>
      </c>
      <c r="N1" s="4" t="s">
        <v>0</v>
      </c>
      <c r="O1" s="4" t="s">
        <v>1</v>
      </c>
      <c r="P1" s="4" t="s">
        <v>112</v>
      </c>
      <c r="Q1" s="4" t="s">
        <v>111</v>
      </c>
    </row>
    <row r="2" spans="1:17" x14ac:dyDescent="0.3">
      <c r="A2" t="s">
        <v>2</v>
      </c>
      <c r="B2" t="s">
        <v>7</v>
      </c>
      <c r="C2" t="s">
        <v>7</v>
      </c>
      <c r="D2" s="3" t="s">
        <v>115</v>
      </c>
      <c r="E2" s="3" t="s">
        <v>90</v>
      </c>
      <c r="K2" t="s">
        <v>114</v>
      </c>
      <c r="L2" t="s">
        <v>4</v>
      </c>
      <c r="M2" t="s">
        <v>4</v>
      </c>
      <c r="N2" t="s">
        <v>5</v>
      </c>
      <c r="P2">
        <f>ROW(Guide[[#This Row],[Row]])</f>
        <v>2</v>
      </c>
      <c r="Q2" cm="1">
        <f t="array" ref="Q2">_xlfn.XLOOKUP(
Guide[[#This Row],[Dataset]]&amp;Guide[[#This Row],[Category_1]]&amp;Guide[[#This Row],[Category_2]]&amp;Guide[[#This Row],[Dim_Group]],_xlfn.ANCHORARRAY( Sheet1!$N$2),_xlfn.CHOOSECOLS(_xlfn.ANCHORARRAY(Sheet1!$I$2),5),0)</f>
        <v>3</v>
      </c>
    </row>
    <row r="3" spans="1:17" x14ac:dyDescent="0.3">
      <c r="A3" t="s">
        <v>2</v>
      </c>
      <c r="B3" t="s">
        <v>3</v>
      </c>
      <c r="C3" t="s">
        <v>3</v>
      </c>
      <c r="D3" s="3" t="s">
        <v>115</v>
      </c>
      <c r="E3" s="3" t="s">
        <v>90</v>
      </c>
      <c r="K3" t="s">
        <v>114</v>
      </c>
      <c r="L3" t="s">
        <v>4</v>
      </c>
      <c r="M3" t="s">
        <v>4</v>
      </c>
      <c r="N3" t="s">
        <v>5</v>
      </c>
      <c r="P3">
        <f>ROW(Guide[[#This Row],[Row]])</f>
        <v>3</v>
      </c>
      <c r="Q3" cm="1">
        <f t="array" ref="Q3">_xlfn.XLOOKUP(
Guide[[#This Row],[Dataset]]&amp;Guide[[#This Row],[Category_1]]&amp;Guide[[#This Row],[Category_2]]&amp;Guide[[#This Row],[Dim_Group]],_xlfn.ANCHORARRAY( Sheet1!$N$2),_xlfn.CHOOSECOLS(_xlfn.ANCHORARRAY(Sheet1!$I$2),5),0)</f>
        <v>3</v>
      </c>
    </row>
    <row r="4" spans="1:17" x14ac:dyDescent="0.3">
      <c r="A4" t="s">
        <v>2</v>
      </c>
      <c r="B4" t="s">
        <v>6</v>
      </c>
      <c r="C4" t="s">
        <v>6</v>
      </c>
      <c r="D4" s="3" t="s">
        <v>6</v>
      </c>
      <c r="E4" s="3" t="s">
        <v>91</v>
      </c>
      <c r="K4" t="s">
        <v>114</v>
      </c>
      <c r="L4" t="s">
        <v>4</v>
      </c>
      <c r="M4" t="s">
        <v>4</v>
      </c>
      <c r="N4" t="s">
        <v>5</v>
      </c>
      <c r="P4">
        <f>ROW(Guide[[#This Row],[Row]])</f>
        <v>4</v>
      </c>
      <c r="Q4" cm="1">
        <f t="array" ref="Q4">_xlfn.XLOOKUP(
Guide[[#This Row],[Dataset]]&amp;Guide[[#This Row],[Category_1]]&amp;Guide[[#This Row],[Category_2]]&amp;Guide[[#This Row],[Dim_Group]],_xlfn.ANCHORARRAY( Sheet1!$N$2),_xlfn.CHOOSECOLS(_xlfn.ANCHORARRAY(Sheet1!$I$2),5),0)</f>
        <v>4</v>
      </c>
    </row>
    <row r="5" spans="1:17" x14ac:dyDescent="0.3">
      <c r="A5" t="s">
        <v>2</v>
      </c>
      <c r="B5" t="s">
        <v>14</v>
      </c>
      <c r="C5" t="s">
        <v>14</v>
      </c>
      <c r="D5" s="3" t="s">
        <v>89</v>
      </c>
      <c r="E5" s="3" t="s">
        <v>89</v>
      </c>
      <c r="K5" t="s">
        <v>6</v>
      </c>
      <c r="L5" t="s">
        <v>10</v>
      </c>
      <c r="M5" t="s">
        <v>10</v>
      </c>
      <c r="N5" t="s">
        <v>5</v>
      </c>
      <c r="P5">
        <f>ROW(Guide[[#This Row],[Row]])</f>
        <v>5</v>
      </c>
      <c r="Q5" cm="1">
        <f t="array" ref="Q5">_xlfn.XLOOKUP(
Guide[[#This Row],[Dataset]]&amp;Guide[[#This Row],[Category_1]]&amp;Guide[[#This Row],[Category_2]]&amp;Guide[[#This Row],[Dim_Group]],_xlfn.ANCHORARRAY( Sheet1!$N$2),_xlfn.CHOOSECOLS(_xlfn.ANCHORARRAY(Sheet1!$I$2),5),0)</f>
        <v>5</v>
      </c>
    </row>
    <row r="6" spans="1:17" x14ac:dyDescent="0.3">
      <c r="A6" t="s">
        <v>2</v>
      </c>
      <c r="B6" t="s">
        <v>11</v>
      </c>
      <c r="C6" t="s">
        <v>11</v>
      </c>
      <c r="D6" s="3" t="s">
        <v>9</v>
      </c>
      <c r="E6" s="3" t="s">
        <v>88</v>
      </c>
      <c r="K6" t="s">
        <v>6</v>
      </c>
      <c r="L6" t="s">
        <v>10</v>
      </c>
      <c r="M6" t="s">
        <v>10</v>
      </c>
      <c r="N6" t="s">
        <v>5</v>
      </c>
      <c r="P6">
        <f>ROW(Guide[[#This Row],[Row]])</f>
        <v>6</v>
      </c>
      <c r="Q6" cm="1">
        <f t="array" ref="Q6">_xlfn.XLOOKUP(
Guide[[#This Row],[Dataset]]&amp;Guide[[#This Row],[Category_1]]&amp;Guide[[#This Row],[Category_2]]&amp;Guide[[#This Row],[Dim_Group]],_xlfn.ANCHORARRAY( Sheet1!$N$2),_xlfn.CHOOSECOLS(_xlfn.ANCHORARRAY(Sheet1!$I$2),5),0)</f>
        <v>6</v>
      </c>
    </row>
    <row r="7" spans="1:17" x14ac:dyDescent="0.3">
      <c r="A7" t="s">
        <v>2</v>
      </c>
      <c r="B7" t="s">
        <v>13</v>
      </c>
      <c r="C7" t="s">
        <v>13</v>
      </c>
      <c r="D7" s="3" t="s">
        <v>9</v>
      </c>
      <c r="E7" s="3" t="s">
        <v>87</v>
      </c>
      <c r="F7">
        <v>1</v>
      </c>
      <c r="G7" t="s">
        <v>103</v>
      </c>
      <c r="K7" t="s">
        <v>6</v>
      </c>
      <c r="L7" t="s">
        <v>10</v>
      </c>
      <c r="M7" t="s">
        <v>10</v>
      </c>
      <c r="N7" t="s">
        <v>5</v>
      </c>
      <c r="P7">
        <f>ROW(Guide[[#This Row],[Row]])</f>
        <v>7</v>
      </c>
      <c r="Q7" cm="1">
        <f t="array" ref="Q7">_xlfn.XLOOKUP(
Guide[[#This Row],[Dataset]]&amp;Guide[[#This Row],[Category_1]]&amp;Guide[[#This Row],[Category_2]]&amp;Guide[[#This Row],[Dim_Group]],_xlfn.ANCHORARRAY( Sheet1!$N$2),_xlfn.CHOOSECOLS(_xlfn.ANCHORARRAY(Sheet1!$I$2),5),0)</f>
        <v>9</v>
      </c>
    </row>
    <row r="8" spans="1:17" x14ac:dyDescent="0.3">
      <c r="A8" t="s">
        <v>2</v>
      </c>
      <c r="B8" t="s">
        <v>8</v>
      </c>
      <c r="C8" t="s">
        <v>8</v>
      </c>
      <c r="D8" s="3" t="s">
        <v>9</v>
      </c>
      <c r="E8" s="3" t="s">
        <v>87</v>
      </c>
      <c r="F8">
        <v>2</v>
      </c>
      <c r="G8" t="s">
        <v>8</v>
      </c>
      <c r="K8" t="s">
        <v>6</v>
      </c>
      <c r="L8" t="s">
        <v>10</v>
      </c>
      <c r="M8" t="s">
        <v>10</v>
      </c>
      <c r="N8" t="s">
        <v>5</v>
      </c>
      <c r="P8">
        <f>ROW(Guide[[#This Row],[Row]])</f>
        <v>8</v>
      </c>
      <c r="Q8" cm="1">
        <f t="array" ref="Q8">_xlfn.XLOOKUP(
Guide[[#This Row],[Dataset]]&amp;Guide[[#This Row],[Category_1]]&amp;Guide[[#This Row],[Category_2]]&amp;Guide[[#This Row],[Dim_Group]],_xlfn.ANCHORARRAY( Sheet1!$N$2),_xlfn.CHOOSECOLS(_xlfn.ANCHORARRAY(Sheet1!$I$2),5),0)</f>
        <v>9</v>
      </c>
    </row>
    <row r="9" spans="1:17" x14ac:dyDescent="0.3">
      <c r="A9" t="s">
        <v>2</v>
      </c>
      <c r="B9" t="s">
        <v>12</v>
      </c>
      <c r="C9" t="s">
        <v>12</v>
      </c>
      <c r="D9" s="3" t="s">
        <v>9</v>
      </c>
      <c r="E9" s="3" t="s">
        <v>87</v>
      </c>
      <c r="F9">
        <v>3</v>
      </c>
      <c r="G9" t="s">
        <v>102</v>
      </c>
      <c r="K9" t="s">
        <v>6</v>
      </c>
      <c r="L9" t="s">
        <v>10</v>
      </c>
      <c r="M9" t="s">
        <v>10</v>
      </c>
      <c r="N9" t="s">
        <v>5</v>
      </c>
      <c r="P9">
        <f>ROW(Guide[[#This Row],[Row]])</f>
        <v>9</v>
      </c>
      <c r="Q9" cm="1">
        <f t="array" ref="Q9">_xlfn.XLOOKUP(
Guide[[#This Row],[Dataset]]&amp;Guide[[#This Row],[Category_1]]&amp;Guide[[#This Row],[Category_2]]&amp;Guide[[#This Row],[Dim_Group]],_xlfn.ANCHORARRAY( Sheet1!$N$2),_xlfn.CHOOSECOLS(_xlfn.ANCHORARRAY(Sheet1!$I$2),5),0)</f>
        <v>9</v>
      </c>
    </row>
    <row r="10" spans="1:17" x14ac:dyDescent="0.3">
      <c r="A10" t="s">
        <v>15</v>
      </c>
      <c r="B10" t="s">
        <v>45</v>
      </c>
      <c r="C10" t="s">
        <v>46</v>
      </c>
      <c r="D10" s="3" t="s">
        <v>47</v>
      </c>
      <c r="E10" s="3" t="s">
        <v>92</v>
      </c>
      <c r="F10">
        <v>1</v>
      </c>
      <c r="G10" t="s">
        <v>95</v>
      </c>
      <c r="L10" t="s">
        <v>38</v>
      </c>
      <c r="M10" t="s">
        <v>19</v>
      </c>
      <c r="N10" t="s">
        <v>21</v>
      </c>
      <c r="P10">
        <f>ROW(Guide[[#This Row],[Row]])</f>
        <v>10</v>
      </c>
      <c r="Q10" cm="1">
        <f t="array" ref="Q10">_xlfn.XLOOKUP(
Guide[[#This Row],[Dataset]]&amp;Guide[[#This Row],[Category_1]]&amp;Guide[[#This Row],[Category_2]]&amp;Guide[[#This Row],[Dim_Group]],_xlfn.ANCHORARRAY( Sheet1!$N$2),_xlfn.CHOOSECOLS(_xlfn.ANCHORARRAY(Sheet1!$I$2),5),0)</f>
        <v>11</v>
      </c>
    </row>
    <row r="11" spans="1:17" x14ac:dyDescent="0.3">
      <c r="A11" t="s">
        <v>15</v>
      </c>
      <c r="B11" t="s">
        <v>48</v>
      </c>
      <c r="C11" t="s">
        <v>49</v>
      </c>
      <c r="D11" s="3" t="s">
        <v>47</v>
      </c>
      <c r="E11" s="3" t="s">
        <v>92</v>
      </c>
      <c r="F11">
        <v>2</v>
      </c>
      <c r="G11" t="s">
        <v>97</v>
      </c>
      <c r="L11" t="s">
        <v>38</v>
      </c>
      <c r="M11" t="s">
        <v>19</v>
      </c>
      <c r="N11" t="s">
        <v>21</v>
      </c>
      <c r="P11">
        <f>ROW(Guide[[#This Row],[Row]])</f>
        <v>11</v>
      </c>
      <c r="Q11" cm="1">
        <f t="array" ref="Q11">_xlfn.XLOOKUP(
Guide[[#This Row],[Dataset]]&amp;Guide[[#This Row],[Category_1]]&amp;Guide[[#This Row],[Category_2]]&amp;Guide[[#This Row],[Dim_Group]],_xlfn.ANCHORARRAY( Sheet1!$N$2),_xlfn.CHOOSECOLS(_xlfn.ANCHORARRAY(Sheet1!$I$2),5),0)</f>
        <v>11</v>
      </c>
    </row>
    <row r="12" spans="1:17" x14ac:dyDescent="0.3">
      <c r="A12" t="s">
        <v>15</v>
      </c>
      <c r="B12" t="s">
        <v>26</v>
      </c>
      <c r="C12" t="s">
        <v>27</v>
      </c>
      <c r="D12" s="3" t="s">
        <v>28</v>
      </c>
      <c r="E12" s="3" t="s">
        <v>92</v>
      </c>
      <c r="F12">
        <v>1</v>
      </c>
      <c r="G12" t="s">
        <v>97</v>
      </c>
      <c r="L12" t="s">
        <v>19</v>
      </c>
      <c r="M12" t="s">
        <v>19</v>
      </c>
      <c r="N12" t="s">
        <v>21</v>
      </c>
      <c r="P12">
        <f>ROW(Guide[[#This Row],[Row]])</f>
        <v>12</v>
      </c>
      <c r="Q12" cm="1">
        <f t="array" ref="Q12">_xlfn.XLOOKUP(
Guide[[#This Row],[Dataset]]&amp;Guide[[#This Row],[Category_1]]&amp;Guide[[#This Row],[Category_2]]&amp;Guide[[#This Row],[Dim_Group]],_xlfn.ANCHORARRAY( Sheet1!$N$2),_xlfn.CHOOSECOLS(_xlfn.ANCHORARRAY(Sheet1!$I$2),5),0)</f>
        <v>15</v>
      </c>
    </row>
    <row r="13" spans="1:17" x14ac:dyDescent="0.3">
      <c r="A13" t="s">
        <v>15</v>
      </c>
      <c r="B13" t="s">
        <v>29</v>
      </c>
      <c r="C13" t="s">
        <v>30</v>
      </c>
      <c r="D13" s="3" t="s">
        <v>28</v>
      </c>
      <c r="E13" s="3" t="s">
        <v>92</v>
      </c>
      <c r="F13">
        <v>2</v>
      </c>
      <c r="G13" t="s">
        <v>98</v>
      </c>
      <c r="L13" t="s">
        <v>19</v>
      </c>
      <c r="M13" t="s">
        <v>19</v>
      </c>
      <c r="N13" t="s">
        <v>21</v>
      </c>
      <c r="P13">
        <f>ROW(Guide[[#This Row],[Row]])</f>
        <v>13</v>
      </c>
      <c r="Q13" cm="1">
        <f t="array" ref="Q13">_xlfn.XLOOKUP(
Guide[[#This Row],[Dataset]]&amp;Guide[[#This Row],[Category_1]]&amp;Guide[[#This Row],[Category_2]]&amp;Guide[[#This Row],[Dim_Group]],_xlfn.ANCHORARRAY( Sheet1!$N$2),_xlfn.CHOOSECOLS(_xlfn.ANCHORARRAY(Sheet1!$I$2),5),0)</f>
        <v>15</v>
      </c>
    </row>
    <row r="14" spans="1:17" x14ac:dyDescent="0.3">
      <c r="A14" t="s">
        <v>15</v>
      </c>
      <c r="B14" t="s">
        <v>31</v>
      </c>
      <c r="C14" t="s">
        <v>32</v>
      </c>
      <c r="D14" s="3" t="s">
        <v>28</v>
      </c>
      <c r="E14" s="3" t="s">
        <v>92</v>
      </c>
      <c r="F14">
        <v>3</v>
      </c>
      <c r="G14" t="s">
        <v>99</v>
      </c>
      <c r="L14" t="s">
        <v>19</v>
      </c>
      <c r="M14" t="s">
        <v>19</v>
      </c>
      <c r="N14" t="s">
        <v>21</v>
      </c>
      <c r="P14">
        <f>ROW(Guide[[#This Row],[Row]])</f>
        <v>14</v>
      </c>
      <c r="Q14" cm="1">
        <f t="array" ref="Q14">_xlfn.XLOOKUP(
Guide[[#This Row],[Dataset]]&amp;Guide[[#This Row],[Category_1]]&amp;Guide[[#This Row],[Category_2]]&amp;Guide[[#This Row],[Dim_Group]],_xlfn.ANCHORARRAY( Sheet1!$N$2),_xlfn.CHOOSECOLS(_xlfn.ANCHORARRAY(Sheet1!$I$2),5),0)</f>
        <v>15</v>
      </c>
    </row>
    <row r="15" spans="1:17" x14ac:dyDescent="0.3">
      <c r="A15" t="s">
        <v>15</v>
      </c>
      <c r="B15" t="s">
        <v>33</v>
      </c>
      <c r="C15" t="s">
        <v>34</v>
      </c>
      <c r="D15" s="3" t="s">
        <v>28</v>
      </c>
      <c r="E15" s="3" t="s">
        <v>92</v>
      </c>
      <c r="F15">
        <v>4</v>
      </c>
      <c r="G15" t="s">
        <v>100</v>
      </c>
      <c r="L15" t="s">
        <v>19</v>
      </c>
      <c r="M15" t="s">
        <v>19</v>
      </c>
      <c r="N15" t="s">
        <v>21</v>
      </c>
      <c r="P15">
        <f>ROW(Guide[[#This Row],[Row]])</f>
        <v>15</v>
      </c>
      <c r="Q15" cm="1">
        <f t="array" ref="Q15">_xlfn.XLOOKUP(
Guide[[#This Row],[Dataset]]&amp;Guide[[#This Row],[Category_1]]&amp;Guide[[#This Row],[Category_2]]&amp;Guide[[#This Row],[Dim_Group]],_xlfn.ANCHORARRAY( Sheet1!$N$2),_xlfn.CHOOSECOLS(_xlfn.ANCHORARRAY(Sheet1!$I$2),5),0)</f>
        <v>15</v>
      </c>
    </row>
    <row r="16" spans="1:17" x14ac:dyDescent="0.3">
      <c r="A16" t="s">
        <v>15</v>
      </c>
      <c r="B16" t="s">
        <v>50</v>
      </c>
      <c r="C16" t="s">
        <v>51</v>
      </c>
      <c r="D16" s="3" t="s">
        <v>52</v>
      </c>
      <c r="E16" s="3" t="s">
        <v>92</v>
      </c>
      <c r="F16">
        <v>1</v>
      </c>
      <c r="G16" t="s">
        <v>97</v>
      </c>
      <c r="L16" t="s">
        <v>19</v>
      </c>
      <c r="M16" t="s">
        <v>19</v>
      </c>
      <c r="N16" t="s">
        <v>21</v>
      </c>
      <c r="P16">
        <f>ROW(Guide[[#This Row],[Row]])</f>
        <v>16</v>
      </c>
      <c r="Q16" cm="1">
        <f t="array" ref="Q16">_xlfn.XLOOKUP(
Guide[[#This Row],[Dataset]]&amp;Guide[[#This Row],[Category_1]]&amp;Guide[[#This Row],[Category_2]]&amp;Guide[[#This Row],[Dim_Group]],_xlfn.ANCHORARRAY( Sheet1!$N$2),_xlfn.CHOOSECOLS(_xlfn.ANCHORARRAY(Sheet1!$I$2),5),0)</f>
        <v>17</v>
      </c>
    </row>
    <row r="17" spans="1:17" x14ac:dyDescent="0.3">
      <c r="A17" t="s">
        <v>15</v>
      </c>
      <c r="B17" t="s">
        <v>53</v>
      </c>
      <c r="C17" t="s">
        <v>54</v>
      </c>
      <c r="D17" s="3" t="s">
        <v>52</v>
      </c>
      <c r="E17" s="3" t="s">
        <v>92</v>
      </c>
      <c r="F17">
        <v>2</v>
      </c>
      <c r="G17" t="s">
        <v>98</v>
      </c>
      <c r="L17" t="s">
        <v>19</v>
      </c>
      <c r="M17" t="s">
        <v>19</v>
      </c>
      <c r="N17" t="s">
        <v>21</v>
      </c>
      <c r="P17">
        <f>ROW(Guide[[#This Row],[Row]])</f>
        <v>17</v>
      </c>
      <c r="Q17" cm="1">
        <f t="array" ref="Q17">_xlfn.XLOOKUP(
Guide[[#This Row],[Dataset]]&amp;Guide[[#This Row],[Category_1]]&amp;Guide[[#This Row],[Category_2]]&amp;Guide[[#This Row],[Dim_Group]],_xlfn.ANCHORARRAY( Sheet1!$N$2),_xlfn.CHOOSECOLS(_xlfn.ANCHORARRAY(Sheet1!$I$2),5),0)</f>
        <v>17</v>
      </c>
    </row>
    <row r="18" spans="1:17" x14ac:dyDescent="0.3">
      <c r="A18" t="s">
        <v>15</v>
      </c>
      <c r="B18" t="s">
        <v>55</v>
      </c>
      <c r="C18" t="s">
        <v>56</v>
      </c>
      <c r="D18" s="3" t="s">
        <v>57</v>
      </c>
      <c r="E18" s="3" t="s">
        <v>92</v>
      </c>
      <c r="F18">
        <v>1</v>
      </c>
      <c r="G18" t="s">
        <v>97</v>
      </c>
      <c r="L18" t="s">
        <v>19</v>
      </c>
      <c r="M18" t="s">
        <v>19</v>
      </c>
      <c r="N18" t="s">
        <v>21</v>
      </c>
      <c r="P18">
        <f>ROW(Guide[[#This Row],[Row]])</f>
        <v>18</v>
      </c>
      <c r="Q18" cm="1">
        <f t="array" ref="Q18">_xlfn.XLOOKUP(
Guide[[#This Row],[Dataset]]&amp;Guide[[#This Row],[Category_1]]&amp;Guide[[#This Row],[Category_2]]&amp;Guide[[#This Row],[Dim_Group]],_xlfn.ANCHORARRAY( Sheet1!$N$2),_xlfn.CHOOSECOLS(_xlfn.ANCHORARRAY(Sheet1!$I$2),5),0)</f>
        <v>19</v>
      </c>
    </row>
    <row r="19" spans="1:17" x14ac:dyDescent="0.3">
      <c r="A19" t="s">
        <v>15</v>
      </c>
      <c r="B19" t="s">
        <v>58</v>
      </c>
      <c r="C19" t="s">
        <v>59</v>
      </c>
      <c r="D19" s="3" t="s">
        <v>57</v>
      </c>
      <c r="E19" s="3" t="s">
        <v>92</v>
      </c>
      <c r="F19">
        <v>2</v>
      </c>
      <c r="G19" t="s">
        <v>98</v>
      </c>
      <c r="L19" t="s">
        <v>19</v>
      </c>
      <c r="M19" t="s">
        <v>19</v>
      </c>
      <c r="N19" t="s">
        <v>21</v>
      </c>
      <c r="P19">
        <f>ROW(Guide[[#This Row],[Row]])</f>
        <v>19</v>
      </c>
      <c r="Q19" cm="1">
        <f t="array" ref="Q19">_xlfn.XLOOKUP(
Guide[[#This Row],[Dataset]]&amp;Guide[[#This Row],[Category_1]]&amp;Guide[[#This Row],[Category_2]]&amp;Guide[[#This Row],[Dim_Group]],_xlfn.ANCHORARRAY( Sheet1!$N$2),_xlfn.CHOOSECOLS(_xlfn.ANCHORARRAY(Sheet1!$I$2),5),0)</f>
        <v>19</v>
      </c>
    </row>
    <row r="20" spans="1:17" x14ac:dyDescent="0.3">
      <c r="A20" t="s">
        <v>15</v>
      </c>
      <c r="B20" t="s">
        <v>71</v>
      </c>
      <c r="C20" t="s">
        <v>72</v>
      </c>
      <c r="D20" s="3" t="s">
        <v>73</v>
      </c>
      <c r="E20" s="3" t="s">
        <v>92</v>
      </c>
      <c r="F20">
        <v>1</v>
      </c>
      <c r="G20" t="s">
        <v>96</v>
      </c>
      <c r="L20" t="s">
        <v>74</v>
      </c>
      <c r="M20" t="s">
        <v>74</v>
      </c>
      <c r="N20" t="s">
        <v>21</v>
      </c>
      <c r="P20">
        <f>ROW(Guide[[#This Row],[Row]])</f>
        <v>20</v>
      </c>
      <c r="Q20" cm="1">
        <f t="array" ref="Q20">_xlfn.XLOOKUP(
Guide[[#This Row],[Dataset]]&amp;Guide[[#This Row],[Category_1]]&amp;Guide[[#This Row],[Category_2]]&amp;Guide[[#This Row],[Dim_Group]],_xlfn.ANCHORARRAY( Sheet1!$N$2),_xlfn.CHOOSECOLS(_xlfn.ANCHORARRAY(Sheet1!$I$2),5),0)</f>
        <v>21</v>
      </c>
    </row>
    <row r="21" spans="1:17" x14ac:dyDescent="0.3">
      <c r="A21" t="s">
        <v>15</v>
      </c>
      <c r="B21" t="s">
        <v>75</v>
      </c>
      <c r="C21" t="s">
        <v>76</v>
      </c>
      <c r="D21" s="3" t="s">
        <v>73</v>
      </c>
      <c r="E21" s="3" t="s">
        <v>92</v>
      </c>
      <c r="F21">
        <v>2</v>
      </c>
      <c r="G21" t="s">
        <v>97</v>
      </c>
      <c r="L21" t="s">
        <v>74</v>
      </c>
      <c r="M21" t="s">
        <v>74</v>
      </c>
      <c r="N21" t="s">
        <v>21</v>
      </c>
      <c r="P21">
        <f>ROW(Guide[[#This Row],[Row]])</f>
        <v>21</v>
      </c>
      <c r="Q21" cm="1">
        <f t="array" ref="Q21">_xlfn.XLOOKUP(
Guide[[#This Row],[Dataset]]&amp;Guide[[#This Row],[Category_1]]&amp;Guide[[#This Row],[Category_2]]&amp;Guide[[#This Row],[Dim_Group]],_xlfn.ANCHORARRAY( Sheet1!$N$2),_xlfn.CHOOSECOLS(_xlfn.ANCHORARRAY(Sheet1!$I$2),5),0)</f>
        <v>21</v>
      </c>
    </row>
    <row r="22" spans="1:17" x14ac:dyDescent="0.3">
      <c r="A22" t="s">
        <v>15</v>
      </c>
      <c r="B22" t="s">
        <v>77</v>
      </c>
      <c r="C22" t="s">
        <v>78</v>
      </c>
      <c r="D22" s="3" t="s">
        <v>79</v>
      </c>
      <c r="E22" s="3" t="s">
        <v>92</v>
      </c>
      <c r="F22">
        <v>1</v>
      </c>
      <c r="G22" t="s">
        <v>97</v>
      </c>
      <c r="L22" t="s">
        <v>19</v>
      </c>
      <c r="M22" t="s">
        <v>19</v>
      </c>
      <c r="N22" t="s">
        <v>21</v>
      </c>
      <c r="P22">
        <f>ROW(Guide[[#This Row],[Row]])</f>
        <v>22</v>
      </c>
      <c r="Q22" cm="1">
        <f t="array" ref="Q22">_xlfn.XLOOKUP(
Guide[[#This Row],[Dataset]]&amp;Guide[[#This Row],[Category_1]]&amp;Guide[[#This Row],[Category_2]]&amp;Guide[[#This Row],[Dim_Group]],_xlfn.ANCHORARRAY( Sheet1!$N$2),_xlfn.CHOOSECOLS(_xlfn.ANCHORARRAY(Sheet1!$I$2),5),0)</f>
        <v>23</v>
      </c>
    </row>
    <row r="23" spans="1:17" x14ac:dyDescent="0.3">
      <c r="A23" t="s">
        <v>15</v>
      </c>
      <c r="B23" t="s">
        <v>80</v>
      </c>
      <c r="C23" t="s">
        <v>81</v>
      </c>
      <c r="D23" s="3" t="s">
        <v>79</v>
      </c>
      <c r="E23" s="3" t="s">
        <v>92</v>
      </c>
      <c r="F23">
        <v>2</v>
      </c>
      <c r="G23" t="s">
        <v>98</v>
      </c>
      <c r="L23" t="s">
        <v>19</v>
      </c>
      <c r="M23" t="s">
        <v>19</v>
      </c>
      <c r="N23" t="s">
        <v>21</v>
      </c>
      <c r="P23">
        <f>ROW(Guide[[#This Row],[Row]])</f>
        <v>23</v>
      </c>
      <c r="Q23" cm="1">
        <f t="array" ref="Q23">_xlfn.XLOOKUP(
Guide[[#This Row],[Dataset]]&amp;Guide[[#This Row],[Category_1]]&amp;Guide[[#This Row],[Category_2]]&amp;Guide[[#This Row],[Dim_Group]],_xlfn.ANCHORARRAY( Sheet1!$N$2),_xlfn.CHOOSECOLS(_xlfn.ANCHORARRAY(Sheet1!$I$2),5),0)</f>
        <v>23</v>
      </c>
    </row>
    <row r="24" spans="1:17" x14ac:dyDescent="0.3">
      <c r="A24" t="s">
        <v>15</v>
      </c>
      <c r="B24" t="s">
        <v>43</v>
      </c>
      <c r="C24" t="s">
        <v>44</v>
      </c>
      <c r="D24" s="3" t="s">
        <v>37</v>
      </c>
      <c r="E24" s="3" t="s">
        <v>107</v>
      </c>
      <c r="F24">
        <v>1</v>
      </c>
      <c r="G24" t="s">
        <v>101</v>
      </c>
      <c r="L24" t="s">
        <v>38</v>
      </c>
      <c r="M24" t="s">
        <v>19</v>
      </c>
      <c r="N24" t="s">
        <v>21</v>
      </c>
      <c r="P24">
        <f>ROW(Guide[[#This Row],[Row]])</f>
        <v>24</v>
      </c>
      <c r="Q24" cm="1">
        <f t="array" ref="Q24">_xlfn.XLOOKUP(
Guide[[#This Row],[Dataset]]&amp;Guide[[#This Row],[Category_1]]&amp;Guide[[#This Row],[Category_2]]&amp;Guide[[#This Row],[Dim_Group]],_xlfn.ANCHORARRAY( Sheet1!$N$2),_xlfn.CHOOSECOLS(_xlfn.ANCHORARRAY(Sheet1!$I$2),5),0)</f>
        <v>24</v>
      </c>
    </row>
    <row r="25" spans="1:17" x14ac:dyDescent="0.3">
      <c r="A25" t="s">
        <v>15</v>
      </c>
      <c r="B25" t="s">
        <v>35</v>
      </c>
      <c r="C25" t="s">
        <v>36</v>
      </c>
      <c r="D25" s="3" t="s">
        <v>37</v>
      </c>
      <c r="E25" s="3" t="s">
        <v>108</v>
      </c>
      <c r="F25">
        <v>1</v>
      </c>
      <c r="G25" t="s">
        <v>95</v>
      </c>
      <c r="L25" t="s">
        <v>38</v>
      </c>
      <c r="M25" t="s">
        <v>19</v>
      </c>
      <c r="N25" t="s">
        <v>21</v>
      </c>
      <c r="P25">
        <f>ROW(Guide[[#This Row],[Row]])</f>
        <v>25</v>
      </c>
      <c r="Q25" cm="1">
        <f t="array" ref="Q25">_xlfn.XLOOKUP(
Guide[[#This Row],[Dataset]]&amp;Guide[[#This Row],[Category_1]]&amp;Guide[[#This Row],[Category_2]]&amp;Guide[[#This Row],[Dim_Group]],_xlfn.ANCHORARRAY( Sheet1!$N$2),_xlfn.CHOOSECOLS(_xlfn.ANCHORARRAY(Sheet1!$I$2),5),0)</f>
        <v>27</v>
      </c>
    </row>
    <row r="26" spans="1:17" x14ac:dyDescent="0.3">
      <c r="A26" t="s">
        <v>15</v>
      </c>
      <c r="B26" t="s">
        <v>39</v>
      </c>
      <c r="C26" t="s">
        <v>40</v>
      </c>
      <c r="D26" s="3" t="s">
        <v>37</v>
      </c>
      <c r="E26" s="3" t="s">
        <v>108</v>
      </c>
      <c r="F26">
        <v>2</v>
      </c>
      <c r="G26" t="s">
        <v>97</v>
      </c>
      <c r="L26" t="s">
        <v>38</v>
      </c>
      <c r="M26" t="s">
        <v>19</v>
      </c>
      <c r="N26" t="s">
        <v>21</v>
      </c>
      <c r="P26">
        <f>ROW(Guide[[#This Row],[Row]])</f>
        <v>26</v>
      </c>
      <c r="Q26" cm="1">
        <f t="array" ref="Q26">_xlfn.XLOOKUP(
Guide[[#This Row],[Dataset]]&amp;Guide[[#This Row],[Category_1]]&amp;Guide[[#This Row],[Category_2]]&amp;Guide[[#This Row],[Dim_Group]],_xlfn.ANCHORARRAY( Sheet1!$N$2),_xlfn.CHOOSECOLS(_xlfn.ANCHORARRAY(Sheet1!$I$2),5),0)</f>
        <v>27</v>
      </c>
    </row>
    <row r="27" spans="1:17" x14ac:dyDescent="0.3">
      <c r="A27" t="s">
        <v>15</v>
      </c>
      <c r="B27" t="s">
        <v>41</v>
      </c>
      <c r="C27" t="s">
        <v>42</v>
      </c>
      <c r="D27" s="3" t="s">
        <v>37</v>
      </c>
      <c r="E27" s="3" t="s">
        <v>108</v>
      </c>
      <c r="F27">
        <v>3</v>
      </c>
      <c r="G27" t="s">
        <v>100</v>
      </c>
      <c r="L27" t="s">
        <v>38</v>
      </c>
      <c r="M27" t="s">
        <v>19</v>
      </c>
      <c r="N27" t="s">
        <v>21</v>
      </c>
      <c r="P27">
        <f>ROW(Guide[[#This Row],[Row]])</f>
        <v>27</v>
      </c>
      <c r="Q27" cm="1">
        <f t="array" ref="Q27">_xlfn.XLOOKUP(
Guide[[#This Row],[Dataset]]&amp;Guide[[#This Row],[Category_1]]&amp;Guide[[#This Row],[Category_2]]&amp;Guide[[#This Row],[Dim_Group]],_xlfn.ANCHORARRAY( Sheet1!$N$2),_xlfn.CHOOSECOLS(_xlfn.ANCHORARRAY(Sheet1!$I$2),5),0)</f>
        <v>27</v>
      </c>
    </row>
    <row r="28" spans="1:17" x14ac:dyDescent="0.3">
      <c r="A28" t="s">
        <v>15</v>
      </c>
      <c r="B28" t="s">
        <v>16</v>
      </c>
      <c r="C28" t="s">
        <v>17</v>
      </c>
      <c r="D28" s="3" t="s">
        <v>18</v>
      </c>
      <c r="E28" s="3" t="s">
        <v>92</v>
      </c>
      <c r="F28">
        <v>1</v>
      </c>
      <c r="G28" t="s">
        <v>95</v>
      </c>
      <c r="L28" t="s">
        <v>19</v>
      </c>
      <c r="M28" t="s">
        <v>20</v>
      </c>
      <c r="N28" t="s">
        <v>21</v>
      </c>
      <c r="P28">
        <f>ROW(Guide[[#This Row],[Row]])</f>
        <v>28</v>
      </c>
      <c r="Q28" cm="1">
        <f t="array" ref="Q28">_xlfn.XLOOKUP(
Guide[[#This Row],[Dataset]]&amp;Guide[[#This Row],[Category_1]]&amp;Guide[[#This Row],[Category_2]]&amp;Guide[[#This Row],[Dim_Group]],_xlfn.ANCHORARRAY( Sheet1!$N$2),_xlfn.CHOOSECOLS(_xlfn.ANCHORARRAY(Sheet1!$I$2),5),0)</f>
        <v>30</v>
      </c>
    </row>
    <row r="29" spans="1:17" x14ac:dyDescent="0.3">
      <c r="A29" t="s">
        <v>15</v>
      </c>
      <c r="B29" t="s">
        <v>22</v>
      </c>
      <c r="C29" t="s">
        <v>23</v>
      </c>
      <c r="D29" s="3" t="s">
        <v>18</v>
      </c>
      <c r="E29" s="3" t="s">
        <v>92</v>
      </c>
      <c r="F29">
        <v>2</v>
      </c>
      <c r="G29" t="s">
        <v>96</v>
      </c>
      <c r="L29" t="s">
        <v>19</v>
      </c>
      <c r="M29" t="s">
        <v>20</v>
      </c>
      <c r="N29" t="s">
        <v>21</v>
      </c>
      <c r="P29">
        <f>ROW(Guide[[#This Row],[Row]])</f>
        <v>29</v>
      </c>
      <c r="Q29" cm="1">
        <f t="array" ref="Q29">_xlfn.XLOOKUP(
Guide[[#This Row],[Dataset]]&amp;Guide[[#This Row],[Category_1]]&amp;Guide[[#This Row],[Category_2]]&amp;Guide[[#This Row],[Dim_Group]],_xlfn.ANCHORARRAY( Sheet1!$N$2),_xlfn.CHOOSECOLS(_xlfn.ANCHORARRAY(Sheet1!$I$2),5),0)</f>
        <v>30</v>
      </c>
    </row>
    <row r="30" spans="1:17" x14ac:dyDescent="0.3">
      <c r="A30" t="s">
        <v>15</v>
      </c>
      <c r="B30" t="s">
        <v>24</v>
      </c>
      <c r="C30" t="s">
        <v>25</v>
      </c>
      <c r="D30" s="3" t="s">
        <v>18</v>
      </c>
      <c r="E30" s="3" t="s">
        <v>92</v>
      </c>
      <c r="F30">
        <v>3</v>
      </c>
      <c r="G30" t="s">
        <v>97</v>
      </c>
      <c r="L30" t="s">
        <v>19</v>
      </c>
      <c r="M30" t="s">
        <v>20</v>
      </c>
      <c r="N30" t="s">
        <v>21</v>
      </c>
      <c r="P30">
        <f>ROW(Guide[[#This Row],[Row]])</f>
        <v>30</v>
      </c>
      <c r="Q30" cm="1">
        <f t="array" ref="Q30">_xlfn.XLOOKUP(
Guide[[#This Row],[Dataset]]&amp;Guide[[#This Row],[Category_1]]&amp;Guide[[#This Row],[Category_2]]&amp;Guide[[#This Row],[Dim_Group]],_xlfn.ANCHORARRAY( Sheet1!$N$2),_xlfn.CHOOSECOLS(_xlfn.ANCHORARRAY(Sheet1!$I$2),5),0)</f>
        <v>30</v>
      </c>
    </row>
    <row r="31" spans="1:17" x14ac:dyDescent="0.3">
      <c r="A31" t="s">
        <v>15</v>
      </c>
      <c r="B31" t="s">
        <v>60</v>
      </c>
      <c r="C31" t="s">
        <v>61</v>
      </c>
      <c r="D31" s="3" t="s">
        <v>62</v>
      </c>
      <c r="E31" s="3" t="s">
        <v>92</v>
      </c>
      <c r="F31">
        <v>1</v>
      </c>
      <c r="G31" t="s">
        <v>97</v>
      </c>
      <c r="L31" t="s">
        <v>19</v>
      </c>
      <c r="M31" t="s">
        <v>20</v>
      </c>
      <c r="N31" t="s">
        <v>21</v>
      </c>
      <c r="P31">
        <f>ROW(Guide[[#This Row],[Row]])</f>
        <v>31</v>
      </c>
      <c r="Q31" cm="1">
        <f t="array" ref="Q31">_xlfn.XLOOKUP(
Guide[[#This Row],[Dataset]]&amp;Guide[[#This Row],[Category_1]]&amp;Guide[[#This Row],[Category_2]]&amp;Guide[[#This Row],[Dim_Group]],_xlfn.ANCHORARRAY( Sheet1!$N$2),_xlfn.CHOOSECOLS(_xlfn.ANCHORARRAY(Sheet1!$I$2),5),0)</f>
        <v>32</v>
      </c>
    </row>
    <row r="32" spans="1:17" x14ac:dyDescent="0.3">
      <c r="A32" t="s">
        <v>15</v>
      </c>
      <c r="B32" t="s">
        <v>63</v>
      </c>
      <c r="C32" t="s">
        <v>64</v>
      </c>
      <c r="D32" s="3" t="s">
        <v>62</v>
      </c>
      <c r="E32" s="3" t="s">
        <v>92</v>
      </c>
      <c r="F32">
        <v>2</v>
      </c>
      <c r="G32" t="s">
        <v>98</v>
      </c>
      <c r="L32" t="s">
        <v>19</v>
      </c>
      <c r="M32" t="s">
        <v>20</v>
      </c>
      <c r="N32" t="s">
        <v>21</v>
      </c>
      <c r="P32">
        <f>ROW(Guide[[#This Row],[Row]])</f>
        <v>32</v>
      </c>
      <c r="Q32" cm="1">
        <f t="array" ref="Q32">_xlfn.XLOOKUP(
Guide[[#This Row],[Dataset]]&amp;Guide[[#This Row],[Category_1]]&amp;Guide[[#This Row],[Category_2]]&amp;Guide[[#This Row],[Dim_Group]],_xlfn.ANCHORARRAY( Sheet1!$N$2),_xlfn.CHOOSECOLS(_xlfn.ANCHORARRAY(Sheet1!$I$2),5),0)</f>
        <v>32</v>
      </c>
    </row>
    <row r="33" spans="1:17" x14ac:dyDescent="0.3">
      <c r="A33" t="s">
        <v>15</v>
      </c>
      <c r="B33" t="s">
        <v>65</v>
      </c>
      <c r="C33" t="s">
        <v>66</v>
      </c>
      <c r="D33" s="3" t="s">
        <v>67</v>
      </c>
      <c r="E33" s="3" t="s">
        <v>92</v>
      </c>
      <c r="F33">
        <v>1</v>
      </c>
      <c r="G33" t="s">
        <v>96</v>
      </c>
      <c r="L33" t="s">
        <v>68</v>
      </c>
      <c r="M33" t="s">
        <v>68</v>
      </c>
      <c r="N33" t="s">
        <v>21</v>
      </c>
      <c r="P33">
        <f>ROW(Guide[[#This Row],[Row]])</f>
        <v>33</v>
      </c>
      <c r="Q33" cm="1">
        <f t="array" ref="Q33">_xlfn.XLOOKUP(
Guide[[#This Row],[Dataset]]&amp;Guide[[#This Row],[Category_1]]&amp;Guide[[#This Row],[Category_2]]&amp;Guide[[#This Row],[Dim_Group]],_xlfn.ANCHORARRAY( Sheet1!$N$2),_xlfn.CHOOSECOLS(_xlfn.ANCHORARRAY(Sheet1!$I$2),5),0)</f>
        <v>34</v>
      </c>
    </row>
    <row r="34" spans="1:17" x14ac:dyDescent="0.3">
      <c r="A34" t="s">
        <v>15</v>
      </c>
      <c r="B34" t="s">
        <v>69</v>
      </c>
      <c r="C34" t="s">
        <v>70</v>
      </c>
      <c r="D34" s="3" t="s">
        <v>67</v>
      </c>
      <c r="E34" s="3" t="s">
        <v>92</v>
      </c>
      <c r="F34">
        <v>2</v>
      </c>
      <c r="G34" t="s">
        <v>97</v>
      </c>
      <c r="L34" t="s">
        <v>68</v>
      </c>
      <c r="M34" t="s">
        <v>68</v>
      </c>
      <c r="N34" t="s">
        <v>21</v>
      </c>
      <c r="P34">
        <f>ROW(Guide[[#This Row],[Row]])</f>
        <v>34</v>
      </c>
      <c r="Q34" cm="1">
        <f t="array" ref="Q34">_xlfn.XLOOKUP(
Guide[[#This Row],[Dataset]]&amp;Guide[[#This Row],[Category_1]]&amp;Guide[[#This Row],[Category_2]]&amp;Guide[[#This Row],[Dim_Group]],_xlfn.ANCHORARRAY( Sheet1!$N$2),_xlfn.CHOOSECOLS(_xlfn.ANCHORARRAY(Sheet1!$I$2),5),0)</f>
        <v>34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DF226-C41A-45AC-9572-82A96DAAB11E}">
  <dimension ref="A2:N34"/>
  <sheetViews>
    <sheetView workbookViewId="0">
      <selection activeCell="G60" sqref="G60"/>
    </sheetView>
  </sheetViews>
  <sheetFormatPr defaultRowHeight="10.15" x14ac:dyDescent="0.3"/>
  <sheetData>
    <row r="2" spans="1:14" x14ac:dyDescent="0.3">
      <c r="A2" t="str" cm="1">
        <f t="array" ref="A2:G34">_xlfn.PIVOTBY(_xlfn.HSTACK(
Guide[Dataset],Guide[Category_1],Guide[Category_2],Guide[Level_1_Order],Guide[Level_2],Guide[Dim_Group]
),,Guide[Row],_xleta.MAX)</f>
        <v>bond</v>
      </c>
      <c r="B2" t="str">
        <v>Active Bonds</v>
      </c>
      <c r="C2" t="str">
        <v>State</v>
      </c>
      <c r="D2">
        <v>0</v>
      </c>
      <c r="E2">
        <v>0</v>
      </c>
      <c r="F2" t="str">
        <v>n</v>
      </c>
      <c r="G2">
        <v>4</v>
      </c>
      <c r="I2" t="str" cm="1">
        <f t="array" ref="I2:M18">_xlfn.PIVOTBY(_xlfn.HSTACK(
Guide[Dataset],Guide[Category_1],Guide[Category_2],Guide[Dim_Group]
),,Guide[Row],_xleta.MAX)</f>
        <v>bond</v>
      </c>
      <c r="J2" t="str">
        <v>Active Bonds</v>
      </c>
      <c r="K2" t="str">
        <v>State</v>
      </c>
      <c r="L2" t="str">
        <v>n</v>
      </c>
      <c r="M2">
        <v>4</v>
      </c>
      <c r="N2" t="str" cm="1">
        <f t="array" ref="N2:N18">_xlfn.CHOOSECOLS(_xlfn.ANCHORARRAY(I2),1)&amp;_xlfn.CHOOSECOLS(_xlfn.ANCHORARRAY(I2),2)&amp;_xlfn.CHOOSECOLS(_xlfn.ANCHORARRAY(I2),3)&amp;_xlfn.CHOOSECOLS(_xlfn.ANCHORARRAY(I2),4)</f>
        <v>bondActive BondsStaten</v>
      </c>
    </row>
    <row r="3" spans="1:14" x14ac:dyDescent="0.3">
      <c r="A3" t="str">
        <v>bond</v>
      </c>
      <c r="B3" t="str">
        <v>Change in Bonds</v>
      </c>
      <c r="C3" t="str">
        <v>Flow</v>
      </c>
      <c r="D3">
        <v>0</v>
      </c>
      <c r="E3">
        <v>0</v>
      </c>
      <c r="F3" t="str">
        <v>n</v>
      </c>
      <c r="G3">
        <v>3</v>
      </c>
      <c r="I3" t="str">
        <v>bond</v>
      </c>
      <c r="J3" t="str">
        <v>Change in Bonds</v>
      </c>
      <c r="K3" t="str">
        <v>Flow</v>
      </c>
      <c r="L3" t="str">
        <v>n</v>
      </c>
      <c r="M3">
        <v>3</v>
      </c>
      <c r="N3" t="str">
        <v>bondChange in BondsFlown</v>
      </c>
    </row>
    <row r="4" spans="1:14" x14ac:dyDescent="0.3">
      <c r="A4" t="str">
        <v>bond</v>
      </c>
      <c r="B4" t="str">
        <v>Deviation</v>
      </c>
      <c r="C4" t="str">
        <v>Deviation</v>
      </c>
      <c r="D4">
        <v>0</v>
      </c>
      <c r="E4">
        <v>0</v>
      </c>
      <c r="F4" t="str">
        <v>$</v>
      </c>
      <c r="G4">
        <v>5</v>
      </c>
      <c r="I4" t="str">
        <v>bond</v>
      </c>
      <c r="J4" t="str">
        <v>Deviation</v>
      </c>
      <c r="K4" t="str">
        <v>Deviation</v>
      </c>
      <c r="L4" t="str">
        <v>$</v>
      </c>
      <c r="M4">
        <v>5</v>
      </c>
      <c r="N4" t="str">
        <v>bondDeviationDeviation$</v>
      </c>
    </row>
    <row r="5" spans="1:14" x14ac:dyDescent="0.3">
      <c r="A5" t="str">
        <v>bond</v>
      </c>
      <c r="B5" t="str">
        <v>Rent</v>
      </c>
      <c r="C5" t="str">
        <v>Mean</v>
      </c>
      <c r="D5">
        <v>0</v>
      </c>
      <c r="E5">
        <v>0</v>
      </c>
      <c r="F5" t="str">
        <v>$</v>
      </c>
      <c r="G5">
        <v>6</v>
      </c>
      <c r="I5" t="str">
        <v>bond</v>
      </c>
      <c r="J5" t="str">
        <v>Rent</v>
      </c>
      <c r="K5" t="str">
        <v>Mean</v>
      </c>
      <c r="L5" t="str">
        <v>$</v>
      </c>
      <c r="M5">
        <v>6</v>
      </c>
      <c r="N5" t="str">
        <v>bondRentMean$</v>
      </c>
    </row>
    <row r="6" spans="1:14" x14ac:dyDescent="0.3">
      <c r="A6" t="str">
        <v>bond</v>
      </c>
      <c r="B6" t="str">
        <v>Rent</v>
      </c>
      <c r="C6" t="str">
        <v>Quartile</v>
      </c>
      <c r="D6">
        <v>1</v>
      </c>
      <c r="E6">
        <v>0</v>
      </c>
      <c r="F6" t="str">
        <v>$</v>
      </c>
      <c r="G6">
        <v>7</v>
      </c>
      <c r="I6" t="str">
        <v>bond</v>
      </c>
      <c r="J6" t="str">
        <v>Rent</v>
      </c>
      <c r="K6" t="str">
        <v>Quartile</v>
      </c>
      <c r="L6" t="str">
        <v>$</v>
      </c>
      <c r="M6">
        <v>9</v>
      </c>
      <c r="N6" t="str">
        <v>bondRentQuartile$</v>
      </c>
    </row>
    <row r="7" spans="1:14" x14ac:dyDescent="0.3">
      <c r="A7" t="str">
        <v>bond</v>
      </c>
      <c r="B7" t="str">
        <v>Rent</v>
      </c>
      <c r="C7" t="str">
        <v>Quartile</v>
      </c>
      <c r="D7">
        <v>2</v>
      </c>
      <c r="E7">
        <v>0</v>
      </c>
      <c r="F7" t="str">
        <v>$</v>
      </c>
      <c r="G7">
        <v>8</v>
      </c>
      <c r="I7" t="str">
        <v>hm14</v>
      </c>
      <c r="J7" t="str">
        <v>10 year government bond yields</v>
      </c>
      <c r="K7" t="str">
        <v>-</v>
      </c>
      <c r="L7" t="str">
        <v>%pa</v>
      </c>
      <c r="M7">
        <v>11</v>
      </c>
      <c r="N7" t="str">
        <v>hm1410 year government bond yields-%pa</v>
      </c>
    </row>
    <row r="8" spans="1:14" x14ac:dyDescent="0.3">
      <c r="A8" t="str">
        <v>bond</v>
      </c>
      <c r="B8" t="str">
        <v>Rent</v>
      </c>
      <c r="C8" t="str">
        <v>Quartile</v>
      </c>
      <c r="D8">
        <v>3</v>
      </c>
      <c r="E8">
        <v>0</v>
      </c>
      <c r="F8" t="str">
        <v>$</v>
      </c>
      <c r="G8">
        <v>9</v>
      </c>
      <c r="I8" t="str">
        <v>hm14</v>
      </c>
      <c r="J8" t="str">
        <v>Annual CPI growth</v>
      </c>
      <c r="K8" t="str">
        <v>-</v>
      </c>
      <c r="L8" t="str">
        <v>%</v>
      </c>
      <c r="M8">
        <v>15</v>
      </c>
      <c r="N8" t="str">
        <v>hm14Annual CPI growth-%</v>
      </c>
    </row>
    <row r="9" spans="1:14" x14ac:dyDescent="0.3">
      <c r="A9" t="str">
        <v>hm14</v>
      </c>
      <c r="B9" t="str">
        <v>10 year government bond yields</v>
      </c>
      <c r="C9" t="str">
        <v>-</v>
      </c>
      <c r="D9">
        <v>1</v>
      </c>
      <c r="E9">
        <v>0</v>
      </c>
      <c r="F9" t="str">
        <v>%pa</v>
      </c>
      <c r="G9">
        <v>10</v>
      </c>
      <c r="I9" t="str">
        <v>hm14</v>
      </c>
      <c r="J9" t="str">
        <v>Annual GDP growth</v>
      </c>
      <c r="K9" t="str">
        <v>-</v>
      </c>
      <c r="L9" t="str">
        <v>%</v>
      </c>
      <c r="M9">
        <v>17</v>
      </c>
      <c r="N9" t="str">
        <v>hm14Annual GDP growth-%</v>
      </c>
    </row>
    <row r="10" spans="1:14" x14ac:dyDescent="0.3">
      <c r="A10" t="str">
        <v>hm14</v>
      </c>
      <c r="B10" t="str">
        <v>10 year government bond yields</v>
      </c>
      <c r="C10" t="str">
        <v>-</v>
      </c>
      <c r="D10">
        <v>2</v>
      </c>
      <c r="E10">
        <v>0</v>
      </c>
      <c r="F10" t="str">
        <v>%pa</v>
      </c>
      <c r="G10">
        <v>11</v>
      </c>
      <c r="I10" t="str">
        <v>hm14</v>
      </c>
      <c r="J10" t="str">
        <v>Annual hourly wage growth</v>
      </c>
      <c r="K10" t="str">
        <v>-</v>
      </c>
      <c r="L10" t="str">
        <v>%</v>
      </c>
      <c r="M10">
        <v>19</v>
      </c>
      <c r="N10" t="str">
        <v>hm14Annual hourly wage growth-%</v>
      </c>
    </row>
    <row r="11" spans="1:14" x14ac:dyDescent="0.3">
      <c r="A11" t="str">
        <v>hm14</v>
      </c>
      <c r="B11" t="str">
        <v>Annual CPI growth</v>
      </c>
      <c r="C11" t="str">
        <v>-</v>
      </c>
      <c r="D11">
        <v>1</v>
      </c>
      <c r="E11">
        <v>0</v>
      </c>
      <c r="F11" t="str">
        <v>%</v>
      </c>
      <c r="G11">
        <v>12</v>
      </c>
      <c r="I11" t="str">
        <v>hm14</v>
      </c>
      <c r="J11" t="str">
        <v>Australian dollar exchange rate</v>
      </c>
      <c r="K11" t="str">
        <v>-</v>
      </c>
      <c r="L11" t="str">
        <v>NZD/AUD</v>
      </c>
      <c r="M11">
        <v>21</v>
      </c>
      <c r="N11" t="str">
        <v>hm14Australian dollar exchange rate-NZD/AUD</v>
      </c>
    </row>
    <row r="12" spans="1:14" x14ac:dyDescent="0.3">
      <c r="A12" t="str">
        <v>hm14</v>
      </c>
      <c r="B12" t="str">
        <v>Annual CPI growth</v>
      </c>
      <c r="C12" t="str">
        <v>-</v>
      </c>
      <c r="D12">
        <v>2</v>
      </c>
      <c r="E12">
        <v>0</v>
      </c>
      <c r="F12" t="str">
        <v>%</v>
      </c>
      <c r="G12">
        <v>13</v>
      </c>
      <c r="I12" t="str">
        <v>hm14</v>
      </c>
      <c r="J12" t="str">
        <v>House price index</v>
      </c>
      <c r="K12" t="str">
        <v>-</v>
      </c>
      <c r="L12" t="str">
        <v>%</v>
      </c>
      <c r="M12">
        <v>23</v>
      </c>
      <c r="N12" t="str">
        <v>hm14House price index-%</v>
      </c>
    </row>
    <row r="13" spans="1:14" x14ac:dyDescent="0.3">
      <c r="A13" t="str">
        <v>hm14</v>
      </c>
      <c r="B13" t="str">
        <v>Annual CPI growth</v>
      </c>
      <c r="C13" t="str">
        <v>-</v>
      </c>
      <c r="D13">
        <v>3</v>
      </c>
      <c r="E13">
        <v>0</v>
      </c>
      <c r="F13" t="str">
        <v>%</v>
      </c>
      <c r="G13">
        <v>14</v>
      </c>
      <c r="I13" t="str">
        <v>hm14</v>
      </c>
      <c r="J13" t="str">
        <v>Official Cash Rate (OCR)</v>
      </c>
      <c r="K13" t="str">
        <v>Average</v>
      </c>
      <c r="L13" t="str">
        <v>%pa</v>
      </c>
      <c r="M13">
        <v>24</v>
      </c>
      <c r="N13" t="str">
        <v>hm14Official Cash Rate (OCR)Average%pa</v>
      </c>
    </row>
    <row r="14" spans="1:14" x14ac:dyDescent="0.3">
      <c r="A14" t="str">
        <v>hm14</v>
      </c>
      <c r="B14" t="str">
        <v>Annual CPI growth</v>
      </c>
      <c r="C14" t="str">
        <v>-</v>
      </c>
      <c r="D14">
        <v>4</v>
      </c>
      <c r="E14">
        <v>0</v>
      </c>
      <c r="F14" t="str">
        <v>%</v>
      </c>
      <c r="G14">
        <v>15</v>
      </c>
      <c r="I14" t="str">
        <v>hm14</v>
      </c>
      <c r="J14" t="str">
        <v>Official Cash Rate (OCR)</v>
      </c>
      <c r="K14" t="str">
        <v>Out</v>
      </c>
      <c r="L14" t="str">
        <v>%pa</v>
      </c>
      <c r="M14">
        <v>27</v>
      </c>
      <c r="N14" t="str">
        <v>hm14Official Cash Rate (OCR)Out%pa</v>
      </c>
    </row>
    <row r="15" spans="1:14" x14ac:dyDescent="0.3">
      <c r="A15" t="str">
        <v>hm14</v>
      </c>
      <c r="B15" t="str">
        <v>Annual GDP growth</v>
      </c>
      <c r="C15" t="str">
        <v>-</v>
      </c>
      <c r="D15">
        <v>1</v>
      </c>
      <c r="E15">
        <v>0</v>
      </c>
      <c r="F15" t="str">
        <v>%</v>
      </c>
      <c r="G15">
        <v>16</v>
      </c>
      <c r="I15" t="str">
        <v>hm14</v>
      </c>
      <c r="J15" t="str">
        <v>Perception of monetary conditions (net)</v>
      </c>
      <c r="K15" t="str">
        <v>-</v>
      </c>
      <c r="L15" t="str">
        <v>%</v>
      </c>
      <c r="M15">
        <v>30</v>
      </c>
      <c r="N15" t="str">
        <v>hm14Perception of monetary conditions (net)-%</v>
      </c>
    </row>
    <row r="16" spans="1:14" x14ac:dyDescent="0.3">
      <c r="A16" t="str">
        <v>hm14</v>
      </c>
      <c r="B16" t="str">
        <v>Annual GDP growth</v>
      </c>
      <c r="C16" t="str">
        <v>-</v>
      </c>
      <c r="D16">
        <v>2</v>
      </c>
      <c r="E16">
        <v>0</v>
      </c>
      <c r="F16" t="str">
        <v>%</v>
      </c>
      <c r="G16">
        <v>17</v>
      </c>
      <c r="I16" t="str">
        <v>hm14</v>
      </c>
      <c r="J16" t="str">
        <v>Unemployment rate</v>
      </c>
      <c r="K16" t="str">
        <v>-</v>
      </c>
      <c r="L16" t="str">
        <v>%</v>
      </c>
      <c r="M16">
        <v>32</v>
      </c>
      <c r="N16" t="str">
        <v>hm14Unemployment rate-%</v>
      </c>
    </row>
    <row r="17" spans="1:14" x14ac:dyDescent="0.3">
      <c r="A17" t="str">
        <v>hm14</v>
      </c>
      <c r="B17" t="str">
        <v>Annual hourly wage growth</v>
      </c>
      <c r="C17" t="str">
        <v>-</v>
      </c>
      <c r="D17">
        <v>1</v>
      </c>
      <c r="E17">
        <v>0</v>
      </c>
      <c r="F17" t="str">
        <v>%</v>
      </c>
      <c r="G17">
        <v>18</v>
      </c>
      <c r="I17" t="str">
        <v>hm14</v>
      </c>
      <c r="J17" t="str">
        <v>US dollar exchange rate</v>
      </c>
      <c r="K17" t="str">
        <v>-</v>
      </c>
      <c r="L17" t="str">
        <v>NZD/USD</v>
      </c>
      <c r="M17">
        <v>34</v>
      </c>
      <c r="N17" t="str">
        <v>hm14US dollar exchange rate-NZD/USD</v>
      </c>
    </row>
    <row r="18" spans="1:14" x14ac:dyDescent="0.3">
      <c r="A18" t="str">
        <v>hm14</v>
      </c>
      <c r="B18" t="str">
        <v>Annual hourly wage growth</v>
      </c>
      <c r="C18" t="str">
        <v>-</v>
      </c>
      <c r="D18">
        <v>2</v>
      </c>
      <c r="E18">
        <v>0</v>
      </c>
      <c r="F18" t="str">
        <v>%</v>
      </c>
      <c r="G18">
        <v>19</v>
      </c>
      <c r="I18" t="str">
        <v>Total</v>
      </c>
      <c r="J18" t="str">
        <v/>
      </c>
      <c r="K18" t="str">
        <v/>
      </c>
      <c r="L18" t="str">
        <v/>
      </c>
      <c r="M18">
        <v>34</v>
      </c>
      <c r="N18" t="str">
        <v>Total</v>
      </c>
    </row>
    <row r="19" spans="1:14" x14ac:dyDescent="0.3">
      <c r="A19" t="str">
        <v>hm14</v>
      </c>
      <c r="B19" t="str">
        <v>Australian dollar exchange rate</v>
      </c>
      <c r="C19" t="str">
        <v>-</v>
      </c>
      <c r="D19">
        <v>1</v>
      </c>
      <c r="E19">
        <v>0</v>
      </c>
      <c r="F19" t="str">
        <v>NZD/AUD</v>
      </c>
      <c r="G19">
        <v>20</v>
      </c>
    </row>
    <row r="20" spans="1:14" x14ac:dyDescent="0.3">
      <c r="A20" t="str">
        <v>hm14</v>
      </c>
      <c r="B20" t="str">
        <v>Australian dollar exchange rate</v>
      </c>
      <c r="C20" t="str">
        <v>-</v>
      </c>
      <c r="D20">
        <v>2</v>
      </c>
      <c r="E20">
        <v>0</v>
      </c>
      <c r="F20" t="str">
        <v>NZD/AUD</v>
      </c>
      <c r="G20">
        <v>21</v>
      </c>
    </row>
    <row r="21" spans="1:14" x14ac:dyDescent="0.3">
      <c r="A21" t="str">
        <v>hm14</v>
      </c>
      <c r="B21" t="str">
        <v>House price index</v>
      </c>
      <c r="C21" t="str">
        <v>-</v>
      </c>
      <c r="D21">
        <v>1</v>
      </c>
      <c r="E21">
        <v>0</v>
      </c>
      <c r="F21" t="str">
        <v>%</v>
      </c>
      <c r="G21">
        <v>22</v>
      </c>
    </row>
    <row r="22" spans="1:14" x14ac:dyDescent="0.3">
      <c r="A22" t="str">
        <v>hm14</v>
      </c>
      <c r="B22" t="str">
        <v>House price index</v>
      </c>
      <c r="C22" t="str">
        <v>-</v>
      </c>
      <c r="D22">
        <v>2</v>
      </c>
      <c r="E22">
        <v>0</v>
      </c>
      <c r="F22" t="str">
        <v>%</v>
      </c>
      <c r="G22">
        <v>23</v>
      </c>
    </row>
    <row r="23" spans="1:14" x14ac:dyDescent="0.3">
      <c r="A23" t="str">
        <v>hm14</v>
      </c>
      <c r="B23" t="str">
        <v>Official Cash Rate (OCR)</v>
      </c>
      <c r="C23" t="str">
        <v>Average</v>
      </c>
      <c r="D23">
        <v>1</v>
      </c>
      <c r="E23">
        <v>0</v>
      </c>
      <c r="F23" t="str">
        <v>%pa</v>
      </c>
      <c r="G23">
        <v>24</v>
      </c>
    </row>
    <row r="24" spans="1:14" x14ac:dyDescent="0.3">
      <c r="A24" t="str">
        <v>hm14</v>
      </c>
      <c r="B24" t="str">
        <v>Official Cash Rate (OCR)</v>
      </c>
      <c r="C24" t="str">
        <v>Out</v>
      </c>
      <c r="D24">
        <v>1</v>
      </c>
      <c r="E24">
        <v>0</v>
      </c>
      <c r="F24" t="str">
        <v>%pa</v>
      </c>
      <c r="G24">
        <v>25</v>
      </c>
    </row>
    <row r="25" spans="1:14" x14ac:dyDescent="0.3">
      <c r="A25" t="str">
        <v>hm14</v>
      </c>
      <c r="B25" t="str">
        <v>Official Cash Rate (OCR)</v>
      </c>
      <c r="C25" t="str">
        <v>Out</v>
      </c>
      <c r="D25">
        <v>2</v>
      </c>
      <c r="E25">
        <v>0</v>
      </c>
      <c r="F25" t="str">
        <v>%pa</v>
      </c>
      <c r="G25">
        <v>26</v>
      </c>
    </row>
    <row r="26" spans="1:14" x14ac:dyDescent="0.3">
      <c r="A26" t="str">
        <v>hm14</v>
      </c>
      <c r="B26" t="str">
        <v>Official Cash Rate (OCR)</v>
      </c>
      <c r="C26" t="str">
        <v>Out</v>
      </c>
      <c r="D26">
        <v>3</v>
      </c>
      <c r="E26">
        <v>0</v>
      </c>
      <c r="F26" t="str">
        <v>%pa</v>
      </c>
      <c r="G26">
        <v>27</v>
      </c>
    </row>
    <row r="27" spans="1:14" x14ac:dyDescent="0.3">
      <c r="A27" t="str">
        <v>hm14</v>
      </c>
      <c r="B27" t="str">
        <v>Perception of monetary conditions (net)</v>
      </c>
      <c r="C27" t="str">
        <v>-</v>
      </c>
      <c r="D27">
        <v>1</v>
      </c>
      <c r="E27">
        <v>0</v>
      </c>
      <c r="F27" t="str">
        <v>%</v>
      </c>
      <c r="G27">
        <v>28</v>
      </c>
    </row>
    <row r="28" spans="1:14" x14ac:dyDescent="0.3">
      <c r="A28" t="str">
        <v>hm14</v>
      </c>
      <c r="B28" t="str">
        <v>Perception of monetary conditions (net)</v>
      </c>
      <c r="C28" t="str">
        <v>-</v>
      </c>
      <c r="D28">
        <v>2</v>
      </c>
      <c r="E28">
        <v>0</v>
      </c>
      <c r="F28" t="str">
        <v>%</v>
      </c>
      <c r="G28">
        <v>29</v>
      </c>
    </row>
    <row r="29" spans="1:14" x14ac:dyDescent="0.3">
      <c r="A29" t="str">
        <v>hm14</v>
      </c>
      <c r="B29" t="str">
        <v>Perception of monetary conditions (net)</v>
      </c>
      <c r="C29" t="str">
        <v>-</v>
      </c>
      <c r="D29">
        <v>3</v>
      </c>
      <c r="E29">
        <v>0</v>
      </c>
      <c r="F29" t="str">
        <v>%</v>
      </c>
      <c r="G29">
        <v>30</v>
      </c>
    </row>
    <row r="30" spans="1:14" x14ac:dyDescent="0.3">
      <c r="A30" t="str">
        <v>hm14</v>
      </c>
      <c r="B30" t="str">
        <v>Unemployment rate</v>
      </c>
      <c r="C30" t="str">
        <v>-</v>
      </c>
      <c r="D30">
        <v>1</v>
      </c>
      <c r="E30">
        <v>0</v>
      </c>
      <c r="F30" t="str">
        <v>%</v>
      </c>
      <c r="G30">
        <v>31</v>
      </c>
    </row>
    <row r="31" spans="1:14" x14ac:dyDescent="0.3">
      <c r="A31" t="str">
        <v>hm14</v>
      </c>
      <c r="B31" t="str">
        <v>Unemployment rate</v>
      </c>
      <c r="C31" t="str">
        <v>-</v>
      </c>
      <c r="D31">
        <v>2</v>
      </c>
      <c r="E31">
        <v>0</v>
      </c>
      <c r="F31" t="str">
        <v>%</v>
      </c>
      <c r="G31">
        <v>32</v>
      </c>
    </row>
    <row r="32" spans="1:14" x14ac:dyDescent="0.3">
      <c r="A32" t="str">
        <v>hm14</v>
      </c>
      <c r="B32" t="str">
        <v>US dollar exchange rate</v>
      </c>
      <c r="C32" t="str">
        <v>-</v>
      </c>
      <c r="D32">
        <v>1</v>
      </c>
      <c r="E32">
        <v>0</v>
      </c>
      <c r="F32" t="str">
        <v>NZD/USD</v>
      </c>
      <c r="G32">
        <v>33</v>
      </c>
    </row>
    <row r="33" spans="1:7" x14ac:dyDescent="0.3">
      <c r="A33" t="str">
        <v>hm14</v>
      </c>
      <c r="B33" t="str">
        <v>US dollar exchange rate</v>
      </c>
      <c r="C33" t="str">
        <v>-</v>
      </c>
      <c r="D33">
        <v>2</v>
      </c>
      <c r="E33">
        <v>0</v>
      </c>
      <c r="F33" t="str">
        <v>NZD/USD</v>
      </c>
      <c r="G33">
        <v>34</v>
      </c>
    </row>
    <row r="34" spans="1:7" x14ac:dyDescent="0.3">
      <c r="A34" t="str">
        <v>Total</v>
      </c>
      <c r="B34" t="str">
        <v/>
      </c>
      <c r="C34" t="str">
        <v/>
      </c>
      <c r="D34" t="str">
        <v/>
      </c>
      <c r="E34" t="str">
        <v/>
      </c>
      <c r="F34" t="str">
        <v/>
      </c>
      <c r="G34">
        <v>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335B5A-10DB-46ED-B4FC-DC905CA8D6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Guide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Hawley</dc:creator>
  <cp:lastModifiedBy>Michael Hawley</cp:lastModifiedBy>
  <dcterms:created xsi:type="dcterms:W3CDTF">2026-08-26T10:33:15Z</dcterms:created>
  <dcterms:modified xsi:type="dcterms:W3CDTF">2026-08-27T08:00:17Z</dcterms:modified>
</cp:coreProperties>
</file>