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06_Altitude/Altitude/app/data/Reference/"/>
    </mc:Choice>
  </mc:AlternateContent>
  <xr:revisionPtr revIDLastSave="261" documentId="8_{BCBC3A3A-E0FA-4AA3-8593-2140AD00DA78}" xr6:coauthVersionLast="47" xr6:coauthVersionMax="47" xr10:uidLastSave="{293F27D8-757B-47A2-88BF-67F36C935195}"/>
  <bookViews>
    <workbookView xWindow="17160" yWindow="-21600" windowWidth="19380" windowHeight="20970" xr2:uid="{8E4D9682-10B3-4A32-8A23-CE2B94AA5C11}"/>
  </bookViews>
  <sheets>
    <sheet name="Guid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94" i="1" l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I2" i="2" l="1" a="1"/>
  <c r="I2" i="2" s="1"/>
  <c r="A2" i="2" a="1"/>
  <c r="A2" i="2" s="1"/>
  <c r="N2" i="2" l="1" a="1"/>
  <c r="R34" i="1" l="1" a="1"/>
  <c r="R34" i="1" s="1"/>
  <c r="R147" i="1" a="1"/>
  <c r="R147" i="1" s="1"/>
  <c r="R127" i="1" a="1"/>
  <c r="R127" i="1" s="1"/>
  <c r="R87" i="1" a="1"/>
  <c r="R87" i="1" s="1"/>
  <c r="R67" i="1" a="1"/>
  <c r="R67" i="1" s="1"/>
  <c r="R47" i="1" a="1"/>
  <c r="R47" i="1" s="1"/>
  <c r="R200" i="1" a="1"/>
  <c r="R200" i="1" s="1"/>
  <c r="R39" i="1" a="1"/>
  <c r="R39" i="1" s="1"/>
  <c r="R213" i="1" a="1"/>
  <c r="R213" i="1" s="1"/>
  <c r="R93" i="1" a="1"/>
  <c r="R93" i="1" s="1"/>
  <c r="R33" i="1" a="1"/>
  <c r="R33" i="1" s="1"/>
  <c r="R46" i="1" a="1"/>
  <c r="R46" i="1" s="1"/>
  <c r="R306" i="1" a="1"/>
  <c r="R306" i="1" s="1"/>
  <c r="R286" i="1" a="1"/>
  <c r="R286" i="1" s="1"/>
  <c r="R266" i="1" a="1"/>
  <c r="R266" i="1" s="1"/>
  <c r="R315" i="1" a="1"/>
  <c r="R315" i="1" s="1"/>
  <c r="R388" i="1" a="1"/>
  <c r="R388" i="1" s="1"/>
  <c r="R105" i="1" a="1"/>
  <c r="R105" i="1" s="1"/>
  <c r="R50" i="1" a="1"/>
  <c r="R50" i="1" s="1"/>
  <c r="R23" i="1" a="1"/>
  <c r="R23" i="1" s="1"/>
  <c r="R217" i="1" a="1"/>
  <c r="R217" i="1" s="1"/>
  <c r="R244" i="1" a="1"/>
  <c r="R244" i="1" s="1"/>
  <c r="R35" i="1" a="1"/>
  <c r="R35" i="1" s="1"/>
  <c r="R250" i="1" a="1"/>
  <c r="R250" i="1" s="1"/>
  <c r="R108" i="1" a="1"/>
  <c r="R108" i="1" s="1"/>
  <c r="R102" i="1" a="1"/>
  <c r="R102" i="1" s="1"/>
  <c r="R9" i="1" a="1"/>
  <c r="R9" i="1" s="1"/>
  <c r="R109" i="1" a="1"/>
  <c r="R109" i="1" s="1"/>
  <c r="R145" i="1" a="1"/>
  <c r="R145" i="1" s="1"/>
  <c r="R349" i="1" a="1"/>
  <c r="R349" i="1" s="1"/>
  <c r="R317" i="1" a="1"/>
  <c r="R317" i="1" s="1"/>
  <c r="R84" i="1" a="1"/>
  <c r="R84" i="1" s="1"/>
  <c r="R57" i="1" a="1"/>
  <c r="R57" i="1" s="1"/>
  <c r="R11" i="1" a="1"/>
  <c r="R11" i="1" s="1"/>
  <c r="R390" i="1" a="1"/>
  <c r="R390" i="1" s="1"/>
  <c r="R378" i="1" a="1"/>
  <c r="R378" i="1" s="1"/>
  <c r="R325" i="1" a="1"/>
  <c r="R325" i="1" s="1"/>
  <c r="R197" i="1" a="1"/>
  <c r="R197" i="1" s="1"/>
  <c r="R262" i="1" a="1"/>
  <c r="R262" i="1" s="1"/>
  <c r="R185" i="1" a="1"/>
  <c r="R185" i="1" s="1"/>
  <c r="R223" i="1" a="1"/>
  <c r="R223" i="1" s="1"/>
  <c r="R44" i="1" a="1"/>
  <c r="R44" i="1" s="1"/>
  <c r="R205" i="1" a="1"/>
  <c r="R205" i="1" s="1"/>
  <c r="R177" i="1" a="1"/>
  <c r="R177" i="1" s="1"/>
  <c r="R129" i="1" a="1"/>
  <c r="R129" i="1" s="1"/>
  <c r="R71" i="1" a="1"/>
  <c r="R71" i="1" s="1"/>
  <c r="R290" i="1" a="1"/>
  <c r="R290" i="1" s="1"/>
  <c r="R128" i="1" a="1"/>
  <c r="R128" i="1" s="1"/>
  <c r="R62" i="1" a="1"/>
  <c r="R62" i="1" s="1"/>
  <c r="R222" i="1" a="1"/>
  <c r="R222" i="1" s="1"/>
  <c r="R164" i="1" a="1"/>
  <c r="R164" i="1" s="1"/>
  <c r="R70" i="1" a="1"/>
  <c r="R70" i="1" s="1"/>
  <c r="R78" i="1" a="1"/>
  <c r="R78" i="1" s="1"/>
  <c r="N2" i="2"/>
  <c r="R381" i="1" s="1" a="1"/>
  <c r="R381" i="1" s="1"/>
  <c r="R98" i="1" l="1" a="1"/>
  <c r="R98" i="1" s="1"/>
  <c r="R148" i="1" a="1"/>
  <c r="R148" i="1" s="1"/>
  <c r="R226" i="1" a="1"/>
  <c r="R226" i="1" s="1"/>
  <c r="R180" i="1" a="1"/>
  <c r="R180" i="1" s="1"/>
  <c r="R58" i="1" a="1"/>
  <c r="R58" i="1" s="1"/>
  <c r="R295" i="1" a="1"/>
  <c r="R295" i="1" s="1"/>
  <c r="R173" i="1" a="1"/>
  <c r="R173" i="1" s="1"/>
  <c r="R167" i="1" a="1"/>
  <c r="R167" i="1" s="1"/>
  <c r="R355" i="1" a="1"/>
  <c r="R355" i="1" s="1"/>
  <c r="R253" i="1" a="1"/>
  <c r="R253" i="1" s="1"/>
  <c r="R54" i="1" a="1"/>
  <c r="R54" i="1" s="1"/>
  <c r="R224" i="1" a="1"/>
  <c r="R224" i="1" s="1"/>
  <c r="R235" i="1" a="1"/>
  <c r="R235" i="1" s="1"/>
  <c r="R369" i="1" a="1"/>
  <c r="R369" i="1" s="1"/>
  <c r="R25" i="1" a="1"/>
  <c r="R25" i="1" s="1"/>
  <c r="R371" i="1" a="1"/>
  <c r="R371" i="1" s="1"/>
  <c r="R199" i="1" a="1"/>
  <c r="R199" i="1" s="1"/>
  <c r="R134" i="1" a="1"/>
  <c r="R134" i="1" s="1"/>
  <c r="R383" i="1" a="1"/>
  <c r="R383" i="1" s="1"/>
  <c r="R282" i="1" a="1"/>
  <c r="R282" i="1" s="1"/>
  <c r="R95" i="1" a="1"/>
  <c r="R95" i="1" s="1"/>
  <c r="R195" i="1" a="1"/>
  <c r="R195" i="1" s="1"/>
  <c r="R391" i="1" a="1"/>
  <c r="R391" i="1" s="1"/>
  <c r="R279" i="1" a="1"/>
  <c r="R279" i="1" s="1"/>
  <c r="R154" i="1" a="1"/>
  <c r="R154" i="1" s="1"/>
  <c r="R103" i="1" a="1"/>
  <c r="R103" i="1" s="1"/>
  <c r="R344" i="1" a="1"/>
  <c r="R344" i="1" s="1"/>
  <c r="R142" i="1" a="1"/>
  <c r="R142" i="1" s="1"/>
  <c r="R76" i="1" a="1"/>
  <c r="R76" i="1" s="1"/>
  <c r="R385" i="1" a="1"/>
  <c r="R385" i="1" s="1"/>
  <c r="R299" i="1" a="1"/>
  <c r="R299" i="1" s="1"/>
  <c r="R192" i="1" a="1"/>
  <c r="R192" i="1" s="1"/>
  <c r="R51" i="1" a="1"/>
  <c r="R51" i="1" s="1"/>
  <c r="R49" i="1" a="1"/>
  <c r="R49" i="1" s="1"/>
  <c r="R152" i="1" a="1"/>
  <c r="R152" i="1" s="1"/>
  <c r="R339" i="1" a="1"/>
  <c r="R339" i="1" s="1"/>
  <c r="R21" i="1" a="1"/>
  <c r="R21" i="1" s="1"/>
  <c r="R363" i="1" a="1"/>
  <c r="R363" i="1" s="1"/>
  <c r="R158" i="1" a="1"/>
  <c r="R158" i="1" s="1"/>
  <c r="R41" i="1" a="1"/>
  <c r="R41" i="1" s="1"/>
  <c r="R88" i="1" a="1"/>
  <c r="R88" i="1" s="1"/>
  <c r="R114" i="1" a="1"/>
  <c r="R114" i="1" s="1"/>
  <c r="R356" i="1" a="1"/>
  <c r="R356" i="1" s="1"/>
  <c r="R163" i="1" a="1"/>
  <c r="R163" i="1" s="1"/>
  <c r="R228" i="1" a="1"/>
  <c r="R228" i="1" s="1"/>
  <c r="R123" i="1" a="1"/>
  <c r="R123" i="1" s="1"/>
  <c r="R232" i="1" a="1"/>
  <c r="R232" i="1" s="1"/>
  <c r="R80" i="1" a="1"/>
  <c r="R80" i="1" s="1"/>
  <c r="R202" i="1" a="1"/>
  <c r="R202" i="1" s="1"/>
  <c r="R89" i="1" a="1"/>
  <c r="R89" i="1" s="1"/>
  <c r="R237" i="1" a="1"/>
  <c r="R237" i="1" s="1"/>
  <c r="R85" i="1" a="1"/>
  <c r="R85" i="1" s="1"/>
  <c r="R292" i="1" a="1"/>
  <c r="R292" i="1" s="1"/>
  <c r="R100" i="1" a="1"/>
  <c r="R100" i="1" s="1"/>
  <c r="R81" i="1" a="1"/>
  <c r="R81" i="1" s="1"/>
  <c r="R74" i="1" a="1"/>
  <c r="R74" i="1" s="1"/>
  <c r="R99" i="1" a="1"/>
  <c r="R99" i="1" s="1"/>
  <c r="R249" i="1" a="1"/>
  <c r="R249" i="1" s="1"/>
  <c r="R170" i="1" a="1"/>
  <c r="R170" i="1" s="1"/>
  <c r="R15" i="1" a="1"/>
  <c r="R15" i="1" s="1"/>
  <c r="R384" i="1" a="1"/>
  <c r="R384" i="1" s="1"/>
  <c r="R265" i="1" a="1"/>
  <c r="R265" i="1" s="1"/>
  <c r="R115" i="1" a="1"/>
  <c r="R115" i="1" s="1"/>
  <c r="R186" i="1" a="1"/>
  <c r="R186" i="1" s="1"/>
  <c r="R120" i="1" a="1"/>
  <c r="R120" i="1" s="1"/>
  <c r="R101" i="1" a="1"/>
  <c r="R101" i="1" s="1"/>
  <c r="R375" i="1" a="1"/>
  <c r="R375" i="1" s="1"/>
  <c r="R91" i="1" a="1"/>
  <c r="R91" i="1" s="1"/>
  <c r="R42" i="1" a="1"/>
  <c r="R42" i="1" s="1"/>
  <c r="R258" i="1" a="1"/>
  <c r="R258" i="1" s="1"/>
  <c r="R184" i="1" a="1"/>
  <c r="R184" i="1" s="1"/>
  <c r="R284" i="1" a="1"/>
  <c r="R284" i="1" s="1"/>
  <c r="R162" i="1" a="1"/>
  <c r="R162" i="1" s="1"/>
  <c r="R206" i="1" a="1"/>
  <c r="R206" i="1" s="1"/>
  <c r="R160" i="1" a="1"/>
  <c r="R160" i="1" s="1"/>
  <c r="R121" i="1" a="1"/>
  <c r="R121" i="1" s="1"/>
  <c r="R270" i="1" a="1"/>
  <c r="R270" i="1" s="1"/>
  <c r="R203" i="1" a="1"/>
  <c r="R203" i="1" s="1"/>
  <c r="R68" i="1" a="1"/>
  <c r="R68" i="1" s="1"/>
  <c r="R22" i="1" a="1"/>
  <c r="R22" i="1" s="1"/>
  <c r="R335" i="1" a="1"/>
  <c r="R335" i="1" s="1"/>
  <c r="R72" i="1" a="1"/>
  <c r="R72" i="1" s="1"/>
  <c r="R246" i="1" a="1"/>
  <c r="R246" i="1" s="1"/>
  <c r="R133" i="1" a="1"/>
  <c r="R133" i="1" s="1"/>
  <c r="R239" i="1" a="1"/>
  <c r="R239" i="1" s="1"/>
  <c r="R140" i="1" a="1"/>
  <c r="R140" i="1" s="1"/>
  <c r="R107" i="1" a="1"/>
  <c r="R107" i="1" s="1"/>
  <c r="R94" i="1" a="1"/>
  <c r="R94" i="1" s="1"/>
  <c r="R61" i="1" a="1"/>
  <c r="R61" i="1" s="1"/>
  <c r="R302" i="1" a="1"/>
  <c r="R302" i="1" s="1"/>
  <c r="R242" i="1" a="1"/>
  <c r="R242" i="1" s="1"/>
  <c r="R111" i="1" a="1"/>
  <c r="R111" i="1" s="1"/>
  <c r="R293" i="1" a="1"/>
  <c r="R293" i="1" s="1"/>
  <c r="R187" i="1" a="1"/>
  <c r="R187" i="1" s="1"/>
  <c r="R230" i="1" a="1"/>
  <c r="R230" i="1" s="1"/>
  <c r="R37" i="1" a="1"/>
  <c r="R37" i="1" s="1"/>
  <c r="R138" i="1" a="1"/>
  <c r="R138" i="1" s="1"/>
  <c r="R198" i="1" a="1"/>
  <c r="R198" i="1" s="1"/>
  <c r="R305" i="1" a="1"/>
  <c r="R305" i="1" s="1"/>
  <c r="R38" i="1" a="1"/>
  <c r="R38" i="1" s="1"/>
  <c r="R90" i="1" a="1"/>
  <c r="R90" i="1" s="1"/>
  <c r="R31" i="1" a="1"/>
  <c r="R31" i="1" s="1"/>
  <c r="R135" i="1" a="1"/>
  <c r="R135" i="1" s="1"/>
  <c r="R131" i="1" a="1"/>
  <c r="R131" i="1" s="1"/>
  <c r="R59" i="1" a="1"/>
  <c r="R59" i="1" s="1"/>
  <c r="R346" i="1" a="1"/>
  <c r="R346" i="1" s="1"/>
  <c r="R313" i="1" a="1"/>
  <c r="R313" i="1" s="1"/>
  <c r="R13" i="1" a="1"/>
  <c r="R13" i="1" s="1"/>
  <c r="R240" i="1" a="1"/>
  <c r="R240" i="1" s="1"/>
  <c r="R207" i="1" a="1"/>
  <c r="R207" i="1" s="1"/>
  <c r="R194" i="1" a="1"/>
  <c r="R194" i="1" s="1"/>
  <c r="R161" i="1" a="1"/>
  <c r="R161" i="1" s="1"/>
  <c r="R365" i="1" a="1"/>
  <c r="R365" i="1" s="1"/>
  <c r="R296" i="1" a="1"/>
  <c r="R296" i="1" s="1"/>
  <c r="R124" i="1" a="1"/>
  <c r="R124" i="1" s="1"/>
  <c r="R326" i="1" a="1"/>
  <c r="R326" i="1" s="1"/>
  <c r="R220" i="1" a="1"/>
  <c r="R220" i="1" s="1"/>
  <c r="R141" i="1" a="1"/>
  <c r="R141" i="1" s="1"/>
  <c r="R289" i="1" a="1"/>
  <c r="R289" i="1" s="1"/>
  <c r="R215" i="1" a="1"/>
  <c r="R215" i="1" s="1"/>
  <c r="R56" i="1" a="1"/>
  <c r="R56" i="1" s="1"/>
  <c r="R30" i="1" a="1"/>
  <c r="R30" i="1" s="1"/>
  <c r="R157" i="1" a="1"/>
  <c r="R157" i="1" s="1"/>
  <c r="R77" i="1" a="1"/>
  <c r="R77" i="1" s="1"/>
  <c r="R182" i="1" a="1"/>
  <c r="R182" i="1" s="1"/>
  <c r="R151" i="1" a="1"/>
  <c r="R151" i="1" s="1"/>
  <c r="R179" i="1" a="1"/>
  <c r="R179" i="1" s="1"/>
  <c r="R366" i="1" a="1"/>
  <c r="R366" i="1" s="1"/>
  <c r="R333" i="1" a="1"/>
  <c r="R333" i="1" s="1"/>
  <c r="R53" i="1" a="1"/>
  <c r="R53" i="1" s="1"/>
  <c r="R260" i="1" a="1"/>
  <c r="R260" i="1" s="1"/>
  <c r="R227" i="1" a="1"/>
  <c r="R227" i="1" s="1"/>
  <c r="R214" i="1" a="1"/>
  <c r="R214" i="1" s="1"/>
  <c r="R181" i="1" a="1"/>
  <c r="R181" i="1" s="1"/>
  <c r="R176" i="1" a="1"/>
  <c r="R176" i="1" s="1"/>
  <c r="R189" i="1" a="1"/>
  <c r="R189" i="1" s="1"/>
  <c r="R357" i="1" a="1"/>
  <c r="R357" i="1" s="1"/>
  <c r="R4" i="1" a="1"/>
  <c r="R4" i="1" s="1"/>
  <c r="R392" i="1" a="1"/>
  <c r="R392" i="1" s="1"/>
  <c r="R26" i="1" a="1"/>
  <c r="R26" i="1" s="1"/>
  <c r="R174" i="1" a="1"/>
  <c r="R174" i="1" s="1"/>
  <c r="R116" i="1" a="1"/>
  <c r="R116" i="1" s="1"/>
  <c r="R63" i="1" a="1"/>
  <c r="R63" i="1" s="1"/>
  <c r="R144" i="1" a="1"/>
  <c r="R144" i="1" s="1"/>
  <c r="R64" i="1" a="1"/>
  <c r="R64" i="1" s="1"/>
  <c r="R256" i="1" a="1"/>
  <c r="R256" i="1" s="1"/>
  <c r="R358" i="1" a="1"/>
  <c r="R358" i="1" s="1"/>
  <c r="R155" i="1" a="1"/>
  <c r="R155" i="1" s="1"/>
  <c r="R24" i="1" a="1"/>
  <c r="R24" i="1" s="1"/>
  <c r="R364" i="1" a="1"/>
  <c r="R364" i="1" s="1"/>
  <c r="R149" i="1" a="1"/>
  <c r="R149" i="1" s="1"/>
  <c r="R83" i="1" a="1"/>
  <c r="R83" i="1" s="1"/>
  <c r="R337" i="1" a="1"/>
  <c r="R337" i="1" s="1"/>
  <c r="R310" i="1" a="1"/>
  <c r="R310" i="1" s="1"/>
  <c r="R218" i="1" a="1"/>
  <c r="R218" i="1" s="1"/>
  <c r="R376" i="1" a="1"/>
  <c r="R376" i="1" s="1"/>
  <c r="R96" i="1" a="1"/>
  <c r="R96" i="1" s="1"/>
  <c r="R210" i="1" a="1"/>
  <c r="R210" i="1" s="1"/>
  <c r="R171" i="1" a="1"/>
  <c r="R171" i="1" s="1"/>
  <c r="R259" i="1" a="1"/>
  <c r="R259" i="1" s="1"/>
  <c r="R386" i="1" a="1"/>
  <c r="R386" i="1" s="1"/>
  <c r="R353" i="1" a="1"/>
  <c r="R353" i="1" s="1"/>
  <c r="R73" i="1" a="1"/>
  <c r="R73" i="1" s="1"/>
  <c r="R280" i="1" a="1"/>
  <c r="R280" i="1" s="1"/>
  <c r="R247" i="1" a="1"/>
  <c r="R247" i="1" s="1"/>
  <c r="R234" i="1" a="1"/>
  <c r="R234" i="1" s="1"/>
  <c r="R201" i="1" a="1"/>
  <c r="R201" i="1" s="1"/>
  <c r="R319" i="1" a="1"/>
  <c r="R319" i="1" s="1"/>
  <c r="R300" i="1" a="1"/>
  <c r="R300" i="1" s="1"/>
  <c r="R196" i="1" a="1"/>
  <c r="R196" i="1" s="1"/>
  <c r="R104" i="1" a="1"/>
  <c r="R104" i="1" s="1"/>
  <c r="R229" i="1" a="1"/>
  <c r="R229" i="1" s="1"/>
  <c r="R277" i="1" a="1"/>
  <c r="R277" i="1" s="1"/>
  <c r="R211" i="1" a="1"/>
  <c r="R211" i="1" s="1"/>
  <c r="R379" i="1" a="1"/>
  <c r="R379" i="1" s="1"/>
  <c r="R132" i="1" a="1"/>
  <c r="R132" i="1" s="1"/>
  <c r="R12" i="1" a="1"/>
  <c r="R12" i="1" s="1"/>
  <c r="R153" i="1" a="1"/>
  <c r="R153" i="1" s="1"/>
  <c r="R320" i="1" a="1"/>
  <c r="R320" i="1" s="1"/>
  <c r="R287" i="1" a="1"/>
  <c r="R287" i="1" s="1"/>
  <c r="R274" i="1" a="1"/>
  <c r="R274" i="1" s="1"/>
  <c r="R241" i="1" a="1"/>
  <c r="R241" i="1" s="1"/>
  <c r="R278" i="1" a="1"/>
  <c r="R278" i="1" s="1"/>
  <c r="R5" i="1" a="1"/>
  <c r="R5" i="1" s="1"/>
  <c r="R243" i="1" a="1"/>
  <c r="R243" i="1" s="1"/>
  <c r="R263" i="1" a="1"/>
  <c r="R263" i="1" s="1"/>
  <c r="R336" i="1" a="1"/>
  <c r="R336" i="1" s="1"/>
  <c r="R17" i="1" a="1"/>
  <c r="R17" i="1" s="1"/>
  <c r="R10" i="1" a="1"/>
  <c r="R10" i="1" s="1"/>
  <c r="R190" i="1" a="1"/>
  <c r="R190" i="1" s="1"/>
  <c r="R255" i="1" a="1"/>
  <c r="R255" i="1" s="1"/>
  <c r="R238" i="1" a="1"/>
  <c r="R238" i="1" s="1"/>
  <c r="R318" i="1" a="1"/>
  <c r="R318" i="1" s="1"/>
  <c r="R231" i="1" a="1"/>
  <c r="R231" i="1" s="1"/>
  <c r="R6" i="1" a="1"/>
  <c r="R6" i="1" s="1"/>
  <c r="R252" i="1" a="1"/>
  <c r="R252" i="1" s="1"/>
  <c r="R52" i="1" a="1"/>
  <c r="R52" i="1" s="1"/>
  <c r="R193" i="1" a="1"/>
  <c r="R193" i="1" s="1"/>
  <c r="R340" i="1" a="1"/>
  <c r="R340" i="1" s="1"/>
  <c r="R307" i="1" a="1"/>
  <c r="R307" i="1" s="1"/>
  <c r="R294" i="1" a="1"/>
  <c r="R294" i="1" s="1"/>
  <c r="R261" i="1" a="1"/>
  <c r="R261" i="1" s="1"/>
  <c r="R281" i="1" a="1"/>
  <c r="R281" i="1" s="1"/>
  <c r="R268" i="1" a="1"/>
  <c r="R268" i="1" s="1"/>
  <c r="R267" i="1" a="1"/>
  <c r="R267" i="1" s="1"/>
  <c r="R8" i="1" a="1"/>
  <c r="R8" i="1" s="1"/>
  <c r="R323" i="1" a="1"/>
  <c r="R323" i="1" s="1"/>
  <c r="R324" i="1" a="1"/>
  <c r="R324" i="1" s="1"/>
  <c r="R350" i="1" a="1"/>
  <c r="R350" i="1" s="1"/>
  <c r="R332" i="1" a="1"/>
  <c r="R332" i="1" s="1"/>
  <c r="R327" i="1" a="1"/>
  <c r="R327" i="1" s="1"/>
  <c r="R18" i="1" a="1"/>
  <c r="R18" i="1" s="1"/>
  <c r="R55" i="1" a="1"/>
  <c r="R55" i="1" s="1"/>
  <c r="R288" i="1" a="1"/>
  <c r="R288" i="1" s="1"/>
  <c r="R19" i="1" a="1"/>
  <c r="R19" i="1" s="1"/>
  <c r="R172" i="1" a="1"/>
  <c r="R172" i="1" s="1"/>
  <c r="R273" i="1" a="1"/>
  <c r="R273" i="1" s="1"/>
  <c r="R380" i="1" a="1"/>
  <c r="R380" i="1" s="1"/>
  <c r="R347" i="1" a="1"/>
  <c r="R347" i="1" s="1"/>
  <c r="R334" i="1" a="1"/>
  <c r="R334" i="1" s="1"/>
  <c r="R301" i="1" a="1"/>
  <c r="R301" i="1" s="1"/>
  <c r="R82" i="1" a="1"/>
  <c r="R82" i="1" s="1"/>
  <c r="R32" i="1" a="1"/>
  <c r="R32" i="1" s="1"/>
  <c r="R254" i="1" a="1"/>
  <c r="R254" i="1" s="1"/>
  <c r="R216" i="1" a="1"/>
  <c r="R216" i="1" s="1"/>
  <c r="R69" i="1" a="1"/>
  <c r="R69" i="1" s="1"/>
  <c r="R236" i="1" a="1"/>
  <c r="R236" i="1" s="1"/>
  <c r="R248" i="1" a="1"/>
  <c r="R248" i="1" s="1"/>
  <c r="R297" i="1" a="1"/>
  <c r="R297" i="1" s="1"/>
  <c r="R66" i="1" a="1"/>
  <c r="R66" i="1" s="1"/>
  <c r="R233" i="1" a="1"/>
  <c r="R233" i="1" s="1"/>
  <c r="R314" i="1" a="1"/>
  <c r="R314" i="1" s="1"/>
  <c r="R269" i="1" a="1"/>
  <c r="R269" i="1" s="1"/>
  <c r="R283" i="1" a="1"/>
  <c r="R283" i="1" s="1"/>
  <c r="R257" i="1" a="1"/>
  <c r="R257" i="1" s="1"/>
  <c r="R75" i="1" a="1"/>
  <c r="R75" i="1" s="1"/>
  <c r="R271" i="1" a="1"/>
  <c r="R271" i="1" s="1"/>
  <c r="R298" i="1" a="1"/>
  <c r="R298" i="1" s="1"/>
  <c r="R156" i="1" a="1"/>
  <c r="R156" i="1" s="1"/>
  <c r="R28" i="1" a="1"/>
  <c r="R28" i="1" s="1"/>
  <c r="R389" i="1" a="1"/>
  <c r="R389" i="1" s="1"/>
  <c r="R65" i="1" a="1"/>
  <c r="R65" i="1" s="1"/>
  <c r="R130" i="1" a="1"/>
  <c r="R130" i="1" s="1"/>
  <c r="R122" i="1" a="1"/>
  <c r="R122" i="1" s="1"/>
  <c r="R285" i="1" a="1"/>
  <c r="R285" i="1" s="1"/>
  <c r="R169" i="1" a="1"/>
  <c r="R169" i="1" s="1"/>
  <c r="R382" i="1" a="1"/>
  <c r="R382" i="1" s="1"/>
  <c r="R308" i="1" a="1"/>
  <c r="R308" i="1" s="1"/>
  <c r="R291" i="1" a="1"/>
  <c r="R291" i="1" s="1"/>
  <c r="R106" i="1" a="1"/>
  <c r="R106" i="1" s="1"/>
  <c r="R79" i="1" a="1"/>
  <c r="R79" i="1" s="1"/>
  <c r="R212" i="1" a="1"/>
  <c r="R212" i="1" s="1"/>
  <c r="R373" i="1" a="1"/>
  <c r="R373" i="1" s="1"/>
  <c r="R372" i="1" a="1"/>
  <c r="R372" i="1" s="1"/>
  <c r="R367" i="1" a="1"/>
  <c r="R367" i="1" s="1"/>
  <c r="R354" i="1" a="1"/>
  <c r="R354" i="1" s="1"/>
  <c r="R321" i="1" a="1"/>
  <c r="R321" i="1" s="1"/>
  <c r="R191" i="1" a="1"/>
  <c r="R191" i="1" s="1"/>
  <c r="R113" i="1" a="1"/>
  <c r="R113" i="1" s="1"/>
  <c r="R362" i="1" a="1"/>
  <c r="R362" i="1" s="1"/>
  <c r="R137" i="1" a="1"/>
  <c r="R137" i="1" s="1"/>
  <c r="R303" i="1" a="1"/>
  <c r="R303" i="1" s="1"/>
  <c r="R343" i="1" a="1"/>
  <c r="R343" i="1" s="1"/>
  <c r="R29" i="1" a="1"/>
  <c r="R29" i="1" s="1"/>
  <c r="R251" i="1" a="1"/>
  <c r="R251" i="1" s="1"/>
  <c r="R92" i="1" a="1"/>
  <c r="R92" i="1" s="1"/>
  <c r="R360" i="1" a="1"/>
  <c r="R360" i="1" s="1"/>
  <c r="R125" i="1" a="1"/>
  <c r="R125" i="1" s="1"/>
  <c r="R377" i="1" a="1"/>
  <c r="R377" i="1" s="1"/>
  <c r="R178" i="1" a="1"/>
  <c r="R178" i="1" s="1"/>
  <c r="R329" i="1" a="1"/>
  <c r="R329" i="1" s="1"/>
  <c r="R86" i="1" a="1"/>
  <c r="R86" i="1" s="1"/>
  <c r="R136" i="1" a="1"/>
  <c r="R136" i="1" s="1"/>
  <c r="R165" i="1" a="1"/>
  <c r="R165" i="1" s="1"/>
  <c r="R45" i="1" a="1"/>
  <c r="R45" i="1" s="1"/>
  <c r="R43" i="1" a="1"/>
  <c r="R43" i="1" s="1"/>
  <c r="R208" i="1" a="1"/>
  <c r="R208" i="1" s="1"/>
  <c r="R345" i="1" a="1"/>
  <c r="R345" i="1" s="1"/>
  <c r="R245" i="1" a="1"/>
  <c r="R245" i="1" s="1"/>
  <c r="R338" i="1" a="1"/>
  <c r="R338" i="1" s="1"/>
  <c r="R48" i="1" a="1"/>
  <c r="R48" i="1" s="1"/>
  <c r="R342" i="1" a="1"/>
  <c r="R342" i="1" s="1"/>
  <c r="R328" i="1" a="1"/>
  <c r="R328" i="1" s="1"/>
  <c r="R311" i="1" a="1"/>
  <c r="R311" i="1" s="1"/>
  <c r="R126" i="1" a="1"/>
  <c r="R126" i="1" s="1"/>
  <c r="R119" i="1" a="1"/>
  <c r="R119" i="1" s="1"/>
  <c r="R272" i="1" a="1"/>
  <c r="R272" i="1" s="1"/>
  <c r="R20" i="1" a="1"/>
  <c r="R20" i="1" s="1"/>
  <c r="R359" i="1" a="1"/>
  <c r="R359" i="1" s="1"/>
  <c r="R387" i="1" a="1"/>
  <c r="R387" i="1" s="1"/>
  <c r="R374" i="1" a="1"/>
  <c r="R374" i="1" s="1"/>
  <c r="R341" i="1" a="1"/>
  <c r="R341" i="1" s="1"/>
  <c r="R393" i="1" a="1"/>
  <c r="R393" i="1" s="1"/>
  <c r="R330" i="1" a="1"/>
  <c r="R330" i="1" s="1"/>
  <c r="R188" i="1" a="1"/>
  <c r="R188" i="1" s="1"/>
  <c r="R97" i="1" a="1"/>
  <c r="R97" i="1" s="1"/>
  <c r="R110" i="1" a="1"/>
  <c r="R110" i="1" s="1"/>
  <c r="R264" i="1" a="1"/>
  <c r="R264" i="1" s="1"/>
  <c r="R209" i="1" a="1"/>
  <c r="R209" i="1" s="1"/>
  <c r="R370" i="1" a="1"/>
  <c r="R370" i="1" s="1"/>
  <c r="R150" i="1" a="1"/>
  <c r="R150" i="1" s="1"/>
  <c r="R322" i="1" a="1"/>
  <c r="R322" i="1" s="1"/>
  <c r="R348" i="1" a="1"/>
  <c r="R348" i="1" s="1"/>
  <c r="R331" i="1" a="1"/>
  <c r="R331" i="1" s="1"/>
  <c r="R146" i="1" a="1"/>
  <c r="R146" i="1" s="1"/>
  <c r="R159" i="1" a="1"/>
  <c r="R159" i="1" s="1"/>
  <c r="R312" i="1" a="1"/>
  <c r="R312" i="1" s="1"/>
  <c r="R40" i="1" a="1"/>
  <c r="R40" i="1" s="1"/>
  <c r="R7" i="1" a="1"/>
  <c r="R7" i="1" s="1"/>
  <c r="R139" i="1" a="1"/>
  <c r="R139" i="1" s="1"/>
  <c r="R394" i="1" a="1"/>
  <c r="R394" i="1" s="1"/>
  <c r="R361" i="1" a="1"/>
  <c r="R361" i="1" s="1"/>
  <c r="R143" i="1" a="1"/>
  <c r="R143" i="1" s="1"/>
  <c r="R221" i="1" a="1"/>
  <c r="R221" i="1" s="1"/>
  <c r="R225" i="1" a="1"/>
  <c r="R225" i="1" s="1"/>
  <c r="R183" i="1" a="1"/>
  <c r="R183" i="1" s="1"/>
  <c r="R118" i="1" a="1"/>
  <c r="R118" i="1" s="1"/>
  <c r="R117" i="1" a="1"/>
  <c r="R117" i="1" s="1"/>
  <c r="R304" i="1" a="1"/>
  <c r="R304" i="1" s="1"/>
  <c r="R309" i="1" a="1"/>
  <c r="R309" i="1" s="1"/>
  <c r="R204" i="1" a="1"/>
  <c r="R204" i="1" s="1"/>
  <c r="R168" i="1" a="1"/>
  <c r="R168" i="1" s="1"/>
  <c r="R175" i="1" a="1"/>
  <c r="R175" i="1" s="1"/>
  <c r="R316" i="1" a="1"/>
  <c r="R316" i="1" s="1"/>
  <c r="R3" i="1" a="1"/>
  <c r="R3" i="1" s="1"/>
  <c r="R276" i="1" a="1"/>
  <c r="R276" i="1" s="1"/>
  <c r="R16" i="1" a="1"/>
  <c r="R16" i="1" s="1"/>
  <c r="R275" i="1" a="1"/>
  <c r="R275" i="1" s="1"/>
  <c r="R36" i="1" a="1"/>
  <c r="R36" i="1" s="1"/>
  <c r="R368" i="1" a="1"/>
  <c r="R368" i="1" s="1"/>
  <c r="R351" i="1" a="1"/>
  <c r="R351" i="1" s="1"/>
  <c r="R166" i="1" a="1"/>
  <c r="R166" i="1" s="1"/>
  <c r="R219" i="1" a="1"/>
  <c r="R219" i="1" s="1"/>
  <c r="R352" i="1" a="1"/>
  <c r="R352" i="1" s="1"/>
  <c r="R60" i="1" a="1"/>
  <c r="R60" i="1" s="1"/>
  <c r="R27" i="1" a="1"/>
  <c r="R27" i="1" s="1"/>
  <c r="R14" i="1" a="1"/>
  <c r="R14" i="1" s="1"/>
  <c r="R112" i="1" a="1"/>
  <c r="R112" i="1" s="1"/>
  <c r="R2" i="1" a="1"/>
  <c r="R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<sst xmlns="http://schemas.openxmlformats.org/spreadsheetml/2006/main" count="5116" uniqueCount="949">
  <si>
    <t>Tick</t>
  </si>
  <si>
    <t>Prefix</t>
  </si>
  <si>
    <t>bond</t>
  </si>
  <si>
    <t>Lodged Bonds</t>
  </si>
  <si>
    <t>n</t>
  </si>
  <si>
    <t>,d</t>
  </si>
  <si>
    <t>Active Bonds</t>
  </si>
  <si>
    <t>Closed Bonds</t>
  </si>
  <si>
    <t>Median Rent</t>
  </si>
  <si>
    <t>Rent</t>
  </si>
  <si>
    <t>$</t>
  </si>
  <si>
    <t>Geometric Mean Rent</t>
  </si>
  <si>
    <t>Upper Quartile Rent</t>
  </si>
  <si>
    <t>Lower Quartile Rent</t>
  </si>
  <si>
    <t>Log Std Dev Weekly Rent</t>
  </si>
  <si>
    <t>hm14</t>
  </si>
  <si>
    <t>SOE.Q.E100.na</t>
  </si>
  <si>
    <t>Perception of monetary conditions (net) - End of current quarter</t>
  </si>
  <si>
    <t>Perception of monetary conditions (net)</t>
  </si>
  <si>
    <t>%</t>
  </si>
  <si>
    <t>Total %</t>
  </si>
  <si>
    <t>.2f</t>
  </si>
  <si>
    <t>SOE.Q.E101.na</t>
  </si>
  <si>
    <t>Perception of monetary conditions (net) - Next quarter</t>
  </si>
  <si>
    <t>SOE.Q.E102.na</t>
  </si>
  <si>
    <t>Perception of monetary conditions (net) - 1 year out</t>
  </si>
  <si>
    <t>SOE.Q.E210.na</t>
  </si>
  <si>
    <t>Annual CPI growth - 1 year out</t>
  </si>
  <si>
    <t>Annual CPI growth</t>
  </si>
  <si>
    <t>SOE.Q.E215.na</t>
  </si>
  <si>
    <t>Annual CPI growth - 2 years out</t>
  </si>
  <si>
    <t>SOE.Q.E220.na</t>
  </si>
  <si>
    <t>Annual CPI growth - 5 years out</t>
  </si>
  <si>
    <t>SOE.Q.E230.na</t>
  </si>
  <si>
    <t>Annual CPI growth - 10 years out</t>
  </si>
  <si>
    <t>SOE.Q.E350.na</t>
  </si>
  <si>
    <t>Official Cash Rate (OCR) - End of current quarter</t>
  </si>
  <si>
    <t>Official Cash Rate (OCR)</t>
  </si>
  <si>
    <t>%pa</t>
  </si>
  <si>
    <t>SOE.Q.E351.na</t>
  </si>
  <si>
    <t>Official Cash Rate (OCR) - 1 year out</t>
  </si>
  <si>
    <t>SOE.Q.E353.na</t>
  </si>
  <si>
    <t>Official Cash Rate (OCR) - 10 years out</t>
  </si>
  <si>
    <t>SOE.Q.E356.na</t>
  </si>
  <si>
    <t>Official Cash Rate (OCR) - 10 year average</t>
  </si>
  <si>
    <t>SOE.Q.E310.na</t>
  </si>
  <si>
    <t>10 year government bond yields - End of current quarter</t>
  </si>
  <si>
    <t>10 year government bond yields</t>
  </si>
  <si>
    <t>SOE.Q.E311.na</t>
  </si>
  <si>
    <t>10 year government bond yields - 1 year out</t>
  </si>
  <si>
    <t>SOE.Q.E402.ra</t>
  </si>
  <si>
    <t>Annual GDP growth - 1 year out</t>
  </si>
  <si>
    <t>Annual GDP growth</t>
  </si>
  <si>
    <t>SOE.Q.E403.ra</t>
  </si>
  <si>
    <t>Annual GDP growth - 2 years out</t>
  </si>
  <si>
    <t>SOE.Q.E460.na</t>
  </si>
  <si>
    <t>Annual hourly wage growth - 1 year out</t>
  </si>
  <si>
    <t>Annual hourly wage growth</t>
  </si>
  <si>
    <t>SOE.Q.E461.na</t>
  </si>
  <si>
    <t>Annual hourly wage growth - 2 years out</t>
  </si>
  <si>
    <t>SOE.Q.E470.na</t>
  </si>
  <si>
    <t>Unemployment rate - 1 year out</t>
  </si>
  <si>
    <t>Unemployment rate</t>
  </si>
  <si>
    <t>SOE.Q.E471.na</t>
  </si>
  <si>
    <t>Unemployment rate - 2 years out</t>
  </si>
  <si>
    <t>SOE.Q.E320.na</t>
  </si>
  <si>
    <t>US dollar exchange rate - Next quarter</t>
  </si>
  <si>
    <t>US dollar exchange rate</t>
  </si>
  <si>
    <t>NZD/USD</t>
  </si>
  <si>
    <t>SOE.Q.E321.na</t>
  </si>
  <si>
    <t>US dollar exchange rate - 1 year out</t>
  </si>
  <si>
    <t>SOE.Q.E330.na</t>
  </si>
  <si>
    <t>Australian dollar exchange rate - Next quarter</t>
  </si>
  <si>
    <t>Australian dollar exchange rate</t>
  </si>
  <si>
    <t>NZD/AUD</t>
  </si>
  <si>
    <t>SOE.Q.E331.na</t>
  </si>
  <si>
    <t>Australian dollar exchange rate - 1 year out</t>
  </si>
  <si>
    <t>SOE.Q.E480.na</t>
  </si>
  <si>
    <t>House price index - 1 year out</t>
  </si>
  <si>
    <t>House price index</t>
  </si>
  <si>
    <t>SOE.Q.E481.na</t>
  </si>
  <si>
    <t>House price index - 2 years out</t>
  </si>
  <si>
    <t>Dataset</t>
  </si>
  <si>
    <t>DatasetColumn</t>
  </si>
  <si>
    <t>ColumnName</t>
  </si>
  <si>
    <t>Category_1</t>
  </si>
  <si>
    <t>Category_2</t>
  </si>
  <si>
    <t>Flow</t>
  </si>
  <si>
    <t>-</t>
  </si>
  <si>
    <t>Level_1</t>
  </si>
  <si>
    <t>Level_2</t>
  </si>
  <si>
    <t>Dim_Group</t>
  </si>
  <si>
    <t>Dim_Label</t>
  </si>
  <si>
    <t>Level_1_Order</t>
  </si>
  <si>
    <t>Series_1</t>
  </si>
  <si>
    <t>Series_2</t>
  </si>
  <si>
    <t>Stack</t>
  </si>
  <si>
    <t>Row</t>
  </si>
  <si>
    <t>Rollup</t>
  </si>
  <si>
    <t>Sum</t>
  </si>
  <si>
    <t>Change in Bonds</t>
  </si>
  <si>
    <t>Bonds</t>
  </si>
  <si>
    <t>hb1</t>
  </si>
  <si>
    <t>EXRT.DS41.NZB17</t>
  </si>
  <si>
    <t>17 currency basket</t>
  </si>
  <si>
    <t>Index</t>
  </si>
  <si>
    <t>TWI</t>
  </si>
  <si>
    <t>.0f</t>
  </si>
  <si>
    <t>EXR.DS11.D06</t>
  </si>
  <si>
    <t>United States dollar</t>
  </si>
  <si>
    <t>Exchange rates (quoted per NZ$)</t>
  </si>
  <si>
    <t>NZD to $USD</t>
  </si>
  <si>
    <t>EXR.DS11.D04</t>
  </si>
  <si>
    <t>UK pound sterling</t>
  </si>
  <si>
    <t>NZD/GBP</t>
  </si>
  <si>
    <t>NZD to Â£GBP</t>
  </si>
  <si>
    <t>Â£</t>
  </si>
  <si>
    <t>EXR.DS11.D01</t>
  </si>
  <si>
    <t>Australian dollar</t>
  </si>
  <si>
    <t>NZD to $AUD</t>
  </si>
  <si>
    <t>EXR.DS11.D05</t>
  </si>
  <si>
    <t>Japanese yen</t>
  </si>
  <si>
    <t>NZD/JPY</t>
  </si>
  <si>
    <t>NZD to Â¥JPY</t>
  </si>
  <si>
    <t>Â¥</t>
  </si>
  <si>
    <t>EXR.DS11.D03</t>
  </si>
  <si>
    <t>European euro</t>
  </si>
  <si>
    <t>NZD/EUR</t>
  </si>
  <si>
    <t>NZD to â‚¬EUR</t>
  </si>
  <si>
    <t>â‚¬</t>
  </si>
  <si>
    <t>EXR.DS11.D02</t>
  </si>
  <si>
    <t>Canadian dollar</t>
  </si>
  <si>
    <t>NZD/CAD</t>
  </si>
  <si>
    <t>NZD to $CAD</t>
  </si>
  <si>
    <t>EXR.DS11.D12</t>
  </si>
  <si>
    <t>South Korean won</t>
  </si>
  <si>
    <t>NZD/KRW</t>
  </si>
  <si>
    <t>NZD to â‚©KRW</t>
  </si>
  <si>
    <t>â‚©</t>
  </si>
  <si>
    <t>EXR.DS11.D11</t>
  </si>
  <si>
    <t>Chinese renminbi</t>
  </si>
  <si>
    <t>NZD/CNY</t>
  </si>
  <si>
    <t>NZD to Â¥CNY</t>
  </si>
  <si>
    <t>EXR.DS11.D14</t>
  </si>
  <si>
    <t>Malaysian ringgit</t>
  </si>
  <si>
    <t>NZD/MYR</t>
  </si>
  <si>
    <t>NZD to RM</t>
  </si>
  <si>
    <t>RM</t>
  </si>
  <si>
    <t>EXR.DS11.D08</t>
  </si>
  <si>
    <t>Hong Kong dollar</t>
  </si>
  <si>
    <t>NZD/HKD</t>
  </si>
  <si>
    <t>NZD to $HK</t>
  </si>
  <si>
    <t>EXR.DS11.D13</t>
  </si>
  <si>
    <t>Indonesian rupiah</t>
  </si>
  <si>
    <t>NZD/IDR</t>
  </si>
  <si>
    <t>NZD to p (IDR)</t>
  </si>
  <si>
    <t>p</t>
  </si>
  <si>
    <t>EXR.DS11.D15</t>
  </si>
  <si>
    <t>Thai baht</t>
  </si>
  <si>
    <t>NZD/THB</t>
  </si>
  <si>
    <t>NZD to B (THB)</t>
  </si>
  <si>
    <t>B</t>
  </si>
  <si>
    <t>EXR.DS11.D09</t>
  </si>
  <si>
    <t>Singapore dollar</t>
  </si>
  <si>
    <t>NZD/SGD</t>
  </si>
  <si>
    <t>NZD to $SGD</t>
  </si>
  <si>
    <t>EXR.DS11.D16</t>
  </si>
  <si>
    <t>New Taiwan dollar</t>
  </si>
  <si>
    <t>NZD/TWD</t>
  </si>
  <si>
    <t>NZD to $NT</t>
  </si>
  <si>
    <t>EXR.DS11.D31</t>
  </si>
  <si>
    <t>Indian rupee</t>
  </si>
  <si>
    <t>NZD/INR</t>
  </si>
  <si>
    <t>NZD to â‚¹INR</t>
  </si>
  <si>
    <t>â‚¹</t>
  </si>
  <si>
    <t>EXR.DS11.D32</t>
  </si>
  <si>
    <t>Philippine peso</t>
  </si>
  <si>
    <t>NZD/PHP</t>
  </si>
  <si>
    <t>NZD to â‚±PHP</t>
  </si>
  <si>
    <t>â‚±</t>
  </si>
  <si>
    <t>EXR.DS11.D33</t>
  </si>
  <si>
    <t>Vietnamese dong</t>
  </si>
  <si>
    <t>NZD/VND</t>
  </si>
  <si>
    <t>NZD to â‚«VND</t>
  </si>
  <si>
    <t>â‚«</t>
  </si>
  <si>
    <t>EXRT.DS41.N</t>
  </si>
  <si>
    <t>Base June 1979=100</t>
  </si>
  <si>
    <t>Index Historic</t>
  </si>
  <si>
    <t>Historical TWI</t>
  </si>
  <si>
    <t>TWI (H)</t>
  </si>
  <si>
    <t>hb2</t>
  </si>
  <si>
    <t>INM.DP1.N</t>
  </si>
  <si>
    <t>OCR</t>
  </si>
  <si>
    <t>NA</t>
  </si>
  <si>
    <t>.1f</t>
  </si>
  <si>
    <t>INM.DG101.NZZCF</t>
  </si>
  <si>
    <t>1 year (bond)</t>
  </si>
  <si>
    <t>Secondary market government bond closing yields</t>
  </si>
  <si>
    <t>1 year</t>
  </si>
  <si>
    <t>INM.DG102.NZZCF</t>
  </si>
  <si>
    <t>2 year (bond)</t>
  </si>
  <si>
    <t>2 year</t>
  </si>
  <si>
    <t>INM.DG105.NZZCF</t>
  </si>
  <si>
    <t>5 year (bond)</t>
  </si>
  <si>
    <t>5 year</t>
  </si>
  <si>
    <t>INM.DG110.NZZCF</t>
  </si>
  <si>
    <t>10 year (bond)</t>
  </si>
  <si>
    <t>10 year</t>
  </si>
  <si>
    <t>INM.DS01.NZZC</t>
  </si>
  <si>
    <t>1 year (swap)</t>
  </si>
  <si>
    <t>Swap rates close</t>
  </si>
  <si>
    <t>INM.DS02.NZZC</t>
  </si>
  <si>
    <t>2 year (swap)</t>
  </si>
  <si>
    <t>INM.DS05.NZZC</t>
  </si>
  <si>
    <t>5 year (swap)</t>
  </si>
  <si>
    <t>INM.DS10.NZZC</t>
  </si>
  <si>
    <t>10 year (swap)</t>
  </si>
  <si>
    <t>INM.DS61.NZZC</t>
  </si>
  <si>
    <t>Spread 2-10 year</t>
  </si>
  <si>
    <t>bps</t>
  </si>
  <si>
    <t>hc35</t>
  </si>
  <si>
    <t>LVRP.QME1.A</t>
  </si>
  <si>
    <t>Opening position</t>
  </si>
  <si>
    <t>Total</t>
  </si>
  <si>
    <t>NZDm</t>
  </si>
  <si>
    <t>LVRP.QME31.A</t>
  </si>
  <si>
    <t>Drawdowns</t>
  </si>
  <si>
    <t>LVRP.QME32.A</t>
  </si>
  <si>
    <t>Interest charged</t>
  </si>
  <si>
    <t>LVRP.QME33.A</t>
  </si>
  <si>
    <t>Scheduled repayments</t>
  </si>
  <si>
    <t>LVRP.QME34.A</t>
  </si>
  <si>
    <t>Repayment of loan in full</t>
  </si>
  <si>
    <t>LVRP.QME35.A</t>
  </si>
  <si>
    <t>Other excess repayments</t>
  </si>
  <si>
    <t>LVRP.QME36.A</t>
  </si>
  <si>
    <t>Repayment deficiencies</t>
  </si>
  <si>
    <t>LVRP.QME37.A</t>
  </si>
  <si>
    <t>Net write-offs</t>
  </si>
  <si>
    <t>LVRP.QME38.A</t>
  </si>
  <si>
    <t>Other adjustments</t>
  </si>
  <si>
    <t>LVRP.QME1.B</t>
  </si>
  <si>
    <t>&gt;80% LVR</t>
  </si>
  <si>
    <t>Breakdown</t>
  </si>
  <si>
    <t>LVRP.QME31.B</t>
  </si>
  <si>
    <t>LVRP.QME32.B</t>
  </si>
  <si>
    <t>LVRP.QME33.B</t>
  </si>
  <si>
    <t>LVRP.QME34.B</t>
  </si>
  <si>
    <t>LVRP.QME35.B</t>
  </si>
  <si>
    <t>Other excess repayment</t>
  </si>
  <si>
    <t>LVRP.QME36.B</t>
  </si>
  <si>
    <t>LVRP.QME37.B</t>
  </si>
  <si>
    <t>LVRP.QME38.B</t>
  </si>
  <si>
    <t>LVRP.QME1.C</t>
  </si>
  <si>
    <t>&lt;=80% LVR</t>
  </si>
  <si>
    <t>LVRP.QME31.C</t>
  </si>
  <si>
    <t>LVRP.QME32.C</t>
  </si>
  <si>
    <t>LVRP.QME33.C</t>
  </si>
  <si>
    <t>LVRP.QME34.C</t>
  </si>
  <si>
    <t>LVRP.QME35.C</t>
  </si>
  <si>
    <t>LVRP.QME36.C</t>
  </si>
  <si>
    <t>LVRP.QME37.C</t>
  </si>
  <si>
    <t>LVRP.QME38.C</t>
  </si>
  <si>
    <t>hm1</t>
  </si>
  <si>
    <t>CPI.Q.C.ia</t>
  </si>
  <si>
    <t>Consumers price index (CPI)</t>
  </si>
  <si>
    <t>CPI.Q.C.iaq</t>
  </si>
  <si>
    <t>q/q%</t>
  </si>
  <si>
    <t>CPI.Q.C.iay</t>
  </si>
  <si>
    <t>y/y%</t>
  </si>
  <si>
    <t>CPIT.Q.C.ia</t>
  </si>
  <si>
    <t>Tradable inflation</t>
  </si>
  <si>
    <t>CPIT.Q.C.iaq</t>
  </si>
  <si>
    <t>CPIT.Q.C.iay</t>
  </si>
  <si>
    <t>CPIN.Q.C.ia</t>
  </si>
  <si>
    <t>Non-tradable inflation</t>
  </si>
  <si>
    <t>CPIN.Q.C.iaq</t>
  </si>
  <si>
    <t>CPIN.Q.C.iay</t>
  </si>
  <si>
    <t>CPI.Q.C01.ia</t>
  </si>
  <si>
    <t>Food</t>
  </si>
  <si>
    <t>CPI.Q.C01.iaq</t>
  </si>
  <si>
    <t>CPI.Q.C01.iay</t>
  </si>
  <si>
    <t>CPI.Q.C04.ia</t>
  </si>
  <si>
    <t>Housing and household utilities</t>
  </si>
  <si>
    <t>CPI.Q.C04.iaq</t>
  </si>
  <si>
    <t>CPI.Q.C04.iay</t>
  </si>
  <si>
    <t>CPI.Q.C07.ia</t>
  </si>
  <si>
    <t>Transportation</t>
  </si>
  <si>
    <t>CPI.Q.C07.iaq</t>
  </si>
  <si>
    <t>CPI.Q.C07.iay</t>
  </si>
  <si>
    <t>CPI.Q.C07202.ia</t>
  </si>
  <si>
    <t>Petrol</t>
  </si>
  <si>
    <t>CPI.Q.C07202.iaq</t>
  </si>
  <si>
    <t>CPI.Q.C07202.iay</t>
  </si>
  <si>
    <t>CPI.Q.ZC21.ia</t>
  </si>
  <si>
    <t>CPI excluding petrol</t>
  </si>
  <si>
    <t>CPI.Q.ZC21.iaq</t>
  </si>
  <si>
    <t>CPI.Q.ZC21.iay</t>
  </si>
  <si>
    <t>CPI.Q.ZC40.iaq</t>
  </si>
  <si>
    <t>Trimmed mean</t>
  </si>
  <si>
    <t>CPIM.Q.C40T10B17.iay</t>
  </si>
  <si>
    <t>CPI.Q.ZC41.iaq</t>
  </si>
  <si>
    <t>Weighted median</t>
  </si>
  <si>
    <t>CPIW.Q.C41P50B17.iay</t>
  </si>
  <si>
    <t>CPI.Q.ZC42.iay</t>
  </si>
  <si>
    <t>Factor model</t>
  </si>
  <si>
    <t>CPI.Q.ZC43.iay</t>
  </si>
  <si>
    <t>Sectoral factor model</t>
  </si>
  <si>
    <t>CPI.Q.ZC431.iay</t>
  </si>
  <si>
    <t>Sectoral factor model - tradable core</t>
  </si>
  <si>
    <t>CPI.Q.ZC432.iay</t>
  </si>
  <si>
    <t>Sectoral factor model - non-tradable core</t>
  </si>
  <si>
    <t>HPI.Q.H01T0.ia</t>
  </si>
  <si>
    <t>PropertyIQ House price index (HPI)</t>
  </si>
  <si>
    <t>HPI.Q.H01T0.iaq</t>
  </si>
  <si>
    <t>HPI.Q.H01T0.iay</t>
  </si>
  <si>
    <t>GDE.Q.DY.RS</t>
  </si>
  <si>
    <t>GDP deflator</t>
  </si>
  <si>
    <t>GDE.Q.DY.rsq</t>
  </si>
  <si>
    <t>GDE.Q.DY.rsy</t>
  </si>
  <si>
    <t>PPI06.Q.T0I1.ia</t>
  </si>
  <si>
    <t>Producers price index (PPI) inputs</t>
  </si>
  <si>
    <t>PPI06.Q.T0I1.iaq</t>
  </si>
  <si>
    <t>PPI06.Q.T0I1.iay</t>
  </si>
  <si>
    <t>PPI06.Q.T0I2.ia</t>
  </si>
  <si>
    <t>Producers price index (PPI) outputs</t>
  </si>
  <si>
    <t>PPI06.Q.T0I2.iaq</t>
  </si>
  <si>
    <t>PPI06.Q.T0I2.iay</t>
  </si>
  <si>
    <t>hm2</t>
  </si>
  <si>
    <t>RTS06.Q.S1G.na</t>
  </si>
  <si>
    <t>Retail trade sales</t>
  </si>
  <si>
    <t>Retail trade sales NZDm</t>
  </si>
  <si>
    <t>RTS06.Q.S1G.ns</t>
  </si>
  <si>
    <t>Retail trade sales NZDm s.a.</t>
  </si>
  <si>
    <t>NZDm s.a.</t>
  </si>
  <si>
    <t>RTS06.Q.S1G.nsq</t>
  </si>
  <si>
    <t>Retail trade % s.a.</t>
  </si>
  <si>
    <t>% s.a.</t>
  </si>
  <si>
    <t>RTS06.Q.S1G.nay</t>
  </si>
  <si>
    <t>Retail trade %</t>
  </si>
  <si>
    <t>RTS06.Q.S1G.ra</t>
  </si>
  <si>
    <t>Retail trade volumes</t>
  </si>
  <si>
    <t>Retail trade volumes NZDm(r)</t>
  </si>
  <si>
    <t>NZDm(r)</t>
  </si>
  <si>
    <t>RTS06.Q.S1G.rs</t>
  </si>
  <si>
    <t>Retail trade volumes NZDm(r) s.a.</t>
  </si>
  <si>
    <t>NZDm(r) s.a.</t>
  </si>
  <si>
    <t>RTS06.Q.S1G.rsq</t>
  </si>
  <si>
    <t>Retail trade volumes %(r) s.a.</t>
  </si>
  <si>
    <t>%(r) s.a.</t>
  </si>
  <si>
    <t>RTS06.Q.S1G.ray</t>
  </si>
  <si>
    <t>Retail trade %(r)</t>
  </si>
  <si>
    <t>%(r)</t>
  </si>
  <si>
    <t>GDE.Q.EC1.RA</t>
  </si>
  <si>
    <t>Private consumption expenditure (GDP)</t>
  </si>
  <si>
    <t>Private consumption expenditure (GDP) NZDm(r)</t>
  </si>
  <si>
    <t>GDE.Q.EC1.RS</t>
  </si>
  <si>
    <t>Private consumption expenditure (GDP) NZDm(r) s.a.</t>
  </si>
  <si>
    <t>GDE.Q.EC1.rsq</t>
  </si>
  <si>
    <t>Private consumption expenditure (GDP) %(r) s.a.</t>
  </si>
  <si>
    <t>GDE.Q.EC1.ray</t>
  </si>
  <si>
    <t>Private consumption expenditure (GDP) %(r)</t>
  </si>
  <si>
    <t>GDE.Q.EG13.RA</t>
  </si>
  <si>
    <t>General government consumption expenditure (GDP)</t>
  </si>
  <si>
    <t>General government consumption expenditure (GDP) NZDm(r)</t>
  </si>
  <si>
    <t>GDE.Q.EG13.RS</t>
  </si>
  <si>
    <t>General government consumption expenditure (GDP) NZDm(r) s.a.</t>
  </si>
  <si>
    <t>GDE.Q.EG13.rsq</t>
  </si>
  <si>
    <t>General government consumption expenditure (GDP) %(r) s.a.</t>
  </si>
  <si>
    <t>GDE.Q.EG13.ray</t>
  </si>
  <si>
    <t>General government consumption expenditure (GDP) %(r)</t>
  </si>
  <si>
    <t>hm3</t>
  </si>
  <si>
    <t>QBLD.Q.B11N1BZR1.ns</t>
  </si>
  <si>
    <t>Residential Building Consents (s.a.)</t>
  </si>
  <si>
    <t>Residential consents</t>
  </si>
  <si>
    <t>Building consents - residential dwellings (Number s.a.)</t>
  </si>
  <si>
    <t>no s.a.</t>
  </si>
  <si>
    <t>Number</t>
  </si>
  <si>
    <t>QBLD.Q.B11N1BZR1.nsq</t>
  </si>
  <si>
    <t>Residential Building Consents (q/q% s.a.)</t>
  </si>
  <si>
    <t>Building consents - residential dwellings (q/q% s.a.)</t>
  </si>
  <si>
    <t>GDE.Q.EI24.RA</t>
  </si>
  <si>
    <t>Residential buildings (GDP) (Real $m)</t>
  </si>
  <si>
    <t>Gross fixed capital formation</t>
  </si>
  <si>
    <t>Gross fixed capital formation - residential buildings (GDP) (Real $m)</t>
  </si>
  <si>
    <t>Real $m</t>
  </si>
  <si>
    <t>GDE.Q.EI24.RS</t>
  </si>
  <si>
    <t>Residential buildings (GDP) (Real $m s.a.)</t>
  </si>
  <si>
    <t>Gross fixed capital formation - residential buildings (GDP) (Real $m s.a.)</t>
  </si>
  <si>
    <t>GDE.Q.EI24.rsq</t>
  </si>
  <si>
    <t>Residential buildings (GDP) (Real q/q% s.a)</t>
  </si>
  <si>
    <t>Gross fixed capital formation - residential buildings (GDP) (Real q/q% s.a)</t>
  </si>
  <si>
    <t>Real q/q</t>
  </si>
  <si>
    <t>GDE.Q.EI24.ray</t>
  </si>
  <si>
    <t>Residential buildings (GDP) (Real y/y%)</t>
  </si>
  <si>
    <t>Gross fixed capital formation - residential buildings (GDP) (Real y/y%)</t>
  </si>
  <si>
    <t>Real y/y</t>
  </si>
  <si>
    <t>GDE.Q.EI25.RA</t>
  </si>
  <si>
    <t>Other fixed assets (GDP) (Real $m)</t>
  </si>
  <si>
    <t>Gross fixed capital formation - other fixed assets (GDP) (Real $m)</t>
  </si>
  <si>
    <t>GDE.Q.EI25.RS</t>
  </si>
  <si>
    <t>Other fixed assets (GDP) (Real $m s.a.)</t>
  </si>
  <si>
    <t>Gross fixed capital formation - other fixed assets (GDP) (Real $m s.a.)</t>
  </si>
  <si>
    <t>GDE.Q.EI25.rsq</t>
  </si>
  <si>
    <t>Other fixed assets (GDP) (Real q/q% s.a.)</t>
  </si>
  <si>
    <t>Gross fixed capital formation - other fixed assets (GDP) (Real q/q% s.a.)</t>
  </si>
  <si>
    <t>GDE.Q.EI25.ray</t>
  </si>
  <si>
    <t>Other fixed assets (GDP) (Real y/y%)</t>
  </si>
  <si>
    <t>Gross fixed capital formation - other fixed assets (GDP) (Real y/y%)</t>
  </si>
  <si>
    <t>GDE.Q.EI23.RA</t>
  </si>
  <si>
    <t>Change in inventories (GDP) (Real $m)</t>
  </si>
  <si>
    <t>Change in inventories</t>
  </si>
  <si>
    <t>GDE.Q.EI23.RS</t>
  </si>
  <si>
    <t>Change in inventories (GDP) (Real $m s.a.)</t>
  </si>
  <si>
    <t>hm4</t>
  </si>
  <si>
    <t>MAN06.Q.S1C0.ns</t>
  </si>
  <si>
    <t>Manufacturing operating income</t>
  </si>
  <si>
    <t>Operating income $m s.a.</t>
  </si>
  <si>
    <t>Manufacturing</t>
  </si>
  <si>
    <t>m</t>
  </si>
  <si>
    <t>$m s.a.</t>
  </si>
  <si>
    <t>MAN06.Q.S1C0.na</t>
  </si>
  <si>
    <t>Operating income $m</t>
  </si>
  <si>
    <t>$m</t>
  </si>
  <si>
    <t>MAN06.Q.S1C0.nsq</t>
  </si>
  <si>
    <t>Operating income q/q% s.a.</t>
  </si>
  <si>
    <t>q/q% s.a.</t>
  </si>
  <si>
    <t>MAN06.Q.S1C0.nay</t>
  </si>
  <si>
    <t>Operating income y/y%</t>
  </si>
  <si>
    <t>MAN06.Q.VC0.na</t>
  </si>
  <si>
    <t>Manufacturing stocks</t>
  </si>
  <si>
    <t>Stocks $m</t>
  </si>
  <si>
    <t>MAN06.Q.VC0.nay</t>
  </si>
  <si>
    <t>Stocks y/y%</t>
  </si>
  <si>
    <t>MAN06.Q.S1C111.ns</t>
  </si>
  <si>
    <t>Meat and dairy manufacturing operating income</t>
  </si>
  <si>
    <t>Meat and dairy</t>
  </si>
  <si>
    <t>MAN06.Q.S1C111.na</t>
  </si>
  <si>
    <t>MAN06.Q.S1C111.nsq</t>
  </si>
  <si>
    <t>MAN06.Q.S1C111.nay</t>
  </si>
  <si>
    <t>Sales $m s.a.</t>
  </si>
  <si>
    <t>Retail trade</t>
  </si>
  <si>
    <t>Sales $m</t>
  </si>
  <si>
    <t>Sales q/q% s.a.</t>
  </si>
  <si>
    <t>Sales y/y%</t>
  </si>
  <si>
    <t>RTS06.Q.VG.na</t>
  </si>
  <si>
    <t>Retail trade stocks</t>
  </si>
  <si>
    <t>RTS06.Q.VG.nay</t>
  </si>
  <si>
    <t>WTS06.Q.S1F0.ns</t>
  </si>
  <si>
    <t>Wholesale trade sales</t>
  </si>
  <si>
    <t>Wholesale trade</t>
  </si>
  <si>
    <t>WTS06.Q.S1F0.na</t>
  </si>
  <si>
    <t>WTS06.Q.S1F0.nsq</t>
  </si>
  <si>
    <t>WTS06.Q.S1F0.nay</t>
  </si>
  <si>
    <t>WTS06.Q.VF0.na</t>
  </si>
  <si>
    <t>Wholesale trade stocks</t>
  </si>
  <si>
    <t>WTS06.Q.VF0.nay</t>
  </si>
  <si>
    <t>hm5</t>
  </si>
  <si>
    <t>GDP06.Q.QT0.ra</t>
  </si>
  <si>
    <t>GDP - Production (Real $m)</t>
  </si>
  <si>
    <t>GDPReal $m</t>
  </si>
  <si>
    <t>GDP</t>
  </si>
  <si>
    <t>GDP-Production (Real $m)</t>
  </si>
  <si>
    <t>GDP06.Q.QT0.rs</t>
  </si>
  <si>
    <t>GDP - Production (Real $m s.a.)</t>
  </si>
  <si>
    <t>GDPReal $m s.a.</t>
  </si>
  <si>
    <t>GDP-Production (Real $m s.a.)</t>
  </si>
  <si>
    <t>GDP06.Q.QT0.rsq</t>
  </si>
  <si>
    <t>GDP - Production (Real q/q% s.a.)</t>
  </si>
  <si>
    <t>GDPReal q/q% s.a.</t>
  </si>
  <si>
    <t>GDP-Production (Real q/q% s.a.)</t>
  </si>
  <si>
    <t>GDP06.Q.QT0.ray</t>
  </si>
  <si>
    <t>GDP - Production (Real y/y%)</t>
  </si>
  <si>
    <t>GDPReal y/y%</t>
  </si>
  <si>
    <t>GDP-Production (Real y/y%)</t>
  </si>
  <si>
    <t>GDE.Q.EY.NA</t>
  </si>
  <si>
    <t>GDP - Expenditure (Nominal $m)</t>
  </si>
  <si>
    <t>GDPNominal $m</t>
  </si>
  <si>
    <t>GDP-Expenditure (Nominal $m)</t>
  </si>
  <si>
    <t>GDE.Q.EY.NS</t>
  </si>
  <si>
    <t>GDP - Expenditure (Nominal $m s.a.)</t>
  </si>
  <si>
    <t>GDPNominal $m s.a.</t>
  </si>
  <si>
    <t>GDP-Expenditure (Nominal $m s.a.)</t>
  </si>
  <si>
    <t>GDE.Q.EY.nsq</t>
  </si>
  <si>
    <t>GDP - Expenditure (Nominal q/q% s.a.)</t>
  </si>
  <si>
    <t>GDPNominal q/q% s.a.</t>
  </si>
  <si>
    <t>GDP-Expenditure (Nominal q/q% s.a.)</t>
  </si>
  <si>
    <t>GDE.Q.EY.nay</t>
  </si>
  <si>
    <t>GDP - Expenditure (Nominal y/y%)</t>
  </si>
  <si>
    <t>GDPNominal y/y%</t>
  </si>
  <si>
    <t>GDP-Expenditure (Nominal y/y%)</t>
  </si>
  <si>
    <t>GDE.Q.EY.RA</t>
  </si>
  <si>
    <t>GDP - Expenditure (Real $m)</t>
  </si>
  <si>
    <t>GDP-Expenditure (Real $m)</t>
  </si>
  <si>
    <t>GDE.Q.EY.RS</t>
  </si>
  <si>
    <t>GDP - Expenditure (Real $m s.a.)</t>
  </si>
  <si>
    <t>GDP-Expenditure (Real $m s.a.)</t>
  </si>
  <si>
    <t>GDE.Q.EY.rsq</t>
  </si>
  <si>
    <t>GDP - Expenditure (Real q/q% s.a.)</t>
  </si>
  <si>
    <t>GDP-Expenditure (Real q/q% s.a.)</t>
  </si>
  <si>
    <t>GDE.Q.EY.ray</t>
  </si>
  <si>
    <t>GDP - Expenditure (Real y/y%)</t>
  </si>
  <si>
    <t>GDP-Expenditure (Real y/y%)</t>
  </si>
  <si>
    <t>GDE.Q.EC1.NA</t>
  </si>
  <si>
    <t>Private Consumption (Nominal $m))</t>
  </si>
  <si>
    <t>Consumption expenditureNominal $m)</t>
  </si>
  <si>
    <t>Consumption expenditure</t>
  </si>
  <si>
    <t>Private Consumption (Nominal $m)</t>
  </si>
  <si>
    <t>GDE.Q.EC1.NS</t>
  </si>
  <si>
    <t>Private Consumption (Nominal $m s.a.)</t>
  </si>
  <si>
    <t>Consumption expenditureNominal $m s.a.</t>
  </si>
  <si>
    <t>GDE.Q.EC1.nsq</t>
  </si>
  <si>
    <t>Private Consumption (Nominal q/q% s.a.)</t>
  </si>
  <si>
    <t>Consumption expenditureNominal q/q% s.a.</t>
  </si>
  <si>
    <t>GDE.Q.EC1.nay</t>
  </si>
  <si>
    <t>Private Consumption (Nominal y/y%)</t>
  </si>
  <si>
    <t>Consumption expenditureNominal y/y%</t>
  </si>
  <si>
    <t>Private Consumption (Real $m)</t>
  </si>
  <si>
    <t>Consumption expenditureReal $m</t>
  </si>
  <si>
    <t>Private Consumption (Real $m s.a.)</t>
  </si>
  <si>
    <t>Consumption expenditureReal $m s.a.</t>
  </si>
  <si>
    <t>Private Consumption (Real q/q% s.a.)</t>
  </si>
  <si>
    <t>Consumption expenditureReal q/q% s.a.</t>
  </si>
  <si>
    <t>Private Consumption (Real y/y%)</t>
  </si>
  <si>
    <t>Consumption expenditureReal y/y%</t>
  </si>
  <si>
    <t>GDE.Q.EG13.NA</t>
  </si>
  <si>
    <t>Government Consumption (Nominal $m)</t>
  </si>
  <si>
    <t>Consumption expenditureNominal $m</t>
  </si>
  <si>
    <t>GDE.Q.EG13.NS</t>
  </si>
  <si>
    <t>Government Consumption (Nominal $m s.a.)</t>
  </si>
  <si>
    <t>GDE.Q.EG13.nsq</t>
  </si>
  <si>
    <t>Government Consumption (Nominal q/q% s.a.)</t>
  </si>
  <si>
    <t>GDE.Q.EG13.nay</t>
  </si>
  <si>
    <t>Government Consumption (Nominal y/y%)</t>
  </si>
  <si>
    <t>Government Consumption (Real $m)</t>
  </si>
  <si>
    <t>Government Consumption (Real $m s.a.)</t>
  </si>
  <si>
    <t>Government Consumption (Real q/q% s.a.)</t>
  </si>
  <si>
    <t>Government Consumption (Real y/y%)</t>
  </si>
  <si>
    <t>GDE.Q.EI23.NA</t>
  </si>
  <si>
    <t>Change in inventories (Nominal $m)</t>
  </si>
  <si>
    <t>Change in inventoriesNominal $m</t>
  </si>
  <si>
    <t>GDE.Q.EI23.NS</t>
  </si>
  <si>
    <t>Change in inventories (Nominal $m s.a.)</t>
  </si>
  <si>
    <t>Change in inventoriesNominal $m s.a.</t>
  </si>
  <si>
    <t>Change in inventories (Real $m)</t>
  </si>
  <si>
    <t>Change in inventoriesReal $m</t>
  </si>
  <si>
    <t>Change in inventories (Real $m s.a.)</t>
  </si>
  <si>
    <t>Change in inventoriesReal $m s.a.</t>
  </si>
  <si>
    <t>GDE.Q.EI24.NA</t>
  </si>
  <si>
    <t>GFCF - Residential (Nominal $m)</t>
  </si>
  <si>
    <t>Gross fixed capital formationNominal $m</t>
  </si>
  <si>
    <t>GDE.Q.EI24.NS</t>
  </si>
  <si>
    <t>GFCF - Residential (Nominal $m s.a.)</t>
  </si>
  <si>
    <t>Gross fixed capital formationNominal $m s.a.</t>
  </si>
  <si>
    <t>GDE.Q.EI24.nsq</t>
  </si>
  <si>
    <t>GFCF - Residential (Nominal q/q% s.a.)</t>
  </si>
  <si>
    <t>Gross fixed capital formationNominal q/q% s.a.</t>
  </si>
  <si>
    <t>GDE.Q.EI24.nay</t>
  </si>
  <si>
    <t>GFCF - Residential (Nominal y/y%)</t>
  </si>
  <si>
    <t>Gross fixed capital formationNominal y/y%</t>
  </si>
  <si>
    <t>GFCF - Residential (Real $m)</t>
  </si>
  <si>
    <t>Gross fixed capital formationReal $m</t>
  </si>
  <si>
    <t>GFCF - Residential (Real $m s.a.)</t>
  </si>
  <si>
    <t>Gross fixed capital formationReal $m s.a.</t>
  </si>
  <si>
    <t>GFCF - Residential (Real q/q% s.a.)</t>
  </si>
  <si>
    <t>Gross fixed capital formationReal q/q% s.a.</t>
  </si>
  <si>
    <t>GFCF - Residential (Real y/y%)</t>
  </si>
  <si>
    <t>Gross fixed capital formationReal y/y%</t>
  </si>
  <si>
    <t>GDE.Q.EI25.NA</t>
  </si>
  <si>
    <t>GFCF - Other Fixed Assets (Nominal $m)</t>
  </si>
  <si>
    <t>GFCF - Other (Nominal $m)</t>
  </si>
  <si>
    <t>GDE.Q.EI25.NS</t>
  </si>
  <si>
    <t>GFCF - Other Fixed Assets (Nominal $m s.a.)</t>
  </si>
  <si>
    <t>GFCF - Other (Nominal $m s.a.)</t>
  </si>
  <si>
    <t>GDE.Q.EI25.nsq</t>
  </si>
  <si>
    <t>GFCF - Other Fixed Assets (Nominal q/q% s.a.)</t>
  </si>
  <si>
    <t>GFCF - Other (Nominal q/q% s.a.)</t>
  </si>
  <si>
    <t>GDE.Q.EI25.nay</t>
  </si>
  <si>
    <t>GFCF - Other Fixed Assets (Nominal y/y%)</t>
  </si>
  <si>
    <t>GFCF - Other (Nominal y/y%)</t>
  </si>
  <si>
    <t>GFCF - Other Fixed Assets (Real $m)</t>
  </si>
  <si>
    <t>GFCF - Other (Real $m)</t>
  </si>
  <si>
    <t>GFCF - Other Fixed Assets (Real $m s.a.)</t>
  </si>
  <si>
    <t>GFCF - Other (Real $m s.a.)</t>
  </si>
  <si>
    <t>GFCF - Other Fixed Assets (Real q/q% s.a.)</t>
  </si>
  <si>
    <t>GFCF - Other (Real q/q% s.a.)</t>
  </si>
  <si>
    <t>GFCF - Other Fixed Assets (Real y/y%)</t>
  </si>
  <si>
    <t>GFCF - Other (Real y/y%)</t>
  </si>
  <si>
    <t>GDE.Q.EY1.NA</t>
  </si>
  <si>
    <t>GNE (Nominal $m)</t>
  </si>
  <si>
    <t>GNE  (Nominal $m)</t>
  </si>
  <si>
    <t>GDE.Q.EY1.NS</t>
  </si>
  <si>
    <t>GNE (Nominal $m s.a.)</t>
  </si>
  <si>
    <t>GNE  (Nominal $m s.a.)</t>
  </si>
  <si>
    <t>GDE.Q.EY1.nsq</t>
  </si>
  <si>
    <t>GNE (Nominal q/q% s.a.)</t>
  </si>
  <si>
    <t>GNE  (Nominal q/q% s.a.)</t>
  </si>
  <si>
    <t>GDE.Q.EY1.nay</t>
  </si>
  <si>
    <t>GNE (Nominal y/y%)</t>
  </si>
  <si>
    <t>GNE  (Nominal y/y%)</t>
  </si>
  <si>
    <t>GDE.Q.EY1.RA</t>
  </si>
  <si>
    <t>GNE (Real $m)</t>
  </si>
  <si>
    <t>GNE  (Real $m)</t>
  </si>
  <si>
    <t>GDE.Q.EY1.RS</t>
  </si>
  <si>
    <t>GNE (Real $m s.a.)</t>
  </si>
  <si>
    <t>GNE  (Real $m s.a.)</t>
  </si>
  <si>
    <t>GDE.Q.EY1.rsq</t>
  </si>
  <si>
    <t>GNE (Real q/q% s.a.)</t>
  </si>
  <si>
    <t>GNE  (Real q/q% s.a.)</t>
  </si>
  <si>
    <t>GDE.Q.EY1.ray</t>
  </si>
  <si>
    <t>GNE (Real y/y%)</t>
  </si>
  <si>
    <t>GNE  (Real y/y%)</t>
  </si>
  <si>
    <t>GDE.Q.EX.NA</t>
  </si>
  <si>
    <t>Export of G&amp;S (Nominal $m)</t>
  </si>
  <si>
    <t>Import/Export of G&amp;SNominal $m</t>
  </si>
  <si>
    <t>Import/Export of G&amp;S</t>
  </si>
  <si>
    <t>Exports G&amp;S (Nominal $m)</t>
  </si>
  <si>
    <t>GDE.Q.EX.NS</t>
  </si>
  <si>
    <t>Export of G&amp;S (Nominal $m s.a.)</t>
  </si>
  <si>
    <t>Import/Export of G&amp;SNominal $m s.a.</t>
  </si>
  <si>
    <t>Exports G&amp;S (Nominal $m s.a.)</t>
  </si>
  <si>
    <t>GDE.Q.EX.nsq</t>
  </si>
  <si>
    <t>Export of G&amp;S (Nominal q/q% s.a.)</t>
  </si>
  <si>
    <t>Import/Export of G&amp;SNominal q/q% s.a.</t>
  </si>
  <si>
    <t>Exports G&amp;S (Nominal q/q% s.a.)</t>
  </si>
  <si>
    <t>GDE.Q.EX.nay</t>
  </si>
  <si>
    <t>Export of G&amp;S (Nominal y/y%)</t>
  </si>
  <si>
    <t>Import/Export of G&amp;SNominal y/y%</t>
  </si>
  <si>
    <t>Exports G&amp;S (Nominal y/y%)</t>
  </si>
  <si>
    <t>GDE.Q.EX.RA</t>
  </si>
  <si>
    <t>Export of G&amp;S (Real $m)</t>
  </si>
  <si>
    <t>Import/Export of G&amp;SReal $m</t>
  </si>
  <si>
    <t>Exports G&amp;S (Real $m)</t>
  </si>
  <si>
    <t>GDE.Q.EX.RS</t>
  </si>
  <si>
    <t>Export of G&amp;S (Real $m s.a.)</t>
  </si>
  <si>
    <t>Import/Export of G&amp;SReal $m s.a.</t>
  </si>
  <si>
    <t>Exports G&amp;S (Real $m s.a.)</t>
  </si>
  <si>
    <t>GDE.Q.EX.rsq</t>
  </si>
  <si>
    <t>Export of G&amp;S (Real q/q% s.a.)</t>
  </si>
  <si>
    <t>Import/Export of G&amp;SReal q/q% s.a.</t>
  </si>
  <si>
    <t>Exports G&amp;S (Real q/q% s.a.)</t>
  </si>
  <si>
    <t>GDE.Q.EX.ray</t>
  </si>
  <si>
    <t>Export of G&amp;S (Real y/y%)</t>
  </si>
  <si>
    <t>Import/Export of G&amp;SReal y/y%</t>
  </si>
  <si>
    <t>Exports G&amp;S (Real y/y%)</t>
  </si>
  <si>
    <t>GDE.Q.EM.NA</t>
  </si>
  <si>
    <t>Import of G&amp;S (Nominal $m)</t>
  </si>
  <si>
    <t>Import G&amp;S (Nominal $m)</t>
  </si>
  <si>
    <t>GDE.Q.EM.NS</t>
  </si>
  <si>
    <t>Import of G&amp;S (Nominal $m s.a.)</t>
  </si>
  <si>
    <t>Import G&amp;S (Nominal $m s.a.)</t>
  </si>
  <si>
    <t>GDE.Q.EM.nsq</t>
  </si>
  <si>
    <t>Import of G&amp;S (Nominal q/q% s.a.)</t>
  </si>
  <si>
    <t>Import G&amp;S (Nominal q/q% s.a.)</t>
  </si>
  <si>
    <t>GDE.Q.EM.nay</t>
  </si>
  <si>
    <t>Import of G&amp;S (Nominal y/y%)</t>
  </si>
  <si>
    <t>Import G&amp;S (Nominal y/y%)</t>
  </si>
  <si>
    <t>GDE.Q.EM.RA</t>
  </si>
  <si>
    <t>Import of G&amp;S (Real $m)</t>
  </si>
  <si>
    <t>Import G&amp;S (Real $m)</t>
  </si>
  <si>
    <t>GDE.Q.EM.RS</t>
  </si>
  <si>
    <t>Import of G&amp;S (Real $m s.a.)</t>
  </si>
  <si>
    <t>Import G&amp;S (Real $m s.a.)</t>
  </si>
  <si>
    <t>GDE.Q.EM.rsq</t>
  </si>
  <si>
    <t>Import of G&amp;S (Real q/q% s.a.)</t>
  </si>
  <si>
    <t>Import G&amp;S (Real q/q% s.a.)</t>
  </si>
  <si>
    <t>GDE.Q.EM.ray</t>
  </si>
  <si>
    <t>Import of G&amp;S (Real y/y%)</t>
  </si>
  <si>
    <t>Import G&amp;S (Real y/y%)</t>
  </si>
  <si>
    <t>hm6</t>
  </si>
  <si>
    <t>NATF.Y.D04.na</t>
  </si>
  <si>
    <t>National</t>
  </si>
  <si>
    <t>Saving ($m)</t>
  </si>
  <si>
    <t>ISAA.Y.I12.na</t>
  </si>
  <si>
    <t>Businesses</t>
  </si>
  <si>
    <t>ISAF.Y.I13.na</t>
  </si>
  <si>
    <t>Financial intermediaries</t>
  </si>
  <si>
    <t>ISAG.Y.I13.na</t>
  </si>
  <si>
    <t>General government</t>
  </si>
  <si>
    <t>ISAJ.Y.I12.na</t>
  </si>
  <si>
    <t>Non-profit institutions serving households</t>
  </si>
  <si>
    <t>ISAK.Y.I10.na</t>
  </si>
  <si>
    <t>Households</t>
  </si>
  <si>
    <t>ISAK.Y.I18.na</t>
  </si>
  <si>
    <t>Household saving rate (%)</t>
  </si>
  <si>
    <t>hm7</t>
  </si>
  <si>
    <t>OTIT.Q.U1T.iaq</t>
  </si>
  <si>
    <t>Terms of Trade</t>
  </si>
  <si>
    <t>Terms of Trade (q/q%)</t>
  </si>
  <si>
    <t>(q/q%)</t>
  </si>
  <si>
    <t>OTIT.Q.U1T.iay</t>
  </si>
  <si>
    <t>Terms of Trade (y/y%)</t>
  </si>
  <si>
    <t>(y/y%)</t>
  </si>
  <si>
    <t>BOPR.Q.TJ101.na</t>
  </si>
  <si>
    <t>Current account balance to GDP ratio (%)</t>
  </si>
  <si>
    <t>BOPR.Q.TJ102.na</t>
  </si>
  <si>
    <t>Net international investment position to GDP ratio (%)</t>
  </si>
  <si>
    <t>International Investment Position (NZD millions)</t>
  </si>
  <si>
    <t>BOP.Q.TB2.na</t>
  </si>
  <si>
    <t>Balance on goods</t>
  </si>
  <si>
    <t>Balance of Payments</t>
  </si>
  <si>
    <t>BOP.Q.TB3.na</t>
  </si>
  <si>
    <t>Balance on services</t>
  </si>
  <si>
    <t>BOP.Q.TB5.na</t>
  </si>
  <si>
    <t>Balance on primary income</t>
  </si>
  <si>
    <t>BOP.Q.TB6.na</t>
  </si>
  <si>
    <t>Balance on secondary income</t>
  </si>
  <si>
    <t>BOP.Q.TB1.na</t>
  </si>
  <si>
    <t>Current account balance</t>
  </si>
  <si>
    <t>Balance of Payments (Total)</t>
  </si>
  <si>
    <t>IIPA.Q.AP1.na</t>
  </si>
  <si>
    <t>International assets</t>
  </si>
  <si>
    <t>International Investment Position</t>
  </si>
  <si>
    <t>IIPA.Q.LP2.na</t>
  </si>
  <si>
    <t>International liabilities</t>
  </si>
  <si>
    <t>IIP.Q.TA.NA</t>
  </si>
  <si>
    <t>Net international investment position (IIP)</t>
  </si>
  <si>
    <t>OTIT.Q.U1T.ia</t>
  </si>
  <si>
    <t>Terms of Trade (Index)</t>
  </si>
  <si>
    <t>(Index)</t>
  </si>
  <si>
    <t>hm8</t>
  </si>
  <si>
    <t>OTIX.Q.UA.ns</t>
  </si>
  <si>
    <t>Export values $m s.a.</t>
  </si>
  <si>
    <t>Values ($m s.a.)</t>
  </si>
  <si>
    <t>Export</t>
  </si>
  <si>
    <t>OTIM.Q.UA.ns</t>
  </si>
  <si>
    <t>Import values $m s.a.</t>
  </si>
  <si>
    <t>Import</t>
  </si>
  <si>
    <t>OTIX.Q.UA.na</t>
  </si>
  <si>
    <t>Export values $m</t>
  </si>
  <si>
    <t>Values ($m)</t>
  </si>
  <si>
    <t>OTIM.Q.UA.na</t>
  </si>
  <si>
    <t>Import values $m</t>
  </si>
  <si>
    <t>OTIX.Q.UA.nsq</t>
  </si>
  <si>
    <t>Export values q/q% s.a.</t>
  </si>
  <si>
    <t>Values (q/q% s.a.)</t>
  </si>
  <si>
    <t>OTIM.Q.UA.nsq</t>
  </si>
  <si>
    <t>Import values q/q% s.a.</t>
  </si>
  <si>
    <t>OTIX.Q.UA.nay</t>
  </si>
  <si>
    <t>Export values y/y%</t>
  </si>
  <si>
    <t>Values (y/y%)</t>
  </si>
  <si>
    <t>OTIM.Q.UA.nay</t>
  </si>
  <si>
    <t>Import values y/y%</t>
  </si>
  <si>
    <t>OTIX.Q.U1A.ia</t>
  </si>
  <si>
    <t>Export prices Index</t>
  </si>
  <si>
    <t>Prices (Index)</t>
  </si>
  <si>
    <t>OTIM.Q.U1A.ia</t>
  </si>
  <si>
    <t>Import prices Index</t>
  </si>
  <si>
    <t>OTIX.Q.U1A.iaq</t>
  </si>
  <si>
    <t>Export prices q/q%</t>
  </si>
  <si>
    <t>Prices (q/q%)</t>
  </si>
  <si>
    <t>OTIM.Q.U1A.iaq</t>
  </si>
  <si>
    <t>Import prices q/q%</t>
  </si>
  <si>
    <t>OTIX.Q.U1A.iay</t>
  </si>
  <si>
    <t>Export prices y/y%</t>
  </si>
  <si>
    <t>Prices (y/y%)</t>
  </si>
  <si>
    <t>OTIM.Q.U1A.iay</t>
  </si>
  <si>
    <t>Import prices y/y%</t>
  </si>
  <si>
    <t>OTIX.Q.U2A.ia</t>
  </si>
  <si>
    <t>Export volumes Index</t>
  </si>
  <si>
    <t>Volumes (Index)</t>
  </si>
  <si>
    <t>OTIM.Q.U2A.ia</t>
  </si>
  <si>
    <t>Import volumes Index</t>
  </si>
  <si>
    <t>OTIX.Q.U2A.isq</t>
  </si>
  <si>
    <t>Export volumes q/q% s.a.</t>
  </si>
  <si>
    <t>Volumes (q/q% s.a.)</t>
  </si>
  <si>
    <t>OTIM.Q.U2A.isq</t>
  </si>
  <si>
    <t>Import volumes q/q% s.a.</t>
  </si>
  <si>
    <t>OTIX.Q.U2A.iay</t>
  </si>
  <si>
    <t>Export volumes y/y%</t>
  </si>
  <si>
    <t>Volumes (y/y%)</t>
  </si>
  <si>
    <t>OTIM.Q.U2A.iay</t>
  </si>
  <si>
    <t>Import volumes y/y%</t>
  </si>
  <si>
    <t>OTIX.Q.U2A.is</t>
  </si>
  <si>
    <t>Export volumes Index s.a.</t>
  </si>
  <si>
    <t>Volumes (Index s.a.)</t>
  </si>
  <si>
    <t>Index s.a.</t>
  </si>
  <si>
    <t>OTIM.Q.U2A.is</t>
  </si>
  <si>
    <t>Import volumes Index s.a.</t>
  </si>
  <si>
    <t>hm9</t>
  </si>
  <si>
    <t>HLFS.Q.L05G001.ns</t>
  </si>
  <si>
    <t>Labour force participation rate	 - % s.a.</t>
  </si>
  <si>
    <t>Labour Force % s.a.</t>
  </si>
  <si>
    <t>Labour force participation rate</t>
  </si>
  <si>
    <t>HLFS.Q.L06G001.ns</t>
  </si>
  <si>
    <t>Unemployment rate	 - % s.a.</t>
  </si>
  <si>
    <t>Unemployment % s.a.</t>
  </si>
  <si>
    <t>HLFS.Q.L04G001.ns</t>
  </si>
  <si>
    <t>Not in labour force - 000s s.a.</t>
  </si>
  <si>
    <t>Not in labour force</t>
  </si>
  <si>
    <t>000s s.a.</t>
  </si>
  <si>
    <t>000s</t>
  </si>
  <si>
    <t>000's</t>
  </si>
  <si>
    <t>HLFS.Q.L07G001.ns</t>
  </si>
  <si>
    <t>Working-age population - 000s s.a.</t>
  </si>
  <si>
    <t>Working-age population</t>
  </si>
  <si>
    <t>LCI.Q.W1S0T0.ia</t>
  </si>
  <si>
    <t>Labour cost index (LCI) - Index</t>
  </si>
  <si>
    <t>LCI Index</t>
  </si>
  <si>
    <t>Labour cost index (LCI)</t>
  </si>
  <si>
    <t>LCI.Q.W1S0T0.iay</t>
  </si>
  <si>
    <t>Labour cost index (LCI) - y/y%</t>
  </si>
  <si>
    <t>LCI y/y%</t>
  </si>
  <si>
    <t>HLFS.Q.L04G001.nay</t>
  </si>
  <si>
    <t>Not in labour force - y/y%</t>
  </si>
  <si>
    <t>Not in Labour Force y/y%</t>
  </si>
  <si>
    <t>HLFS.Q.L07G001.nay</t>
  </si>
  <si>
    <t>Working-age population - y/y%</t>
  </si>
  <si>
    <t>Working-age population %</t>
  </si>
  <si>
    <t>HLFS.Q.L01G001.nay</t>
  </si>
  <si>
    <t>Labour force - Employed (y/y%)</t>
  </si>
  <si>
    <t>Employed (y/y%)</t>
  </si>
  <si>
    <t>Labour force</t>
  </si>
  <si>
    <t>HLFS.Q.L02G001.nay</t>
  </si>
  <si>
    <t>Labour force - Unemployed (y/y%)</t>
  </si>
  <si>
    <t>Unemployed (y/y%)</t>
  </si>
  <si>
    <t>HLFS.Q.L03G001.nay</t>
  </si>
  <si>
    <t>Labour force - Total (y/y%)</t>
  </si>
  <si>
    <t>Total (y/y%)</t>
  </si>
  <si>
    <t>HLFS.Q.L01G001.ns</t>
  </si>
  <si>
    <t>Labour force - Employed (000s s.a.)</t>
  </si>
  <si>
    <t>Employed (000s s.a.)</t>
  </si>
  <si>
    <t>HLFS.Q.L02G001.ns</t>
  </si>
  <si>
    <t>Labour force - Unemployed (000s s.a.)</t>
  </si>
  <si>
    <t>Unemployed (000s s.a.)</t>
  </si>
  <si>
    <t>HLFS.Q.L03G001.ns</t>
  </si>
  <si>
    <t>Labour force - Total (000s s.a.)</t>
  </si>
  <si>
    <t>Labour Force (000s s.a.)</t>
  </si>
  <si>
    <t>Total (000s s.a.)</t>
  </si>
  <si>
    <t>QESS21.Q.E03S2.na</t>
  </si>
  <si>
    <t>Private sector wages - $</t>
  </si>
  <si>
    <t>Private sector wages $</t>
  </si>
  <si>
    <t>Private sector wages</t>
  </si>
  <si>
    <t>QESS21.Q.E03S2.naq</t>
  </si>
  <si>
    <t>Private sector wages - q/q%</t>
  </si>
  <si>
    <t>QESS21.Q.E03S2.nay</t>
  </si>
  <si>
    <t>Private sector wages - y/y%</t>
  </si>
  <si>
    <t>QESS21.Q.E03S1.na</t>
  </si>
  <si>
    <t>Public sector wages - $</t>
  </si>
  <si>
    <t>Public sector wages</t>
  </si>
  <si>
    <t>QESS21.Q.E03S1.naq</t>
  </si>
  <si>
    <t>Public sector wages - q/q%</t>
  </si>
  <si>
    <t>QESS21.Q.E03S1.nay</t>
  </si>
  <si>
    <t>Public sector wages - y/y%</t>
  </si>
  <si>
    <t>QESS21.Q.E03S0.na</t>
  </si>
  <si>
    <t>Average hourly earnings (ordinary time and overtime)	 - $</t>
  </si>
  <si>
    <t>Hourly Earnings $</t>
  </si>
  <si>
    <t>Average hourly earnings (ordinary time and overtime)</t>
  </si>
  <si>
    <t>QESS21.Q.E03S0.naq</t>
  </si>
  <si>
    <t>Average hourly earnings (ordinary time and overtime)	 - q/q%</t>
  </si>
  <si>
    <t>Hourly Earnings q/q%</t>
  </si>
  <si>
    <t>QESS21.Q.E03S0.nay</t>
  </si>
  <si>
    <t>Average hourly earnings (ordinary time and overtime)	 - y/y%</t>
  </si>
  <si>
    <t>Hourly Earnings y/y%</t>
  </si>
  <si>
    <t>hm10</t>
  </si>
  <si>
    <t>QVB.Q.MR0H01.na</t>
  </si>
  <si>
    <t>House sales</t>
  </si>
  <si>
    <t>no</t>
  </si>
  <si>
    <t>House price index (HPI)</t>
  </si>
  <si>
    <t>HHAL.QC1</t>
  </si>
  <si>
    <t>Total value of housing stock</t>
  </si>
  <si>
    <t>Residential investment (GDP)</t>
  </si>
  <si>
    <t>NZDm (r.)</t>
  </si>
  <si>
    <t>hs32</t>
  </si>
  <si>
    <t>BSPA.MAM2A4.P1</t>
  </si>
  <si>
    <t>Owner occupier property use</t>
  </si>
  <si>
    <t>Use</t>
  </si>
  <si>
    <t>BSPA.MAM2A4.P1H1</t>
  </si>
  <si>
    <t>Interest only</t>
  </si>
  <si>
    <t>Type</t>
  </si>
  <si>
    <t>BSPA.MAM2A4.P1H2</t>
  </si>
  <si>
    <t>Revolving credit</t>
  </si>
  <si>
    <t>BSPA.MAM2A4.P1H3</t>
  </si>
  <si>
    <t>Principal &amp; interest</t>
  </si>
  <si>
    <t>BSPA.MAM2A4.P1H6</t>
  </si>
  <si>
    <t>Other</t>
  </si>
  <si>
    <t>BSPA.MAM3A4.P1</t>
  </si>
  <si>
    <t>Residential investor property use</t>
  </si>
  <si>
    <t>BSPA.MAM3A4.P1N1</t>
  </si>
  <si>
    <t>BSPA.MAM3A4.P1N2</t>
  </si>
  <si>
    <t>BSPA.MAM3A4.P1N3</t>
  </si>
  <si>
    <t>BSPA.MAM3A4.P1N9</t>
  </si>
  <si>
    <t>BSPAS.MAN1A4.P2</t>
  </si>
  <si>
    <t>Personal consumer loans</t>
  </si>
  <si>
    <t>BSPA.MAN1A4.P2C1</t>
  </si>
  <si>
    <t>Overdrafts</t>
  </si>
  <si>
    <t>BSPA.MAN1A4.P2C2</t>
  </si>
  <si>
    <t>Credit cards</t>
  </si>
  <si>
    <t>BSPA.MAN1A4.P2C3</t>
  </si>
  <si>
    <t>Term loans</t>
  </si>
  <si>
    <t>BSPA.MAN1A4.P2C9</t>
  </si>
  <si>
    <t>BSPAS.MALA4.P3</t>
  </si>
  <si>
    <t>Business loans</t>
  </si>
  <si>
    <t>BSPA.MALA4.P3N1</t>
  </si>
  <si>
    <t>BSPA.MALA4.P3N2</t>
  </si>
  <si>
    <t>BSPA.MALA4.P3N3</t>
  </si>
  <si>
    <t>BSPA.MALA4.P3N6</t>
  </si>
  <si>
    <t>BSPAS.MALA4.P4ZA</t>
  </si>
  <si>
    <t>Agriculture loans</t>
  </si>
  <si>
    <t>BSPA.MALA4.P4N1A</t>
  </si>
  <si>
    <t>BSPA.MALA4.P4N2A</t>
  </si>
  <si>
    <t>BSPA.MALA4.P4N3A</t>
  </si>
  <si>
    <t>BSPA.MALA4.P4N6A</t>
  </si>
  <si>
    <t>BSPA.MALA4.P5</t>
  </si>
  <si>
    <t>Financial institutions loans</t>
  </si>
  <si>
    <t>BSPA.MALA4.P5N1</t>
  </si>
  <si>
    <t>BSPA.MALA4.P5N2</t>
  </si>
  <si>
    <t>BSPA.MALA4.P5N3</t>
  </si>
  <si>
    <t>BSPA.MALA4.P5N6</t>
  </si>
  <si>
    <t>BSPA.MALA4.P9</t>
  </si>
  <si>
    <t>Other loans</t>
  </si>
  <si>
    <t>BSPA.MALA4.P9N1</t>
  </si>
  <si>
    <t>BSPA.MALA4.P9N2</t>
  </si>
  <si>
    <t>BSPA.MALA4.P9N3</t>
  </si>
  <si>
    <t>BSPA.MALA4.P9N6</t>
  </si>
  <si>
    <t>fuel</t>
  </si>
  <si>
    <t>USD per Barrel</t>
  </si>
  <si>
    <t>NZD per Barrel</t>
  </si>
  <si>
    <t>adp</t>
  </si>
  <si>
    <t>Available monthly stay unit capacity</t>
  </si>
  <si>
    <t>Average guests per stay unit night</t>
  </si>
  <si>
    <t>Average nights stayed per guest</t>
  </si>
  <si>
    <t>Average stay units per establishment</t>
  </si>
  <si>
    <t>Capacity utilisation rate (%)</t>
  </si>
  <si>
    <t>Domestic guest nights</t>
  </si>
  <si>
    <t>Guest arrivals</t>
  </si>
  <si>
    <t>International guest nights</t>
  </si>
  <si>
    <t>Monthly stay unit capacity</t>
  </si>
  <si>
    <t>Number of active establishments</t>
  </si>
  <si>
    <t>Number of establishments</t>
  </si>
  <si>
    <t>Number of stay units</t>
  </si>
  <si>
    <t>Occupancy rate (%)</t>
  </si>
  <si>
    <t>Percentage of stay unit capacity available (%)</t>
  </si>
  <si>
    <t>Proportion of domestic guests (%)</t>
  </si>
  <si>
    <t>Proportion of international guests (%)</t>
  </si>
  <si>
    <t>Stay unit nights occupied</t>
  </si>
  <si>
    <t>Total guest nights</t>
  </si>
  <si>
    <t>border</t>
  </si>
  <si>
    <t>Arrivals</t>
  </si>
  <si>
    <t>NDM01</t>
  </si>
  <si>
    <t>All house types</t>
  </si>
  <si>
    <t>VALUE</t>
  </si>
  <si>
    <t>Single house</t>
  </si>
  <si>
    <t>Scheme house</t>
  </si>
  <si>
    <t>Apartment</t>
  </si>
  <si>
    <t>Style</t>
  </si>
  <si>
    <t>Line</t>
  </si>
  <si>
    <t>Fill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</si>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</sst>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color theme="1"/>
      <name val="Arial"/>
      <family val="2"/>
    </font>
    <font>
      <sz val="8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sz val="8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8E32A5-9196-4D58-A924-8B1110BC243E}" name="Guide" displayName="Guide" ref="A1:R394" totalsRowShown="0">
  <autoFilter ref="A1:R394" xr:uid="{718E32A5-9196-4D58-A924-8B1110BC243E}">
    <filterColumn colId="15">
      <filters>
        <filter val="NA"/>
      </filters>
    </filterColumn>
  </autoFilter>
  <sortState xmlns:xlrd2="http://schemas.microsoft.com/office/spreadsheetml/2017/richdata2" ref="A2:O34">
    <sortCondition ref="A2:A34"/>
    <sortCondition ref="D2:D34"/>
    <sortCondition ref="E2:E34"/>
    <sortCondition ref="F2:F34"/>
    <sortCondition ref="C2:C34"/>
  </sortState>
  <tableColumns count="18">
    <tableColumn id="1" xr3:uid="{1E105523-1F9A-490B-B3B3-B8269576F2CA}" name="Dataset"/>
    <tableColumn id="2" xr3:uid="{3395981A-EBAB-4924-9326-47FB19E5DA48}" name="DatasetColumn"/>
    <tableColumn id="3" xr3:uid="{E3BF457C-F7A0-47B3-B2CD-5F811C035414}" name="ColumnName"/>
    <tableColumn id="4" xr3:uid="{C7A9722C-DC29-4AF5-B9B8-05CBCA5D36F8}" name="Category_1" dataDxfId="5"/>
    <tableColumn id="14" xr3:uid="{8125AED4-99A7-4E7E-9003-2D1CDDE68C99}" name="Category_2" dataDxfId="4"/>
    <tableColumn id="17" xr3:uid="{3D3C7246-D15C-427C-8A0E-171F32F2F1EE}" name="Level_1_Order" dataDxfId="3"/>
    <tableColumn id="15" xr3:uid="{C81B58F0-59F7-483F-9A57-480268B28ECE}" name="Level_1"/>
    <tableColumn id="16" xr3:uid="{C2D32ECC-FFE5-42E9-A2FA-C589A7F771B2}" name="Level_2"/>
    <tableColumn id="18" xr3:uid="{80FF5F57-A832-41D8-B591-66D040656FDD}" name="Series_1"/>
    <tableColumn id="19" xr3:uid="{08505AF9-EE3F-42EE-9627-2DDD0683BD01}" name="Series_2"/>
    <tableColumn id="11" xr3:uid="{EF677ABD-19B2-4A31-A239-2A79C72E2E73}" name="Rollup"/>
    <tableColumn id="7" xr3:uid="{9C5EBF99-C99F-4ADA-BBE2-A225D6203489}" name="Dim_Group"/>
    <tableColumn id="8" xr3:uid="{CD0AAC95-D2CD-4D30-9011-9942EBEBB4C1}" name="Dim_Label"/>
    <tableColumn id="9" xr3:uid="{20D4E739-3650-49F4-B4E1-DAD4BEFED02E}" name="Tick"/>
    <tableColumn id="10" xr3:uid="{FF813B21-86DC-48A9-A6EA-F4F229F2A91A}" name="Prefix"/>
    <tableColumn id="12" xr3:uid="{A960F109-EFC6-45B0-838E-89D0D182C4EE}" name="Style" dataDxfId="0"/>
    <tableColumn id="5" xr3:uid="{58341DB7-5CB8-472C-8948-416C2373B4BA}" name="Row" dataDxfId="2">
      <calculatedColumnFormula>ROW(Guide[[#This Row],[Row]])</calculatedColumnFormula>
    </tableColumn>
    <tableColumn id="6" xr3:uid="{D6E30528-2360-40F7-A607-B78AA4014508}" name="Stack" dataDxfId="1">
      <calculatedColumnFormula array="1">_xlfn.XLOOKUP(
Guide[[#This Row],[Dataset]]&amp;Guide[[#This Row],[Category_1]]&amp;Guide[[#This Row],[Category_2]]&amp;Guide[[#This Row],[Dim_Group]],_xlfn.ANCHORARRAY( Sheet1!$N$2),_xlfn.CHOOSECOLS(_xlfn.ANCHORARRAY(Sheet1!$I$2),5),0)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9BAD0-8494-4CE9-A247-A006F24ADF8E}">
  <dimension ref="A1:R394"/>
  <sheetViews>
    <sheetView tabSelected="1" topLeftCell="D1" zoomScaleNormal="100" workbookViewId="0">
      <selection activeCell="P390" sqref="P390"/>
    </sheetView>
  </sheetViews>
  <sheetFormatPr defaultRowHeight="10.15" x14ac:dyDescent="0.3"/>
  <cols>
    <col min="1" max="1" width="8.83203125" customWidth="1"/>
    <col min="2" max="2" width="24.58203125" customWidth="1"/>
    <col min="3" max="3" width="50.75" bestFit="1" customWidth="1"/>
    <col min="4" max="4" width="31.83203125" bestFit="1" customWidth="1"/>
    <col min="5" max="6" width="15.08203125" customWidth="1"/>
    <col min="7" max="7" width="20.83203125" customWidth="1"/>
    <col min="8" max="11" width="15.08203125" customWidth="1"/>
    <col min="12" max="12" width="14.1640625" bestFit="1" customWidth="1"/>
    <col min="13" max="13" width="12.9140625" customWidth="1"/>
  </cols>
  <sheetData>
    <row r="1" spans="1:18" x14ac:dyDescent="0.3">
      <c r="A1" s="1" t="s">
        <v>82</v>
      </c>
      <c r="B1" s="1" t="s">
        <v>83</v>
      </c>
      <c r="C1" s="1" t="s">
        <v>84</v>
      </c>
      <c r="D1" s="2" t="s">
        <v>85</v>
      </c>
      <c r="E1" s="2" t="s">
        <v>86</v>
      </c>
      <c r="F1" t="s">
        <v>93</v>
      </c>
      <c r="G1" t="s">
        <v>89</v>
      </c>
      <c r="H1" t="s">
        <v>90</v>
      </c>
      <c r="I1" t="s">
        <v>94</v>
      </c>
      <c r="J1" t="s">
        <v>95</v>
      </c>
      <c r="K1" t="s">
        <v>98</v>
      </c>
      <c r="L1" s="4" t="s">
        <v>91</v>
      </c>
      <c r="M1" s="4" t="s">
        <v>92</v>
      </c>
      <c r="N1" s="4" t="s">
        <v>0</v>
      </c>
      <c r="O1" s="4" t="s">
        <v>1</v>
      </c>
      <c r="P1" s="4" t="s">
        <v>945</v>
      </c>
      <c r="Q1" s="4" t="s">
        <v>97</v>
      </c>
      <c r="R1" s="4" t="s">
        <v>96</v>
      </c>
    </row>
    <row r="2" spans="1:18" hidden="1" x14ac:dyDescent="0.3">
      <c r="A2" t="s">
        <v>2</v>
      </c>
      <c r="B2" t="s">
        <v>7</v>
      </c>
      <c r="C2" t="s">
        <v>7</v>
      </c>
      <c r="D2" s="3" t="s">
        <v>100</v>
      </c>
      <c r="E2" s="3" t="s">
        <v>87</v>
      </c>
      <c r="K2" t="s">
        <v>99</v>
      </c>
      <c r="L2" t="s">
        <v>4</v>
      </c>
      <c r="M2" t="s">
        <v>4</v>
      </c>
      <c r="N2" t="s">
        <v>5</v>
      </c>
      <c r="P2" t="s">
        <v>946</v>
      </c>
      <c r="Q2">
        <f>ROW(Guide[[#This Row],[Row]])</f>
        <v>2</v>
      </c>
      <c r="R2" cm="1">
        <f t="array" ref="R2">_xlfn.XLOOKUP(
Guide[[#This Row],[Dataset]]&amp;Guide[[#This Row],[Category_1]]&amp;Guide[[#This Row],[Category_2]]&amp;Guide[[#This Row],[Dim_Group]],_xlfn.ANCHORARRAY( Sheet1!$N$2),_xlfn.CHOOSECOLS(_xlfn.ANCHORARRAY(Sheet1!$I$2),5),0)</f>
        <v>2</v>
      </c>
    </row>
    <row r="3" spans="1:18" hidden="1" x14ac:dyDescent="0.3">
      <c r="A3" t="s">
        <v>2</v>
      </c>
      <c r="B3" t="s">
        <v>3</v>
      </c>
      <c r="C3" t="s">
        <v>3</v>
      </c>
      <c r="D3" s="3" t="s">
        <v>101</v>
      </c>
      <c r="E3" s="3"/>
      <c r="F3">
        <v>1</v>
      </c>
      <c r="I3" t="s">
        <v>3</v>
      </c>
      <c r="K3" t="s">
        <v>99</v>
      </c>
      <c r="L3" t="s">
        <v>4</v>
      </c>
      <c r="M3" t="s">
        <v>4</v>
      </c>
      <c r="N3" t="s">
        <v>5</v>
      </c>
      <c r="P3" t="s">
        <v>946</v>
      </c>
      <c r="Q3">
        <f>ROW(Guide[[#This Row],[Row]])</f>
        <v>3</v>
      </c>
      <c r="R3" cm="1">
        <f t="array" ref="R3">_xlfn.XLOOKUP(
Guide[[#This Row],[Dataset]]&amp;Guide[[#This Row],[Category_1]]&amp;Guide[[#This Row],[Category_2]]&amp;Guide[[#This Row],[Dim_Group]],_xlfn.ANCHORARRAY( Sheet1!$N$2),_xlfn.CHOOSECOLS(_xlfn.ANCHORARRAY(Sheet1!$I$2),5),0)</f>
        <v>0</v>
      </c>
    </row>
    <row r="4" spans="1:18" hidden="1" x14ac:dyDescent="0.3">
      <c r="A4" t="s">
        <v>2</v>
      </c>
      <c r="B4" t="s">
        <v>6</v>
      </c>
      <c r="C4" t="s">
        <v>6</v>
      </c>
      <c r="D4" s="3" t="s">
        <v>101</v>
      </c>
      <c r="E4" s="3"/>
      <c r="F4">
        <v>2</v>
      </c>
      <c r="I4" t="s">
        <v>6</v>
      </c>
      <c r="K4" t="s">
        <v>99</v>
      </c>
      <c r="L4" t="s">
        <v>4</v>
      </c>
      <c r="M4" t="s">
        <v>4</v>
      </c>
      <c r="N4" t="s">
        <v>5</v>
      </c>
      <c r="P4" t="s">
        <v>946</v>
      </c>
      <c r="Q4">
        <f>ROW(Guide[[#This Row],[Row]])</f>
        <v>4</v>
      </c>
      <c r="R4" cm="1">
        <f t="array" ref="R4">_xlfn.XLOOKUP(
Guide[[#This Row],[Dataset]]&amp;Guide[[#This Row],[Category_1]]&amp;Guide[[#This Row],[Category_2]]&amp;Guide[[#This Row],[Dim_Group]],_xlfn.ANCHORARRAY( Sheet1!$N$2),_xlfn.CHOOSECOLS(_xlfn.ANCHORARRAY(Sheet1!$I$2),5),0)</f>
        <v>0</v>
      </c>
    </row>
    <row r="5" spans="1:18" hidden="1" x14ac:dyDescent="0.3">
      <c r="A5" t="s">
        <v>2</v>
      </c>
      <c r="B5" t="s">
        <v>7</v>
      </c>
      <c r="C5" t="s">
        <v>7</v>
      </c>
      <c r="D5" s="3" t="s">
        <v>101</v>
      </c>
      <c r="E5" s="3"/>
      <c r="F5">
        <v>3</v>
      </c>
      <c r="I5" t="s">
        <v>7</v>
      </c>
      <c r="K5" t="s">
        <v>99</v>
      </c>
      <c r="L5" t="s">
        <v>4</v>
      </c>
      <c r="M5" t="s">
        <v>4</v>
      </c>
      <c r="N5" t="s">
        <v>5</v>
      </c>
      <c r="P5" t="s">
        <v>946</v>
      </c>
      <c r="Q5">
        <f>ROW(Guide[[#This Row],[Row]])</f>
        <v>5</v>
      </c>
      <c r="R5" cm="1">
        <f t="array" ref="R5">_xlfn.XLOOKUP(
Guide[[#This Row],[Dataset]]&amp;Guide[[#This Row],[Category_1]]&amp;Guide[[#This Row],[Category_2]]&amp;Guide[[#This Row],[Dim_Group]],_xlfn.ANCHORARRAY( Sheet1!$N$2),_xlfn.CHOOSECOLS(_xlfn.ANCHORARRAY(Sheet1!$I$2),5),0)</f>
        <v>0</v>
      </c>
    </row>
    <row r="6" spans="1:18" hidden="1" x14ac:dyDescent="0.3">
      <c r="A6" t="s">
        <v>2</v>
      </c>
      <c r="B6" t="s">
        <v>8</v>
      </c>
      <c r="C6" t="s">
        <v>8</v>
      </c>
      <c r="D6" s="3" t="s">
        <v>9</v>
      </c>
      <c r="E6" s="3"/>
      <c r="F6">
        <v>1</v>
      </c>
      <c r="I6" t="s">
        <v>8</v>
      </c>
      <c r="K6" t="s">
        <v>99</v>
      </c>
      <c r="L6" t="s">
        <v>10</v>
      </c>
      <c r="M6" t="s">
        <v>10</v>
      </c>
      <c r="N6" t="s">
        <v>5</v>
      </c>
      <c r="P6" t="s">
        <v>946</v>
      </c>
      <c r="Q6">
        <f>ROW(Guide[[#This Row],[Row]])</f>
        <v>6</v>
      </c>
      <c r="R6" cm="1">
        <f t="array" ref="R6">_xlfn.XLOOKUP(
Guide[[#This Row],[Dataset]]&amp;Guide[[#This Row],[Category_1]]&amp;Guide[[#This Row],[Category_2]]&amp;Guide[[#This Row],[Dim_Group]],_xlfn.ANCHORARRAY( Sheet1!$N$2),_xlfn.CHOOSECOLS(_xlfn.ANCHORARRAY(Sheet1!$I$2),5),0)</f>
        <v>0</v>
      </c>
    </row>
    <row r="7" spans="1:18" hidden="1" x14ac:dyDescent="0.3">
      <c r="A7" t="s">
        <v>2</v>
      </c>
      <c r="B7" t="s">
        <v>11</v>
      </c>
      <c r="C7" t="s">
        <v>11</v>
      </c>
      <c r="D7" s="3" t="s">
        <v>9</v>
      </c>
      <c r="E7" s="3"/>
      <c r="F7">
        <v>2</v>
      </c>
      <c r="I7" t="s">
        <v>11</v>
      </c>
      <c r="K7" t="s">
        <v>99</v>
      </c>
      <c r="L7" t="s">
        <v>10</v>
      </c>
      <c r="M7" t="s">
        <v>10</v>
      </c>
      <c r="N7" t="s">
        <v>5</v>
      </c>
      <c r="P7" t="s">
        <v>946</v>
      </c>
      <c r="Q7">
        <f>ROW(Guide[[#This Row],[Row]])</f>
        <v>7</v>
      </c>
      <c r="R7" cm="1">
        <f t="array" ref="R7">_xlfn.XLOOKUP(
Guide[[#This Row],[Dataset]]&amp;Guide[[#This Row],[Category_1]]&amp;Guide[[#This Row],[Category_2]]&amp;Guide[[#This Row],[Dim_Group]],_xlfn.ANCHORARRAY( Sheet1!$N$2),_xlfn.CHOOSECOLS(_xlfn.ANCHORARRAY(Sheet1!$I$2),5),0)</f>
        <v>0</v>
      </c>
    </row>
    <row r="8" spans="1:18" hidden="1" x14ac:dyDescent="0.3">
      <c r="A8" t="s">
        <v>2</v>
      </c>
      <c r="B8" t="s">
        <v>12</v>
      </c>
      <c r="C8" t="s">
        <v>12</v>
      </c>
      <c r="D8" s="3" t="s">
        <v>9</v>
      </c>
      <c r="E8" s="3"/>
      <c r="F8">
        <v>3</v>
      </c>
      <c r="I8" t="s">
        <v>12</v>
      </c>
      <c r="K8" t="s">
        <v>99</v>
      </c>
      <c r="L8" t="s">
        <v>10</v>
      </c>
      <c r="M8" t="s">
        <v>10</v>
      </c>
      <c r="N8" t="s">
        <v>5</v>
      </c>
      <c r="P8" t="s">
        <v>946</v>
      </c>
      <c r="Q8">
        <f>ROW(Guide[[#This Row],[Row]])</f>
        <v>8</v>
      </c>
      <c r="R8" cm="1">
        <f t="array" ref="R8">_xlfn.XLOOKUP(
Guide[[#This Row],[Dataset]]&amp;Guide[[#This Row],[Category_1]]&amp;Guide[[#This Row],[Category_2]]&amp;Guide[[#This Row],[Dim_Group]],_xlfn.ANCHORARRAY( Sheet1!$N$2),_xlfn.CHOOSECOLS(_xlfn.ANCHORARRAY(Sheet1!$I$2),5),0)</f>
        <v>0</v>
      </c>
    </row>
    <row r="9" spans="1:18" hidden="1" x14ac:dyDescent="0.3">
      <c r="A9" t="s">
        <v>2</v>
      </c>
      <c r="B9" t="s">
        <v>13</v>
      </c>
      <c r="C9" t="s">
        <v>13</v>
      </c>
      <c r="D9" s="3" t="s">
        <v>9</v>
      </c>
      <c r="E9" s="3"/>
      <c r="F9">
        <v>4</v>
      </c>
      <c r="I9" t="s">
        <v>13</v>
      </c>
      <c r="K9" t="s">
        <v>99</v>
      </c>
      <c r="L9" t="s">
        <v>10</v>
      </c>
      <c r="M9" t="s">
        <v>10</v>
      </c>
      <c r="N9" t="s">
        <v>5</v>
      </c>
      <c r="P9" t="s">
        <v>946</v>
      </c>
      <c r="Q9">
        <f>ROW(Guide[[#This Row],[Row]])</f>
        <v>9</v>
      </c>
      <c r="R9" cm="1">
        <f t="array" ref="R9">_xlfn.XLOOKUP(
Guide[[#This Row],[Dataset]]&amp;Guide[[#This Row],[Category_1]]&amp;Guide[[#This Row],[Category_2]]&amp;Guide[[#This Row],[Dim_Group]],_xlfn.ANCHORARRAY( Sheet1!$N$2),_xlfn.CHOOSECOLS(_xlfn.ANCHORARRAY(Sheet1!$I$2),5),0)</f>
        <v>0</v>
      </c>
    </row>
    <row r="10" spans="1:18" hidden="1" x14ac:dyDescent="0.3">
      <c r="A10" t="s">
        <v>2</v>
      </c>
      <c r="B10" t="s">
        <v>14</v>
      </c>
      <c r="C10" t="s">
        <v>14</v>
      </c>
      <c r="D10" s="3" t="s">
        <v>9</v>
      </c>
      <c r="E10" s="3"/>
      <c r="F10">
        <v>5</v>
      </c>
      <c r="I10" t="s">
        <v>14</v>
      </c>
      <c r="K10" t="s">
        <v>99</v>
      </c>
      <c r="L10" t="s">
        <v>10</v>
      </c>
      <c r="M10" t="s">
        <v>10</v>
      </c>
      <c r="N10" t="s">
        <v>5</v>
      </c>
      <c r="P10" t="s">
        <v>946</v>
      </c>
      <c r="Q10">
        <f>ROW(Guide[[#This Row],[Row]])</f>
        <v>10</v>
      </c>
      <c r="R10" cm="1">
        <f t="array" ref="R10">_xlfn.XLOOKUP(
Guide[[#This Row],[Dataset]]&amp;Guide[[#This Row],[Category_1]]&amp;Guide[[#This Row],[Category_2]]&amp;Guide[[#This Row],[Dim_Group]],_xlfn.ANCHORARRAY( Sheet1!$N$2),_xlfn.CHOOSECOLS(_xlfn.ANCHORARRAY(Sheet1!$I$2),5),0)</f>
        <v>0</v>
      </c>
    </row>
    <row r="11" spans="1:18" hidden="1" x14ac:dyDescent="0.3">
      <c r="A11" t="s">
        <v>102</v>
      </c>
      <c r="B11" t="s">
        <v>103</v>
      </c>
      <c r="C11" t="s">
        <v>104</v>
      </c>
      <c r="D11" s="3" t="s">
        <v>105</v>
      </c>
      <c r="E11" s="3" t="s">
        <v>106</v>
      </c>
      <c r="F11">
        <v>1</v>
      </c>
      <c r="G11" t="s">
        <v>104</v>
      </c>
      <c r="H11" t="s">
        <v>105</v>
      </c>
      <c r="I11" t="s">
        <v>104</v>
      </c>
      <c r="K11" t="s">
        <v>99</v>
      </c>
      <c r="L11" t="s">
        <v>106</v>
      </c>
      <c r="M11" t="s">
        <v>105</v>
      </c>
      <c r="N11" t="s">
        <v>107</v>
      </c>
      <c r="P11" t="s">
        <v>946</v>
      </c>
      <c r="Q11">
        <f>ROW(Guide[[#This Row],[Row]])</f>
        <v>11</v>
      </c>
      <c r="R11" cm="1">
        <f t="array" ref="R11">_xlfn.XLOOKUP(
Guide[[#This Row],[Dataset]]&amp;Guide[[#This Row],[Category_1]]&amp;Guide[[#This Row],[Category_2]]&amp;Guide[[#This Row],[Dim_Group]],_xlfn.ANCHORARRAY( Sheet1!$N$2),_xlfn.CHOOSECOLS(_xlfn.ANCHORARRAY(Sheet1!$I$2),5),0)</f>
        <v>11</v>
      </c>
    </row>
    <row r="12" spans="1:18" hidden="1" x14ac:dyDescent="0.3">
      <c r="A12" t="s">
        <v>102</v>
      </c>
      <c r="B12" t="s">
        <v>108</v>
      </c>
      <c r="C12" t="s">
        <v>109</v>
      </c>
      <c r="D12" s="3" t="s">
        <v>68</v>
      </c>
      <c r="E12" s="3" t="s">
        <v>110</v>
      </c>
      <c r="F12">
        <v>1</v>
      </c>
      <c r="G12" t="s">
        <v>109</v>
      </c>
      <c r="H12" t="s">
        <v>68</v>
      </c>
      <c r="I12" t="s">
        <v>109</v>
      </c>
      <c r="K12" t="s">
        <v>99</v>
      </c>
      <c r="L12" t="s">
        <v>111</v>
      </c>
      <c r="M12" t="s">
        <v>68</v>
      </c>
      <c r="N12" t="s">
        <v>21</v>
      </c>
      <c r="O12" t="s">
        <v>10</v>
      </c>
      <c r="P12" t="s">
        <v>946</v>
      </c>
      <c r="Q12">
        <f>ROW(Guide[[#This Row],[Row]])</f>
        <v>12</v>
      </c>
      <c r="R12" cm="1">
        <f t="array" ref="R12">_xlfn.XLOOKUP(
Guide[[#This Row],[Dataset]]&amp;Guide[[#This Row],[Category_1]]&amp;Guide[[#This Row],[Category_2]]&amp;Guide[[#This Row],[Dim_Group]],_xlfn.ANCHORARRAY( Sheet1!$N$2),_xlfn.CHOOSECOLS(_xlfn.ANCHORARRAY(Sheet1!$I$2),5),0)</f>
        <v>12</v>
      </c>
    </row>
    <row r="13" spans="1:18" hidden="1" x14ac:dyDescent="0.3">
      <c r="A13" t="s">
        <v>102</v>
      </c>
      <c r="B13" t="s">
        <v>112</v>
      </c>
      <c r="C13" t="s">
        <v>113</v>
      </c>
      <c r="D13" s="3" t="s">
        <v>114</v>
      </c>
      <c r="E13" s="3" t="s">
        <v>110</v>
      </c>
      <c r="F13">
        <v>1</v>
      </c>
      <c r="G13" t="s">
        <v>113</v>
      </c>
      <c r="H13" t="s">
        <v>114</v>
      </c>
      <c r="I13" t="s">
        <v>113</v>
      </c>
      <c r="K13" t="s">
        <v>99</v>
      </c>
      <c r="L13" t="s">
        <v>115</v>
      </c>
      <c r="M13" t="s">
        <v>114</v>
      </c>
      <c r="N13" t="s">
        <v>21</v>
      </c>
      <c r="O13" t="s">
        <v>116</v>
      </c>
      <c r="P13" t="s">
        <v>946</v>
      </c>
      <c r="Q13">
        <f>ROW(Guide[[#This Row],[Row]])</f>
        <v>13</v>
      </c>
      <c r="R13" cm="1">
        <f t="array" ref="R13">_xlfn.XLOOKUP(
Guide[[#This Row],[Dataset]]&amp;Guide[[#This Row],[Category_1]]&amp;Guide[[#This Row],[Category_2]]&amp;Guide[[#This Row],[Dim_Group]],_xlfn.ANCHORARRAY( Sheet1!$N$2),_xlfn.CHOOSECOLS(_xlfn.ANCHORARRAY(Sheet1!$I$2),5),0)</f>
        <v>13</v>
      </c>
    </row>
    <row r="14" spans="1:18" hidden="1" x14ac:dyDescent="0.3">
      <c r="A14" t="s">
        <v>102</v>
      </c>
      <c r="B14" t="s">
        <v>117</v>
      </c>
      <c r="C14" t="s">
        <v>118</v>
      </c>
      <c r="D14" s="3" t="s">
        <v>74</v>
      </c>
      <c r="E14" s="3" t="s">
        <v>110</v>
      </c>
      <c r="F14">
        <v>1</v>
      </c>
      <c r="G14" t="s">
        <v>118</v>
      </c>
      <c r="H14" t="s">
        <v>74</v>
      </c>
      <c r="I14" t="s">
        <v>118</v>
      </c>
      <c r="K14" t="s">
        <v>99</v>
      </c>
      <c r="L14" t="s">
        <v>119</v>
      </c>
      <c r="M14" t="s">
        <v>74</v>
      </c>
      <c r="N14" t="s">
        <v>21</v>
      </c>
      <c r="O14" t="s">
        <v>10</v>
      </c>
      <c r="P14" t="s">
        <v>946</v>
      </c>
      <c r="Q14">
        <f>ROW(Guide[[#This Row],[Row]])</f>
        <v>14</v>
      </c>
      <c r="R14" cm="1">
        <f t="array" ref="R14">_xlfn.XLOOKUP(
Guide[[#This Row],[Dataset]]&amp;Guide[[#This Row],[Category_1]]&amp;Guide[[#This Row],[Category_2]]&amp;Guide[[#This Row],[Dim_Group]],_xlfn.ANCHORARRAY( Sheet1!$N$2),_xlfn.CHOOSECOLS(_xlfn.ANCHORARRAY(Sheet1!$I$2),5),0)</f>
        <v>14</v>
      </c>
    </row>
    <row r="15" spans="1:18" hidden="1" x14ac:dyDescent="0.3">
      <c r="A15" t="s">
        <v>102</v>
      </c>
      <c r="B15" t="s">
        <v>120</v>
      </c>
      <c r="C15" t="s">
        <v>121</v>
      </c>
      <c r="D15" s="3" t="s">
        <v>122</v>
      </c>
      <c r="E15" s="3" t="s">
        <v>110</v>
      </c>
      <c r="F15">
        <v>1</v>
      </c>
      <c r="G15" t="s">
        <v>121</v>
      </c>
      <c r="H15" t="s">
        <v>122</v>
      </c>
      <c r="I15" t="s">
        <v>121</v>
      </c>
      <c r="K15" t="s">
        <v>99</v>
      </c>
      <c r="L15" t="s">
        <v>123</v>
      </c>
      <c r="M15" t="s">
        <v>122</v>
      </c>
      <c r="N15" t="s">
        <v>107</v>
      </c>
      <c r="O15" t="s">
        <v>124</v>
      </c>
      <c r="P15" t="s">
        <v>946</v>
      </c>
      <c r="Q15">
        <f>ROW(Guide[[#This Row],[Row]])</f>
        <v>15</v>
      </c>
      <c r="R15" cm="1">
        <f t="array" ref="R15">_xlfn.XLOOKUP(
Guide[[#This Row],[Dataset]]&amp;Guide[[#This Row],[Category_1]]&amp;Guide[[#This Row],[Category_2]]&amp;Guide[[#This Row],[Dim_Group]],_xlfn.ANCHORARRAY( Sheet1!$N$2),_xlfn.CHOOSECOLS(_xlfn.ANCHORARRAY(Sheet1!$I$2),5),0)</f>
        <v>15</v>
      </c>
    </row>
    <row r="16" spans="1:18" hidden="1" x14ac:dyDescent="0.3">
      <c r="A16" t="s">
        <v>102</v>
      </c>
      <c r="B16" t="s">
        <v>125</v>
      </c>
      <c r="C16" t="s">
        <v>126</v>
      </c>
      <c r="D16" s="3" t="s">
        <v>127</v>
      </c>
      <c r="E16" s="3" t="s">
        <v>110</v>
      </c>
      <c r="F16">
        <v>1</v>
      </c>
      <c r="G16" t="s">
        <v>126</v>
      </c>
      <c r="H16" t="s">
        <v>127</v>
      </c>
      <c r="I16" t="s">
        <v>126</v>
      </c>
      <c r="K16" t="s">
        <v>99</v>
      </c>
      <c r="L16" t="s">
        <v>128</v>
      </c>
      <c r="M16" t="s">
        <v>127</v>
      </c>
      <c r="N16" t="s">
        <v>21</v>
      </c>
      <c r="O16" t="s">
        <v>129</v>
      </c>
      <c r="P16" t="s">
        <v>946</v>
      </c>
      <c r="Q16">
        <f>ROW(Guide[[#This Row],[Row]])</f>
        <v>16</v>
      </c>
      <c r="R16" cm="1">
        <f t="array" ref="R16">_xlfn.XLOOKUP(
Guide[[#This Row],[Dataset]]&amp;Guide[[#This Row],[Category_1]]&amp;Guide[[#This Row],[Category_2]]&amp;Guide[[#This Row],[Dim_Group]],_xlfn.ANCHORARRAY( Sheet1!$N$2),_xlfn.CHOOSECOLS(_xlfn.ANCHORARRAY(Sheet1!$I$2),5),0)</f>
        <v>16</v>
      </c>
    </row>
    <row r="17" spans="1:18" hidden="1" x14ac:dyDescent="0.3">
      <c r="A17" t="s">
        <v>102</v>
      </c>
      <c r="B17" t="s">
        <v>130</v>
      </c>
      <c r="C17" t="s">
        <v>131</v>
      </c>
      <c r="D17" s="3" t="s">
        <v>132</v>
      </c>
      <c r="E17" s="3" t="s">
        <v>110</v>
      </c>
      <c r="F17">
        <v>1</v>
      </c>
      <c r="G17" t="s">
        <v>131</v>
      </c>
      <c r="H17" t="s">
        <v>132</v>
      </c>
      <c r="I17" t="s">
        <v>131</v>
      </c>
      <c r="K17" t="s">
        <v>99</v>
      </c>
      <c r="L17" t="s">
        <v>133</v>
      </c>
      <c r="M17" t="s">
        <v>132</v>
      </c>
      <c r="N17" t="s">
        <v>21</v>
      </c>
      <c r="O17" t="s">
        <v>10</v>
      </c>
      <c r="P17" t="s">
        <v>946</v>
      </c>
      <c r="Q17">
        <f>ROW(Guide[[#This Row],[Row]])</f>
        <v>17</v>
      </c>
      <c r="R17" cm="1">
        <f t="array" ref="R17">_xlfn.XLOOKUP(
Guide[[#This Row],[Dataset]]&amp;Guide[[#This Row],[Category_1]]&amp;Guide[[#This Row],[Category_2]]&amp;Guide[[#This Row],[Dim_Group]],_xlfn.ANCHORARRAY( Sheet1!$N$2),_xlfn.CHOOSECOLS(_xlfn.ANCHORARRAY(Sheet1!$I$2),5),0)</f>
        <v>17</v>
      </c>
    </row>
    <row r="18" spans="1:18" hidden="1" x14ac:dyDescent="0.3">
      <c r="A18" t="s">
        <v>102</v>
      </c>
      <c r="B18" t="s">
        <v>134</v>
      </c>
      <c r="C18" t="s">
        <v>135</v>
      </c>
      <c r="D18" s="3" t="s">
        <v>136</v>
      </c>
      <c r="E18" s="3" t="s">
        <v>110</v>
      </c>
      <c r="F18">
        <v>1</v>
      </c>
      <c r="G18" t="s">
        <v>135</v>
      </c>
      <c r="H18" t="s">
        <v>136</v>
      </c>
      <c r="I18" t="s">
        <v>135</v>
      </c>
      <c r="K18" t="s">
        <v>99</v>
      </c>
      <c r="L18" t="s">
        <v>137</v>
      </c>
      <c r="M18" t="s">
        <v>136</v>
      </c>
      <c r="N18" t="s">
        <v>107</v>
      </c>
      <c r="O18" t="s">
        <v>138</v>
      </c>
      <c r="P18" t="s">
        <v>946</v>
      </c>
      <c r="Q18">
        <f>ROW(Guide[[#This Row],[Row]])</f>
        <v>18</v>
      </c>
      <c r="R18" cm="1">
        <f t="array" ref="R18">_xlfn.XLOOKUP(
Guide[[#This Row],[Dataset]]&amp;Guide[[#This Row],[Category_1]]&amp;Guide[[#This Row],[Category_2]]&amp;Guide[[#This Row],[Dim_Group]],_xlfn.ANCHORARRAY( Sheet1!$N$2),_xlfn.CHOOSECOLS(_xlfn.ANCHORARRAY(Sheet1!$I$2),5),0)</f>
        <v>18</v>
      </c>
    </row>
    <row r="19" spans="1:18" hidden="1" x14ac:dyDescent="0.3">
      <c r="A19" t="s">
        <v>102</v>
      </c>
      <c r="B19" t="s">
        <v>139</v>
      </c>
      <c r="C19" t="s">
        <v>140</v>
      </c>
      <c r="D19" s="3" t="s">
        <v>141</v>
      </c>
      <c r="E19" s="3" t="s">
        <v>110</v>
      </c>
      <c r="F19">
        <v>1</v>
      </c>
      <c r="G19" t="s">
        <v>140</v>
      </c>
      <c r="H19" t="s">
        <v>141</v>
      </c>
      <c r="I19" t="s">
        <v>140</v>
      </c>
      <c r="K19" t="s">
        <v>99</v>
      </c>
      <c r="L19" t="s">
        <v>142</v>
      </c>
      <c r="M19" t="s">
        <v>141</v>
      </c>
      <c r="N19" t="s">
        <v>21</v>
      </c>
      <c r="O19" t="s">
        <v>124</v>
      </c>
      <c r="P19" t="s">
        <v>946</v>
      </c>
      <c r="Q19">
        <f>ROW(Guide[[#This Row],[Row]])</f>
        <v>19</v>
      </c>
      <c r="R19" cm="1">
        <f t="array" ref="R19">_xlfn.XLOOKUP(
Guide[[#This Row],[Dataset]]&amp;Guide[[#This Row],[Category_1]]&amp;Guide[[#This Row],[Category_2]]&amp;Guide[[#This Row],[Dim_Group]],_xlfn.ANCHORARRAY( Sheet1!$N$2),_xlfn.CHOOSECOLS(_xlfn.ANCHORARRAY(Sheet1!$I$2),5),0)</f>
        <v>19</v>
      </c>
    </row>
    <row r="20" spans="1:18" hidden="1" x14ac:dyDescent="0.3">
      <c r="A20" t="s">
        <v>102</v>
      </c>
      <c r="B20" t="s">
        <v>143</v>
      </c>
      <c r="C20" t="s">
        <v>144</v>
      </c>
      <c r="D20" s="3" t="s">
        <v>145</v>
      </c>
      <c r="E20" s="3" t="s">
        <v>110</v>
      </c>
      <c r="F20">
        <v>1</v>
      </c>
      <c r="G20" t="s">
        <v>144</v>
      </c>
      <c r="H20" t="s">
        <v>145</v>
      </c>
      <c r="I20" t="s">
        <v>144</v>
      </c>
      <c r="K20" t="s">
        <v>99</v>
      </c>
      <c r="L20" t="s">
        <v>146</v>
      </c>
      <c r="M20" t="s">
        <v>145</v>
      </c>
      <c r="N20" t="s">
        <v>21</v>
      </c>
      <c r="O20" t="s">
        <v>147</v>
      </c>
      <c r="P20" t="s">
        <v>946</v>
      </c>
      <c r="Q20">
        <f>ROW(Guide[[#This Row],[Row]])</f>
        <v>20</v>
      </c>
      <c r="R20" cm="1">
        <f t="array" ref="R20">_xlfn.XLOOKUP(
Guide[[#This Row],[Dataset]]&amp;Guide[[#This Row],[Category_1]]&amp;Guide[[#This Row],[Category_2]]&amp;Guide[[#This Row],[Dim_Group]],_xlfn.ANCHORARRAY( Sheet1!$N$2),_xlfn.CHOOSECOLS(_xlfn.ANCHORARRAY(Sheet1!$I$2),5),0)</f>
        <v>20</v>
      </c>
    </row>
    <row r="21" spans="1:18" hidden="1" x14ac:dyDescent="0.3">
      <c r="A21" t="s">
        <v>102</v>
      </c>
      <c r="B21" t="s">
        <v>148</v>
      </c>
      <c r="C21" t="s">
        <v>149</v>
      </c>
      <c r="D21" s="3" t="s">
        <v>150</v>
      </c>
      <c r="E21" s="3" t="s">
        <v>110</v>
      </c>
      <c r="F21">
        <v>1</v>
      </c>
      <c r="G21" t="s">
        <v>149</v>
      </c>
      <c r="H21" t="s">
        <v>150</v>
      </c>
      <c r="I21" t="s">
        <v>149</v>
      </c>
      <c r="K21" t="s">
        <v>99</v>
      </c>
      <c r="L21" t="s">
        <v>151</v>
      </c>
      <c r="M21" t="s">
        <v>150</v>
      </c>
      <c r="N21" t="s">
        <v>21</v>
      </c>
      <c r="O21" t="s">
        <v>10</v>
      </c>
      <c r="P21" t="s">
        <v>946</v>
      </c>
      <c r="Q21">
        <f>ROW(Guide[[#This Row],[Row]])</f>
        <v>21</v>
      </c>
      <c r="R21" cm="1">
        <f t="array" ref="R21">_xlfn.XLOOKUP(
Guide[[#This Row],[Dataset]]&amp;Guide[[#This Row],[Category_1]]&amp;Guide[[#This Row],[Category_2]]&amp;Guide[[#This Row],[Dim_Group]],_xlfn.ANCHORARRAY( Sheet1!$N$2),_xlfn.CHOOSECOLS(_xlfn.ANCHORARRAY(Sheet1!$I$2),5),0)</f>
        <v>21</v>
      </c>
    </row>
    <row r="22" spans="1:18" hidden="1" x14ac:dyDescent="0.3">
      <c r="A22" t="s">
        <v>102</v>
      </c>
      <c r="B22" t="s">
        <v>152</v>
      </c>
      <c r="C22" t="s">
        <v>153</v>
      </c>
      <c r="D22" s="3" t="s">
        <v>154</v>
      </c>
      <c r="E22" s="3" t="s">
        <v>110</v>
      </c>
      <c r="F22">
        <v>1</v>
      </c>
      <c r="G22" t="s">
        <v>153</v>
      </c>
      <c r="H22" t="s">
        <v>154</v>
      </c>
      <c r="I22" t="s">
        <v>153</v>
      </c>
      <c r="K22" t="s">
        <v>99</v>
      </c>
      <c r="L22" t="s">
        <v>155</v>
      </c>
      <c r="M22" t="s">
        <v>154</v>
      </c>
      <c r="N22" t="s">
        <v>107</v>
      </c>
      <c r="O22" t="s">
        <v>156</v>
      </c>
      <c r="P22" t="s">
        <v>946</v>
      </c>
      <c r="Q22">
        <f>ROW(Guide[[#This Row],[Row]])</f>
        <v>22</v>
      </c>
      <c r="R22" cm="1">
        <f t="array" ref="R22">_xlfn.XLOOKUP(
Guide[[#This Row],[Dataset]]&amp;Guide[[#This Row],[Category_1]]&amp;Guide[[#This Row],[Category_2]]&amp;Guide[[#This Row],[Dim_Group]],_xlfn.ANCHORARRAY( Sheet1!$N$2),_xlfn.CHOOSECOLS(_xlfn.ANCHORARRAY(Sheet1!$I$2),5),0)</f>
        <v>22</v>
      </c>
    </row>
    <row r="23" spans="1:18" hidden="1" x14ac:dyDescent="0.3">
      <c r="A23" t="s">
        <v>102</v>
      </c>
      <c r="B23" t="s">
        <v>157</v>
      </c>
      <c r="C23" t="s">
        <v>158</v>
      </c>
      <c r="D23" s="3" t="s">
        <v>159</v>
      </c>
      <c r="E23" s="3" t="s">
        <v>110</v>
      </c>
      <c r="F23">
        <v>1</v>
      </c>
      <c r="G23" t="s">
        <v>158</v>
      </c>
      <c r="H23" t="s">
        <v>159</v>
      </c>
      <c r="I23" t="s">
        <v>158</v>
      </c>
      <c r="K23" t="s">
        <v>99</v>
      </c>
      <c r="L23" t="s">
        <v>160</v>
      </c>
      <c r="M23" t="s">
        <v>159</v>
      </c>
      <c r="N23" t="s">
        <v>107</v>
      </c>
      <c r="O23" t="s">
        <v>161</v>
      </c>
      <c r="P23" t="s">
        <v>946</v>
      </c>
      <c r="Q23">
        <f>ROW(Guide[[#This Row],[Row]])</f>
        <v>23</v>
      </c>
      <c r="R23" cm="1">
        <f t="array" ref="R23">_xlfn.XLOOKUP(
Guide[[#This Row],[Dataset]]&amp;Guide[[#This Row],[Category_1]]&amp;Guide[[#This Row],[Category_2]]&amp;Guide[[#This Row],[Dim_Group]],_xlfn.ANCHORARRAY( Sheet1!$N$2),_xlfn.CHOOSECOLS(_xlfn.ANCHORARRAY(Sheet1!$I$2),5),0)</f>
        <v>23</v>
      </c>
    </row>
    <row r="24" spans="1:18" hidden="1" x14ac:dyDescent="0.3">
      <c r="A24" t="s">
        <v>102</v>
      </c>
      <c r="B24" t="s">
        <v>162</v>
      </c>
      <c r="C24" t="s">
        <v>163</v>
      </c>
      <c r="D24" s="3" t="s">
        <v>164</v>
      </c>
      <c r="E24" s="3" t="s">
        <v>110</v>
      </c>
      <c r="F24">
        <v>1</v>
      </c>
      <c r="G24" t="s">
        <v>163</v>
      </c>
      <c r="H24" t="s">
        <v>164</v>
      </c>
      <c r="I24" t="s">
        <v>163</v>
      </c>
      <c r="K24" t="s">
        <v>99</v>
      </c>
      <c r="L24" t="s">
        <v>165</v>
      </c>
      <c r="M24" t="s">
        <v>164</v>
      </c>
      <c r="N24" t="s">
        <v>21</v>
      </c>
      <c r="O24" t="s">
        <v>10</v>
      </c>
      <c r="P24" t="s">
        <v>946</v>
      </c>
      <c r="Q24">
        <f>ROW(Guide[[#This Row],[Row]])</f>
        <v>24</v>
      </c>
      <c r="R24" cm="1">
        <f t="array" ref="R24">_xlfn.XLOOKUP(
Guide[[#This Row],[Dataset]]&amp;Guide[[#This Row],[Category_1]]&amp;Guide[[#This Row],[Category_2]]&amp;Guide[[#This Row],[Dim_Group]],_xlfn.ANCHORARRAY( Sheet1!$N$2),_xlfn.CHOOSECOLS(_xlfn.ANCHORARRAY(Sheet1!$I$2),5),0)</f>
        <v>24</v>
      </c>
    </row>
    <row r="25" spans="1:18" hidden="1" x14ac:dyDescent="0.3">
      <c r="A25" t="s">
        <v>102</v>
      </c>
      <c r="B25" t="s">
        <v>166</v>
      </c>
      <c r="C25" t="s">
        <v>167</v>
      </c>
      <c r="D25" s="3" t="s">
        <v>168</v>
      </c>
      <c r="E25" s="3" t="s">
        <v>110</v>
      </c>
      <c r="F25">
        <v>1</v>
      </c>
      <c r="G25" t="s">
        <v>167</v>
      </c>
      <c r="H25" t="s">
        <v>168</v>
      </c>
      <c r="I25" t="s">
        <v>167</v>
      </c>
      <c r="K25" t="s">
        <v>99</v>
      </c>
      <c r="L25" t="s">
        <v>169</v>
      </c>
      <c r="M25" t="s">
        <v>168</v>
      </c>
      <c r="N25" t="s">
        <v>107</v>
      </c>
      <c r="O25" t="s">
        <v>10</v>
      </c>
      <c r="P25" t="s">
        <v>946</v>
      </c>
      <c r="Q25">
        <f>ROW(Guide[[#This Row],[Row]])</f>
        <v>25</v>
      </c>
      <c r="R25" cm="1">
        <f t="array" ref="R25">_xlfn.XLOOKUP(
Guide[[#This Row],[Dataset]]&amp;Guide[[#This Row],[Category_1]]&amp;Guide[[#This Row],[Category_2]]&amp;Guide[[#This Row],[Dim_Group]],_xlfn.ANCHORARRAY( Sheet1!$N$2),_xlfn.CHOOSECOLS(_xlfn.ANCHORARRAY(Sheet1!$I$2),5),0)</f>
        <v>25</v>
      </c>
    </row>
    <row r="26" spans="1:18" hidden="1" x14ac:dyDescent="0.3">
      <c r="A26" t="s">
        <v>102</v>
      </c>
      <c r="B26" t="s">
        <v>170</v>
      </c>
      <c r="C26" t="s">
        <v>171</v>
      </c>
      <c r="D26" s="3" t="s">
        <v>172</v>
      </c>
      <c r="E26" s="3" t="s">
        <v>110</v>
      </c>
      <c r="F26">
        <v>1</v>
      </c>
      <c r="G26" t="s">
        <v>171</v>
      </c>
      <c r="H26" t="s">
        <v>172</v>
      </c>
      <c r="I26" t="s">
        <v>171</v>
      </c>
      <c r="K26" t="s">
        <v>99</v>
      </c>
      <c r="L26" t="s">
        <v>173</v>
      </c>
      <c r="M26" t="s">
        <v>172</v>
      </c>
      <c r="N26" t="s">
        <v>107</v>
      </c>
      <c r="O26" t="s">
        <v>174</v>
      </c>
      <c r="P26" t="s">
        <v>946</v>
      </c>
      <c r="Q26">
        <f>ROW(Guide[[#This Row],[Row]])</f>
        <v>26</v>
      </c>
      <c r="R26" cm="1">
        <f t="array" ref="R26">_xlfn.XLOOKUP(
Guide[[#This Row],[Dataset]]&amp;Guide[[#This Row],[Category_1]]&amp;Guide[[#This Row],[Category_2]]&amp;Guide[[#This Row],[Dim_Group]],_xlfn.ANCHORARRAY( Sheet1!$N$2),_xlfn.CHOOSECOLS(_xlfn.ANCHORARRAY(Sheet1!$I$2),5),0)</f>
        <v>26</v>
      </c>
    </row>
    <row r="27" spans="1:18" hidden="1" x14ac:dyDescent="0.3">
      <c r="A27" t="s">
        <v>102</v>
      </c>
      <c r="B27" t="s">
        <v>175</v>
      </c>
      <c r="C27" t="s">
        <v>176</v>
      </c>
      <c r="D27" s="3" t="s">
        <v>177</v>
      </c>
      <c r="E27" s="3" t="s">
        <v>110</v>
      </c>
      <c r="F27">
        <v>1</v>
      </c>
      <c r="G27" t="s">
        <v>176</v>
      </c>
      <c r="H27" t="s">
        <v>177</v>
      </c>
      <c r="I27" t="s">
        <v>176</v>
      </c>
      <c r="K27" t="s">
        <v>99</v>
      </c>
      <c r="L27" t="s">
        <v>178</v>
      </c>
      <c r="M27" t="s">
        <v>177</v>
      </c>
      <c r="N27" t="s">
        <v>107</v>
      </c>
      <c r="O27" t="s">
        <v>179</v>
      </c>
      <c r="P27" t="s">
        <v>946</v>
      </c>
      <c r="Q27">
        <f>ROW(Guide[[#This Row],[Row]])</f>
        <v>27</v>
      </c>
      <c r="R27" cm="1">
        <f t="array" ref="R27">_xlfn.XLOOKUP(
Guide[[#This Row],[Dataset]]&amp;Guide[[#This Row],[Category_1]]&amp;Guide[[#This Row],[Category_2]]&amp;Guide[[#This Row],[Dim_Group]],_xlfn.ANCHORARRAY( Sheet1!$N$2),_xlfn.CHOOSECOLS(_xlfn.ANCHORARRAY(Sheet1!$I$2),5),0)</f>
        <v>27</v>
      </c>
    </row>
    <row r="28" spans="1:18" hidden="1" x14ac:dyDescent="0.3">
      <c r="A28" t="s">
        <v>102</v>
      </c>
      <c r="B28" t="s">
        <v>180</v>
      </c>
      <c r="C28" t="s">
        <v>181</v>
      </c>
      <c r="D28" s="3" t="s">
        <v>182</v>
      </c>
      <c r="E28" s="3" t="s">
        <v>110</v>
      </c>
      <c r="F28">
        <v>1</v>
      </c>
      <c r="G28" t="s">
        <v>181</v>
      </c>
      <c r="H28" t="s">
        <v>182</v>
      </c>
      <c r="I28" t="s">
        <v>181</v>
      </c>
      <c r="K28" t="s">
        <v>99</v>
      </c>
      <c r="L28" t="s">
        <v>183</v>
      </c>
      <c r="M28" t="s">
        <v>182</v>
      </c>
      <c r="N28" t="s">
        <v>107</v>
      </c>
      <c r="O28" t="s">
        <v>184</v>
      </c>
      <c r="P28" t="s">
        <v>946</v>
      </c>
      <c r="Q28">
        <f>ROW(Guide[[#This Row],[Row]])</f>
        <v>28</v>
      </c>
      <c r="R28" cm="1">
        <f t="array" ref="R28">_xlfn.XLOOKUP(
Guide[[#This Row],[Dataset]]&amp;Guide[[#This Row],[Category_1]]&amp;Guide[[#This Row],[Category_2]]&amp;Guide[[#This Row],[Dim_Group]],_xlfn.ANCHORARRAY( Sheet1!$N$2),_xlfn.CHOOSECOLS(_xlfn.ANCHORARRAY(Sheet1!$I$2),5),0)</f>
        <v>28</v>
      </c>
    </row>
    <row r="29" spans="1:18" hidden="1" x14ac:dyDescent="0.3">
      <c r="A29" t="s">
        <v>102</v>
      </c>
      <c r="B29" t="s">
        <v>185</v>
      </c>
      <c r="C29" t="s">
        <v>186</v>
      </c>
      <c r="D29" s="3" t="s">
        <v>187</v>
      </c>
      <c r="E29" s="3" t="s">
        <v>188</v>
      </c>
      <c r="F29">
        <v>1</v>
      </c>
      <c r="G29" t="s">
        <v>186</v>
      </c>
      <c r="H29" t="s">
        <v>105</v>
      </c>
      <c r="I29" t="s">
        <v>186</v>
      </c>
      <c r="K29" t="s">
        <v>99</v>
      </c>
      <c r="L29" t="s">
        <v>189</v>
      </c>
      <c r="M29" t="s">
        <v>105</v>
      </c>
      <c r="N29" t="s">
        <v>107</v>
      </c>
      <c r="P29" t="s">
        <v>946</v>
      </c>
      <c r="Q29">
        <f>ROW(Guide[[#This Row],[Row]])</f>
        <v>29</v>
      </c>
      <c r="R29" cm="1">
        <f t="array" ref="R29">_xlfn.XLOOKUP(
Guide[[#This Row],[Dataset]]&amp;Guide[[#This Row],[Category_1]]&amp;Guide[[#This Row],[Category_2]]&amp;Guide[[#This Row],[Dim_Group]],_xlfn.ANCHORARRAY( Sheet1!$N$2),_xlfn.CHOOSECOLS(_xlfn.ANCHORARRAY(Sheet1!$I$2),5),0)</f>
        <v>29</v>
      </c>
    </row>
    <row r="30" spans="1:18" hidden="1" x14ac:dyDescent="0.3">
      <c r="A30" t="s">
        <v>190</v>
      </c>
      <c r="B30" t="s">
        <v>191</v>
      </c>
      <c r="C30" t="s">
        <v>37</v>
      </c>
      <c r="D30" s="3" t="s">
        <v>192</v>
      </c>
      <c r="E30" s="3" t="s">
        <v>37</v>
      </c>
      <c r="F30">
        <v>1</v>
      </c>
      <c r="G30" t="s">
        <v>193</v>
      </c>
      <c r="H30" t="s">
        <v>38</v>
      </c>
      <c r="I30" t="s">
        <v>37</v>
      </c>
      <c r="K30" t="s">
        <v>99</v>
      </c>
      <c r="L30" t="s">
        <v>19</v>
      </c>
      <c r="M30" t="s">
        <v>38</v>
      </c>
      <c r="N30" t="s">
        <v>194</v>
      </c>
      <c r="P30" t="s">
        <v>947</v>
      </c>
      <c r="Q30">
        <f>ROW(Guide[[#This Row],[Row]])</f>
        <v>30</v>
      </c>
      <c r="R30" cm="1">
        <f t="array" ref="R30">_xlfn.XLOOKUP(
Guide[[#This Row],[Dataset]]&amp;Guide[[#This Row],[Category_1]]&amp;Guide[[#This Row],[Category_2]]&amp;Guide[[#This Row],[Dim_Group]],_xlfn.ANCHORARRAY( Sheet1!$N$2),_xlfn.CHOOSECOLS(_xlfn.ANCHORARRAY(Sheet1!$I$2),5),0)</f>
        <v>30</v>
      </c>
    </row>
    <row r="31" spans="1:18" hidden="1" x14ac:dyDescent="0.3">
      <c r="A31" t="s">
        <v>190</v>
      </c>
      <c r="B31" t="s">
        <v>195</v>
      </c>
      <c r="C31" t="s">
        <v>196</v>
      </c>
      <c r="D31" s="3" t="s">
        <v>197</v>
      </c>
      <c r="E31" s="3" t="s">
        <v>198</v>
      </c>
      <c r="F31">
        <v>1</v>
      </c>
      <c r="G31" t="s">
        <v>193</v>
      </c>
      <c r="H31" t="s">
        <v>38</v>
      </c>
      <c r="I31" t="s">
        <v>196</v>
      </c>
      <c r="K31" t="s">
        <v>99</v>
      </c>
      <c r="L31" t="s">
        <v>19</v>
      </c>
      <c r="M31" t="s">
        <v>38</v>
      </c>
      <c r="N31" t="s">
        <v>194</v>
      </c>
      <c r="P31" t="s">
        <v>946</v>
      </c>
      <c r="Q31">
        <f>ROW(Guide[[#This Row],[Row]])</f>
        <v>31</v>
      </c>
      <c r="R31" cm="1">
        <f t="array" ref="R31">_xlfn.XLOOKUP(
Guide[[#This Row],[Dataset]]&amp;Guide[[#This Row],[Category_1]]&amp;Guide[[#This Row],[Category_2]]&amp;Guide[[#This Row],[Dim_Group]],_xlfn.ANCHORARRAY( Sheet1!$N$2),_xlfn.CHOOSECOLS(_xlfn.ANCHORARRAY(Sheet1!$I$2),5),0)</f>
        <v>31</v>
      </c>
    </row>
    <row r="32" spans="1:18" hidden="1" x14ac:dyDescent="0.3">
      <c r="A32" t="s">
        <v>190</v>
      </c>
      <c r="B32" t="s">
        <v>199</v>
      </c>
      <c r="C32" t="s">
        <v>200</v>
      </c>
      <c r="D32" s="3" t="s">
        <v>197</v>
      </c>
      <c r="E32" s="3" t="s">
        <v>201</v>
      </c>
      <c r="F32">
        <v>1</v>
      </c>
      <c r="G32" t="s">
        <v>193</v>
      </c>
      <c r="H32" t="s">
        <v>38</v>
      </c>
      <c r="I32" t="s">
        <v>200</v>
      </c>
      <c r="K32" t="s">
        <v>99</v>
      </c>
      <c r="L32" t="s">
        <v>19</v>
      </c>
      <c r="M32" t="s">
        <v>38</v>
      </c>
      <c r="N32" t="s">
        <v>194</v>
      </c>
      <c r="P32" t="s">
        <v>946</v>
      </c>
      <c r="Q32">
        <f>ROW(Guide[[#This Row],[Row]])</f>
        <v>32</v>
      </c>
      <c r="R32" cm="1">
        <f t="array" ref="R32">_xlfn.XLOOKUP(
Guide[[#This Row],[Dataset]]&amp;Guide[[#This Row],[Category_1]]&amp;Guide[[#This Row],[Category_2]]&amp;Guide[[#This Row],[Dim_Group]],_xlfn.ANCHORARRAY( Sheet1!$N$2),_xlfn.CHOOSECOLS(_xlfn.ANCHORARRAY(Sheet1!$I$2),5),0)</f>
        <v>32</v>
      </c>
    </row>
    <row r="33" spans="1:18" hidden="1" x14ac:dyDescent="0.3">
      <c r="A33" t="s">
        <v>190</v>
      </c>
      <c r="B33" t="s">
        <v>202</v>
      </c>
      <c r="C33" t="s">
        <v>203</v>
      </c>
      <c r="D33" s="3" t="s">
        <v>197</v>
      </c>
      <c r="E33" s="3" t="s">
        <v>204</v>
      </c>
      <c r="F33">
        <v>1</v>
      </c>
      <c r="G33" t="s">
        <v>193</v>
      </c>
      <c r="H33" t="s">
        <v>38</v>
      </c>
      <c r="I33" t="s">
        <v>203</v>
      </c>
      <c r="K33" t="s">
        <v>99</v>
      </c>
      <c r="L33" t="s">
        <v>19</v>
      </c>
      <c r="M33" t="s">
        <v>38</v>
      </c>
      <c r="N33" t="s">
        <v>194</v>
      </c>
      <c r="P33" t="s">
        <v>946</v>
      </c>
      <c r="Q33">
        <f>ROW(Guide[[#This Row],[Row]])</f>
        <v>33</v>
      </c>
      <c r="R33" cm="1">
        <f t="array" ref="R33">_xlfn.XLOOKUP(
Guide[[#This Row],[Dataset]]&amp;Guide[[#This Row],[Category_1]]&amp;Guide[[#This Row],[Category_2]]&amp;Guide[[#This Row],[Dim_Group]],_xlfn.ANCHORARRAY( Sheet1!$N$2),_xlfn.CHOOSECOLS(_xlfn.ANCHORARRAY(Sheet1!$I$2),5),0)</f>
        <v>33</v>
      </c>
    </row>
    <row r="34" spans="1:18" hidden="1" x14ac:dyDescent="0.3">
      <c r="A34" t="s">
        <v>190</v>
      </c>
      <c r="B34" t="s">
        <v>205</v>
      </c>
      <c r="C34" t="s">
        <v>206</v>
      </c>
      <c r="D34" s="3" t="s">
        <v>197</v>
      </c>
      <c r="E34" s="3" t="s">
        <v>207</v>
      </c>
      <c r="F34">
        <v>1</v>
      </c>
      <c r="G34" t="s">
        <v>193</v>
      </c>
      <c r="H34" t="s">
        <v>38</v>
      </c>
      <c r="I34" t="s">
        <v>206</v>
      </c>
      <c r="K34" t="s">
        <v>99</v>
      </c>
      <c r="L34" t="s">
        <v>19</v>
      </c>
      <c r="M34" t="s">
        <v>38</v>
      </c>
      <c r="N34" t="s">
        <v>194</v>
      </c>
      <c r="P34" t="s">
        <v>946</v>
      </c>
      <c r="Q34">
        <f>ROW(Guide[[#This Row],[Row]])</f>
        <v>34</v>
      </c>
      <c r="R34" cm="1">
        <f t="array" ref="R34">_xlfn.XLOOKUP(
Guide[[#This Row],[Dataset]]&amp;Guide[[#This Row],[Category_1]]&amp;Guide[[#This Row],[Category_2]]&amp;Guide[[#This Row],[Dim_Group]],_xlfn.ANCHORARRAY( Sheet1!$N$2),_xlfn.CHOOSECOLS(_xlfn.ANCHORARRAY(Sheet1!$I$2),5),0)</f>
        <v>34</v>
      </c>
    </row>
    <row r="35" spans="1:18" hidden="1" x14ac:dyDescent="0.3">
      <c r="A35" t="s">
        <v>190</v>
      </c>
      <c r="B35" t="s">
        <v>208</v>
      </c>
      <c r="C35" t="s">
        <v>209</v>
      </c>
      <c r="D35" s="3" t="s">
        <v>210</v>
      </c>
      <c r="E35" s="3" t="s">
        <v>198</v>
      </c>
      <c r="F35">
        <v>1</v>
      </c>
      <c r="G35" t="s">
        <v>193</v>
      </c>
      <c r="H35" t="s">
        <v>38</v>
      </c>
      <c r="I35" t="s">
        <v>209</v>
      </c>
      <c r="K35" t="s">
        <v>99</v>
      </c>
      <c r="L35" t="s">
        <v>19</v>
      </c>
      <c r="M35" t="s">
        <v>38</v>
      </c>
      <c r="N35" t="s">
        <v>194</v>
      </c>
      <c r="P35" t="s">
        <v>946</v>
      </c>
      <c r="Q35">
        <f>ROW(Guide[[#This Row],[Row]])</f>
        <v>35</v>
      </c>
      <c r="R35" cm="1">
        <f t="array" ref="R35">_xlfn.XLOOKUP(
Guide[[#This Row],[Dataset]]&amp;Guide[[#This Row],[Category_1]]&amp;Guide[[#This Row],[Category_2]]&amp;Guide[[#This Row],[Dim_Group]],_xlfn.ANCHORARRAY( Sheet1!$N$2),_xlfn.CHOOSECOLS(_xlfn.ANCHORARRAY(Sheet1!$I$2),5),0)</f>
        <v>35</v>
      </c>
    </row>
    <row r="36" spans="1:18" hidden="1" x14ac:dyDescent="0.3">
      <c r="A36" t="s">
        <v>190</v>
      </c>
      <c r="B36" t="s">
        <v>211</v>
      </c>
      <c r="C36" t="s">
        <v>212</v>
      </c>
      <c r="D36" s="3" t="s">
        <v>210</v>
      </c>
      <c r="E36" s="3" t="s">
        <v>201</v>
      </c>
      <c r="F36">
        <v>1</v>
      </c>
      <c r="G36" t="s">
        <v>193</v>
      </c>
      <c r="H36" t="s">
        <v>38</v>
      </c>
      <c r="I36" t="s">
        <v>212</v>
      </c>
      <c r="K36" t="s">
        <v>99</v>
      </c>
      <c r="L36" t="s">
        <v>19</v>
      </c>
      <c r="M36" t="s">
        <v>38</v>
      </c>
      <c r="N36" t="s">
        <v>194</v>
      </c>
      <c r="P36" t="s">
        <v>946</v>
      </c>
      <c r="Q36">
        <f>ROW(Guide[[#This Row],[Row]])</f>
        <v>36</v>
      </c>
      <c r="R36" cm="1">
        <f t="array" ref="R36">_xlfn.XLOOKUP(
Guide[[#This Row],[Dataset]]&amp;Guide[[#This Row],[Category_1]]&amp;Guide[[#This Row],[Category_2]]&amp;Guide[[#This Row],[Dim_Group]],_xlfn.ANCHORARRAY( Sheet1!$N$2),_xlfn.CHOOSECOLS(_xlfn.ANCHORARRAY(Sheet1!$I$2),5),0)</f>
        <v>36</v>
      </c>
    </row>
    <row r="37" spans="1:18" hidden="1" x14ac:dyDescent="0.3">
      <c r="A37" t="s">
        <v>190</v>
      </c>
      <c r="B37" t="s">
        <v>213</v>
      </c>
      <c r="C37" t="s">
        <v>214</v>
      </c>
      <c r="D37" s="3" t="s">
        <v>210</v>
      </c>
      <c r="E37" s="3" t="s">
        <v>204</v>
      </c>
      <c r="F37">
        <v>1</v>
      </c>
      <c r="G37" t="s">
        <v>193</v>
      </c>
      <c r="H37" t="s">
        <v>38</v>
      </c>
      <c r="I37" t="s">
        <v>214</v>
      </c>
      <c r="K37" t="s">
        <v>99</v>
      </c>
      <c r="L37" t="s">
        <v>19</v>
      </c>
      <c r="M37" t="s">
        <v>38</v>
      </c>
      <c r="N37" t="s">
        <v>194</v>
      </c>
      <c r="P37" t="s">
        <v>946</v>
      </c>
      <c r="Q37">
        <f>ROW(Guide[[#This Row],[Row]])</f>
        <v>37</v>
      </c>
      <c r="R37" cm="1">
        <f t="array" ref="R37">_xlfn.XLOOKUP(
Guide[[#This Row],[Dataset]]&amp;Guide[[#This Row],[Category_1]]&amp;Guide[[#This Row],[Category_2]]&amp;Guide[[#This Row],[Dim_Group]],_xlfn.ANCHORARRAY( Sheet1!$N$2),_xlfn.CHOOSECOLS(_xlfn.ANCHORARRAY(Sheet1!$I$2),5),0)</f>
        <v>37</v>
      </c>
    </row>
    <row r="38" spans="1:18" hidden="1" x14ac:dyDescent="0.3">
      <c r="A38" t="s">
        <v>190</v>
      </c>
      <c r="B38" t="s">
        <v>215</v>
      </c>
      <c r="C38" t="s">
        <v>216</v>
      </c>
      <c r="D38" s="3" t="s">
        <v>210</v>
      </c>
      <c r="E38" s="3" t="s">
        <v>207</v>
      </c>
      <c r="F38">
        <v>1</v>
      </c>
      <c r="G38" t="s">
        <v>193</v>
      </c>
      <c r="H38" t="s">
        <v>38</v>
      </c>
      <c r="I38" t="s">
        <v>216</v>
      </c>
      <c r="K38" t="s">
        <v>99</v>
      </c>
      <c r="L38" t="s">
        <v>19</v>
      </c>
      <c r="M38" t="s">
        <v>38</v>
      </c>
      <c r="N38" t="s">
        <v>194</v>
      </c>
      <c r="P38" t="s">
        <v>946</v>
      </c>
      <c r="Q38">
        <f>ROW(Guide[[#This Row],[Row]])</f>
        <v>38</v>
      </c>
      <c r="R38" cm="1">
        <f t="array" ref="R38">_xlfn.XLOOKUP(
Guide[[#This Row],[Dataset]]&amp;Guide[[#This Row],[Category_1]]&amp;Guide[[#This Row],[Category_2]]&amp;Guide[[#This Row],[Dim_Group]],_xlfn.ANCHORARRAY( Sheet1!$N$2),_xlfn.CHOOSECOLS(_xlfn.ANCHORARRAY(Sheet1!$I$2),5),0)</f>
        <v>38</v>
      </c>
    </row>
    <row r="39" spans="1:18" hidden="1" x14ac:dyDescent="0.3">
      <c r="A39" t="s">
        <v>190</v>
      </c>
      <c r="B39" t="s">
        <v>217</v>
      </c>
      <c r="C39" t="s">
        <v>218</v>
      </c>
      <c r="D39" s="3" t="s">
        <v>210</v>
      </c>
      <c r="E39" s="3" t="s">
        <v>218</v>
      </c>
      <c r="F39">
        <v>1</v>
      </c>
      <c r="G39" t="s">
        <v>193</v>
      </c>
      <c r="H39" t="s">
        <v>219</v>
      </c>
      <c r="I39" t="s">
        <v>218</v>
      </c>
      <c r="K39" t="s">
        <v>99</v>
      </c>
      <c r="L39" t="s">
        <v>219</v>
      </c>
      <c r="M39" t="s">
        <v>219</v>
      </c>
      <c r="N39" t="s">
        <v>194</v>
      </c>
      <c r="P39" t="s">
        <v>946</v>
      </c>
      <c r="Q39">
        <f>ROW(Guide[[#This Row],[Row]])</f>
        <v>39</v>
      </c>
      <c r="R39" cm="1">
        <f t="array" ref="R39">_xlfn.XLOOKUP(
Guide[[#This Row],[Dataset]]&amp;Guide[[#This Row],[Category_1]]&amp;Guide[[#This Row],[Category_2]]&amp;Guide[[#This Row],[Dim_Group]],_xlfn.ANCHORARRAY( Sheet1!$N$2),_xlfn.CHOOSECOLS(_xlfn.ANCHORARRAY(Sheet1!$I$2),5),0)</f>
        <v>39</v>
      </c>
    </row>
    <row r="40" spans="1:18" hidden="1" x14ac:dyDescent="0.3">
      <c r="A40" t="s">
        <v>220</v>
      </c>
      <c r="B40" t="s">
        <v>221</v>
      </c>
      <c r="C40" t="s">
        <v>222</v>
      </c>
      <c r="D40" s="3" t="s">
        <v>223</v>
      </c>
      <c r="E40" s="3" t="s">
        <v>222</v>
      </c>
      <c r="F40">
        <v>1</v>
      </c>
      <c r="G40" t="s">
        <v>223</v>
      </c>
      <c r="H40" t="s">
        <v>224</v>
      </c>
      <c r="I40" t="s">
        <v>222</v>
      </c>
      <c r="K40" t="s">
        <v>99</v>
      </c>
      <c r="L40" t="s">
        <v>224</v>
      </c>
      <c r="M40" t="s">
        <v>224</v>
      </c>
      <c r="N40" t="s">
        <v>5</v>
      </c>
      <c r="P40" t="s">
        <v>947</v>
      </c>
      <c r="Q40">
        <f>ROW(Guide[[#This Row],[Row]])</f>
        <v>40</v>
      </c>
      <c r="R40" cm="1">
        <f t="array" ref="R40">_xlfn.XLOOKUP(
Guide[[#This Row],[Dataset]]&amp;Guide[[#This Row],[Category_1]]&amp;Guide[[#This Row],[Category_2]]&amp;Guide[[#This Row],[Dim_Group]],_xlfn.ANCHORARRAY( Sheet1!$N$2),_xlfn.CHOOSECOLS(_xlfn.ANCHORARRAY(Sheet1!$I$2),5),0)</f>
        <v>40</v>
      </c>
    </row>
    <row r="41" spans="1:18" hidden="1" x14ac:dyDescent="0.3">
      <c r="A41" t="s">
        <v>220</v>
      </c>
      <c r="B41" t="s">
        <v>225</v>
      </c>
      <c r="C41" t="s">
        <v>226</v>
      </c>
      <c r="D41" s="3" t="s">
        <v>223</v>
      </c>
      <c r="E41" s="3" t="s">
        <v>226</v>
      </c>
      <c r="F41">
        <v>1</v>
      </c>
      <c r="G41" t="s">
        <v>223</v>
      </c>
      <c r="H41" t="s">
        <v>224</v>
      </c>
      <c r="I41" t="s">
        <v>226</v>
      </c>
      <c r="K41" t="s">
        <v>99</v>
      </c>
      <c r="L41" t="s">
        <v>224</v>
      </c>
      <c r="M41" t="s">
        <v>224</v>
      </c>
      <c r="N41" t="s">
        <v>5</v>
      </c>
      <c r="P41" t="s">
        <v>946</v>
      </c>
      <c r="Q41">
        <f>ROW(Guide[[#This Row],[Row]])</f>
        <v>41</v>
      </c>
      <c r="R41" cm="1">
        <f t="array" ref="R41">_xlfn.XLOOKUP(
Guide[[#This Row],[Dataset]]&amp;Guide[[#This Row],[Category_1]]&amp;Guide[[#This Row],[Category_2]]&amp;Guide[[#This Row],[Dim_Group]],_xlfn.ANCHORARRAY( Sheet1!$N$2),_xlfn.CHOOSECOLS(_xlfn.ANCHORARRAY(Sheet1!$I$2),5),0)</f>
        <v>41</v>
      </c>
    </row>
    <row r="42" spans="1:18" hidden="1" x14ac:dyDescent="0.3">
      <c r="A42" t="s">
        <v>220</v>
      </c>
      <c r="B42" t="s">
        <v>227</v>
      </c>
      <c r="C42" t="s">
        <v>228</v>
      </c>
      <c r="D42" s="3" t="s">
        <v>223</v>
      </c>
      <c r="E42" s="3" t="s">
        <v>228</v>
      </c>
      <c r="F42">
        <v>1</v>
      </c>
      <c r="G42" t="s">
        <v>223</v>
      </c>
      <c r="H42" t="s">
        <v>224</v>
      </c>
      <c r="I42" t="s">
        <v>228</v>
      </c>
      <c r="K42" t="s">
        <v>99</v>
      </c>
      <c r="L42" t="s">
        <v>224</v>
      </c>
      <c r="M42" t="s">
        <v>224</v>
      </c>
      <c r="N42" t="s">
        <v>5</v>
      </c>
      <c r="P42" t="s">
        <v>946</v>
      </c>
      <c r="Q42">
        <f>ROW(Guide[[#This Row],[Row]])</f>
        <v>42</v>
      </c>
      <c r="R42" cm="1">
        <f t="array" ref="R42">_xlfn.XLOOKUP(
Guide[[#This Row],[Dataset]]&amp;Guide[[#This Row],[Category_1]]&amp;Guide[[#This Row],[Category_2]]&amp;Guide[[#This Row],[Dim_Group]],_xlfn.ANCHORARRAY( Sheet1!$N$2),_xlfn.CHOOSECOLS(_xlfn.ANCHORARRAY(Sheet1!$I$2),5),0)</f>
        <v>42</v>
      </c>
    </row>
    <row r="43" spans="1:18" hidden="1" x14ac:dyDescent="0.3">
      <c r="A43" t="s">
        <v>220</v>
      </c>
      <c r="B43" t="s">
        <v>229</v>
      </c>
      <c r="C43" t="s">
        <v>230</v>
      </c>
      <c r="D43" s="3" t="s">
        <v>223</v>
      </c>
      <c r="E43" s="3" t="s">
        <v>230</v>
      </c>
      <c r="F43">
        <v>1</v>
      </c>
      <c r="G43" t="s">
        <v>223</v>
      </c>
      <c r="H43" t="s">
        <v>224</v>
      </c>
      <c r="I43" t="s">
        <v>230</v>
      </c>
      <c r="K43" t="s">
        <v>99</v>
      </c>
      <c r="L43" t="s">
        <v>224</v>
      </c>
      <c r="M43" t="s">
        <v>224</v>
      </c>
      <c r="N43" t="s">
        <v>5</v>
      </c>
      <c r="P43" t="s">
        <v>946</v>
      </c>
      <c r="Q43">
        <f>ROW(Guide[[#This Row],[Row]])</f>
        <v>43</v>
      </c>
      <c r="R43" cm="1">
        <f t="array" ref="R43">_xlfn.XLOOKUP(
Guide[[#This Row],[Dataset]]&amp;Guide[[#This Row],[Category_1]]&amp;Guide[[#This Row],[Category_2]]&amp;Guide[[#This Row],[Dim_Group]],_xlfn.ANCHORARRAY( Sheet1!$N$2),_xlfn.CHOOSECOLS(_xlfn.ANCHORARRAY(Sheet1!$I$2),5),0)</f>
        <v>43</v>
      </c>
    </row>
    <row r="44" spans="1:18" hidden="1" x14ac:dyDescent="0.3">
      <c r="A44" t="s">
        <v>220</v>
      </c>
      <c r="B44" t="s">
        <v>231</v>
      </c>
      <c r="C44" t="s">
        <v>232</v>
      </c>
      <c r="D44" s="3" t="s">
        <v>223</v>
      </c>
      <c r="E44" s="3" t="s">
        <v>232</v>
      </c>
      <c r="F44">
        <v>1</v>
      </c>
      <c r="G44" t="s">
        <v>223</v>
      </c>
      <c r="H44" t="s">
        <v>224</v>
      </c>
      <c r="I44" t="s">
        <v>232</v>
      </c>
      <c r="K44" t="s">
        <v>99</v>
      </c>
      <c r="L44" t="s">
        <v>224</v>
      </c>
      <c r="M44" t="s">
        <v>224</v>
      </c>
      <c r="N44" t="s">
        <v>5</v>
      </c>
      <c r="P44" t="s">
        <v>946</v>
      </c>
      <c r="Q44">
        <f>ROW(Guide[[#This Row],[Row]])</f>
        <v>44</v>
      </c>
      <c r="R44" cm="1">
        <f t="array" ref="R44">_xlfn.XLOOKUP(
Guide[[#This Row],[Dataset]]&amp;Guide[[#This Row],[Category_1]]&amp;Guide[[#This Row],[Category_2]]&amp;Guide[[#This Row],[Dim_Group]],_xlfn.ANCHORARRAY( Sheet1!$N$2),_xlfn.CHOOSECOLS(_xlfn.ANCHORARRAY(Sheet1!$I$2),5),0)</f>
        <v>44</v>
      </c>
    </row>
    <row r="45" spans="1:18" hidden="1" x14ac:dyDescent="0.3">
      <c r="A45" t="s">
        <v>220</v>
      </c>
      <c r="B45" t="s">
        <v>233</v>
      </c>
      <c r="C45" t="s">
        <v>234</v>
      </c>
      <c r="D45" s="3" t="s">
        <v>223</v>
      </c>
      <c r="E45" s="3" t="s">
        <v>234</v>
      </c>
      <c r="F45">
        <v>1</v>
      </c>
      <c r="G45" t="s">
        <v>223</v>
      </c>
      <c r="H45" t="s">
        <v>224</v>
      </c>
      <c r="I45" t="s">
        <v>234</v>
      </c>
      <c r="K45" t="s">
        <v>99</v>
      </c>
      <c r="L45" t="s">
        <v>224</v>
      </c>
      <c r="M45" t="s">
        <v>224</v>
      </c>
      <c r="N45" t="s">
        <v>5</v>
      </c>
      <c r="P45" t="s">
        <v>946</v>
      </c>
      <c r="Q45">
        <f>ROW(Guide[[#This Row],[Row]])</f>
        <v>45</v>
      </c>
      <c r="R45" cm="1">
        <f t="array" ref="R45">_xlfn.XLOOKUP(
Guide[[#This Row],[Dataset]]&amp;Guide[[#This Row],[Category_1]]&amp;Guide[[#This Row],[Category_2]]&amp;Guide[[#This Row],[Dim_Group]],_xlfn.ANCHORARRAY( Sheet1!$N$2),_xlfn.CHOOSECOLS(_xlfn.ANCHORARRAY(Sheet1!$I$2),5),0)</f>
        <v>45</v>
      </c>
    </row>
    <row r="46" spans="1:18" hidden="1" x14ac:dyDescent="0.3">
      <c r="A46" t="s">
        <v>220</v>
      </c>
      <c r="B46" t="s">
        <v>235</v>
      </c>
      <c r="C46" t="s">
        <v>236</v>
      </c>
      <c r="D46" s="3" t="s">
        <v>223</v>
      </c>
      <c r="E46" s="3" t="s">
        <v>236</v>
      </c>
      <c r="F46">
        <v>1</v>
      </c>
      <c r="G46" t="s">
        <v>223</v>
      </c>
      <c r="H46" t="s">
        <v>224</v>
      </c>
      <c r="I46" t="s">
        <v>236</v>
      </c>
      <c r="K46" t="s">
        <v>99</v>
      </c>
      <c r="L46" t="s">
        <v>224</v>
      </c>
      <c r="M46" t="s">
        <v>224</v>
      </c>
      <c r="N46" t="s">
        <v>5</v>
      </c>
      <c r="P46" t="s">
        <v>946</v>
      </c>
      <c r="Q46">
        <f>ROW(Guide[[#This Row],[Row]])</f>
        <v>46</v>
      </c>
      <c r="R46" cm="1">
        <f t="array" ref="R46">_xlfn.XLOOKUP(
Guide[[#This Row],[Dataset]]&amp;Guide[[#This Row],[Category_1]]&amp;Guide[[#This Row],[Category_2]]&amp;Guide[[#This Row],[Dim_Group]],_xlfn.ANCHORARRAY( Sheet1!$N$2),_xlfn.CHOOSECOLS(_xlfn.ANCHORARRAY(Sheet1!$I$2),5),0)</f>
        <v>46</v>
      </c>
    </row>
    <row r="47" spans="1:18" hidden="1" x14ac:dyDescent="0.3">
      <c r="A47" t="s">
        <v>220</v>
      </c>
      <c r="B47" t="s">
        <v>237</v>
      </c>
      <c r="C47" t="s">
        <v>238</v>
      </c>
      <c r="D47" s="3" t="s">
        <v>223</v>
      </c>
      <c r="E47" s="3" t="s">
        <v>238</v>
      </c>
      <c r="F47">
        <v>1</v>
      </c>
      <c r="G47" t="s">
        <v>223</v>
      </c>
      <c r="H47" t="s">
        <v>224</v>
      </c>
      <c r="I47" t="s">
        <v>238</v>
      </c>
      <c r="K47" t="s">
        <v>99</v>
      </c>
      <c r="L47" t="s">
        <v>224</v>
      </c>
      <c r="M47" t="s">
        <v>224</v>
      </c>
      <c r="N47" t="s">
        <v>5</v>
      </c>
      <c r="P47" t="s">
        <v>946</v>
      </c>
      <c r="Q47">
        <f>ROW(Guide[[#This Row],[Row]])</f>
        <v>47</v>
      </c>
      <c r="R47" cm="1">
        <f t="array" ref="R47">_xlfn.XLOOKUP(
Guide[[#This Row],[Dataset]]&amp;Guide[[#This Row],[Category_1]]&amp;Guide[[#This Row],[Category_2]]&amp;Guide[[#This Row],[Dim_Group]],_xlfn.ANCHORARRAY( Sheet1!$N$2),_xlfn.CHOOSECOLS(_xlfn.ANCHORARRAY(Sheet1!$I$2),5),0)</f>
        <v>47</v>
      </c>
    </row>
    <row r="48" spans="1:18" hidden="1" x14ac:dyDescent="0.3">
      <c r="A48" t="s">
        <v>220</v>
      </c>
      <c r="B48" t="s">
        <v>239</v>
      </c>
      <c r="C48" t="s">
        <v>240</v>
      </c>
      <c r="D48" s="3" t="s">
        <v>223</v>
      </c>
      <c r="E48" s="3" t="s">
        <v>240</v>
      </c>
      <c r="F48">
        <v>1</v>
      </c>
      <c r="G48" t="s">
        <v>223</v>
      </c>
      <c r="H48" t="s">
        <v>224</v>
      </c>
      <c r="I48" t="s">
        <v>240</v>
      </c>
      <c r="K48" t="s">
        <v>99</v>
      </c>
      <c r="L48" t="s">
        <v>224</v>
      </c>
      <c r="M48" t="s">
        <v>224</v>
      </c>
      <c r="N48" t="s">
        <v>5</v>
      </c>
      <c r="P48" t="s">
        <v>946</v>
      </c>
      <c r="Q48">
        <f>ROW(Guide[[#This Row],[Row]])</f>
        <v>48</v>
      </c>
      <c r="R48" cm="1">
        <f t="array" ref="R48">_xlfn.XLOOKUP(
Guide[[#This Row],[Dataset]]&amp;Guide[[#This Row],[Category_1]]&amp;Guide[[#This Row],[Category_2]]&amp;Guide[[#This Row],[Dim_Group]],_xlfn.ANCHORARRAY( Sheet1!$N$2),_xlfn.CHOOSECOLS(_xlfn.ANCHORARRAY(Sheet1!$I$2),5),0)</f>
        <v>48</v>
      </c>
    </row>
    <row r="49" spans="1:18" hidden="1" x14ac:dyDescent="0.3">
      <c r="A49" t="s">
        <v>220</v>
      </c>
      <c r="B49" t="s">
        <v>241</v>
      </c>
      <c r="C49" t="s">
        <v>222</v>
      </c>
      <c r="D49" s="3" t="s">
        <v>242</v>
      </c>
      <c r="E49" s="3" t="s">
        <v>222</v>
      </c>
      <c r="F49">
        <v>1</v>
      </c>
      <c r="G49" t="s">
        <v>243</v>
      </c>
      <c r="H49" t="s">
        <v>224</v>
      </c>
      <c r="I49" t="s">
        <v>222</v>
      </c>
      <c r="K49" t="s">
        <v>99</v>
      </c>
      <c r="L49" t="s">
        <v>224</v>
      </c>
      <c r="M49" t="s">
        <v>224</v>
      </c>
      <c r="N49" t="s">
        <v>5</v>
      </c>
      <c r="P49" t="s">
        <v>947</v>
      </c>
      <c r="Q49">
        <f>ROW(Guide[[#This Row],[Row]])</f>
        <v>49</v>
      </c>
      <c r="R49" cm="1">
        <f t="array" ref="R49">_xlfn.XLOOKUP(
Guide[[#This Row],[Dataset]]&amp;Guide[[#This Row],[Category_1]]&amp;Guide[[#This Row],[Category_2]]&amp;Guide[[#This Row],[Dim_Group]],_xlfn.ANCHORARRAY( Sheet1!$N$2),_xlfn.CHOOSECOLS(_xlfn.ANCHORARRAY(Sheet1!$I$2),5),0)</f>
        <v>49</v>
      </c>
    </row>
    <row r="50" spans="1:18" hidden="1" x14ac:dyDescent="0.3">
      <c r="A50" t="s">
        <v>220</v>
      </c>
      <c r="B50" t="s">
        <v>244</v>
      </c>
      <c r="C50" t="s">
        <v>226</v>
      </c>
      <c r="D50" s="3" t="s">
        <v>242</v>
      </c>
      <c r="E50" s="3" t="s">
        <v>226</v>
      </c>
      <c r="F50">
        <v>1</v>
      </c>
      <c r="G50" t="s">
        <v>243</v>
      </c>
      <c r="H50" t="s">
        <v>224</v>
      </c>
      <c r="I50" t="s">
        <v>226</v>
      </c>
      <c r="K50" t="s">
        <v>99</v>
      </c>
      <c r="L50" t="s">
        <v>224</v>
      </c>
      <c r="M50" t="s">
        <v>224</v>
      </c>
      <c r="N50" t="s">
        <v>5</v>
      </c>
      <c r="P50" t="s">
        <v>946</v>
      </c>
      <c r="Q50">
        <f>ROW(Guide[[#This Row],[Row]])</f>
        <v>50</v>
      </c>
      <c r="R50" cm="1">
        <f t="array" ref="R50">_xlfn.XLOOKUP(
Guide[[#This Row],[Dataset]]&amp;Guide[[#This Row],[Category_1]]&amp;Guide[[#This Row],[Category_2]]&amp;Guide[[#This Row],[Dim_Group]],_xlfn.ANCHORARRAY( Sheet1!$N$2),_xlfn.CHOOSECOLS(_xlfn.ANCHORARRAY(Sheet1!$I$2),5),0)</f>
        <v>50</v>
      </c>
    </row>
    <row r="51" spans="1:18" hidden="1" x14ac:dyDescent="0.3">
      <c r="A51" t="s">
        <v>220</v>
      </c>
      <c r="B51" t="s">
        <v>245</v>
      </c>
      <c r="C51" t="s">
        <v>228</v>
      </c>
      <c r="D51" s="3" t="s">
        <v>242</v>
      </c>
      <c r="E51" s="3" t="s">
        <v>228</v>
      </c>
      <c r="F51">
        <v>1</v>
      </c>
      <c r="G51" t="s">
        <v>243</v>
      </c>
      <c r="H51" t="s">
        <v>224</v>
      </c>
      <c r="I51" t="s">
        <v>228</v>
      </c>
      <c r="K51" t="s">
        <v>99</v>
      </c>
      <c r="L51" t="s">
        <v>224</v>
      </c>
      <c r="M51" t="s">
        <v>224</v>
      </c>
      <c r="N51" t="s">
        <v>5</v>
      </c>
      <c r="P51" t="s">
        <v>946</v>
      </c>
      <c r="Q51">
        <f>ROW(Guide[[#This Row],[Row]])</f>
        <v>51</v>
      </c>
      <c r="R51" cm="1">
        <f t="array" ref="R51">_xlfn.XLOOKUP(
Guide[[#This Row],[Dataset]]&amp;Guide[[#This Row],[Category_1]]&amp;Guide[[#This Row],[Category_2]]&amp;Guide[[#This Row],[Dim_Group]],_xlfn.ANCHORARRAY( Sheet1!$N$2),_xlfn.CHOOSECOLS(_xlfn.ANCHORARRAY(Sheet1!$I$2),5),0)</f>
        <v>51</v>
      </c>
    </row>
    <row r="52" spans="1:18" hidden="1" x14ac:dyDescent="0.3">
      <c r="A52" t="s">
        <v>220</v>
      </c>
      <c r="B52" t="s">
        <v>246</v>
      </c>
      <c r="C52" t="s">
        <v>230</v>
      </c>
      <c r="D52" s="3" t="s">
        <v>242</v>
      </c>
      <c r="E52" s="3" t="s">
        <v>230</v>
      </c>
      <c r="F52">
        <v>1</v>
      </c>
      <c r="G52" t="s">
        <v>243</v>
      </c>
      <c r="H52" t="s">
        <v>224</v>
      </c>
      <c r="I52" t="s">
        <v>230</v>
      </c>
      <c r="K52" t="s">
        <v>99</v>
      </c>
      <c r="L52" t="s">
        <v>224</v>
      </c>
      <c r="M52" t="s">
        <v>224</v>
      </c>
      <c r="N52" t="s">
        <v>5</v>
      </c>
      <c r="P52" t="s">
        <v>946</v>
      </c>
      <c r="Q52">
        <f>ROW(Guide[[#This Row],[Row]])</f>
        <v>52</v>
      </c>
      <c r="R52" cm="1">
        <f t="array" ref="R52">_xlfn.XLOOKUP(
Guide[[#This Row],[Dataset]]&amp;Guide[[#This Row],[Category_1]]&amp;Guide[[#This Row],[Category_2]]&amp;Guide[[#This Row],[Dim_Group]],_xlfn.ANCHORARRAY( Sheet1!$N$2),_xlfn.CHOOSECOLS(_xlfn.ANCHORARRAY(Sheet1!$I$2),5),0)</f>
        <v>52</v>
      </c>
    </row>
    <row r="53" spans="1:18" hidden="1" x14ac:dyDescent="0.3">
      <c r="A53" t="s">
        <v>220</v>
      </c>
      <c r="B53" t="s">
        <v>247</v>
      </c>
      <c r="C53" t="s">
        <v>232</v>
      </c>
      <c r="D53" s="3" t="s">
        <v>242</v>
      </c>
      <c r="E53" s="3" t="s">
        <v>232</v>
      </c>
      <c r="F53">
        <v>1</v>
      </c>
      <c r="G53" t="s">
        <v>243</v>
      </c>
      <c r="H53" t="s">
        <v>224</v>
      </c>
      <c r="I53" t="s">
        <v>232</v>
      </c>
      <c r="K53" t="s">
        <v>99</v>
      </c>
      <c r="L53" t="s">
        <v>224</v>
      </c>
      <c r="M53" t="s">
        <v>224</v>
      </c>
      <c r="N53" t="s">
        <v>5</v>
      </c>
      <c r="P53" t="s">
        <v>946</v>
      </c>
      <c r="Q53">
        <f>ROW(Guide[[#This Row],[Row]])</f>
        <v>53</v>
      </c>
      <c r="R53" cm="1">
        <f t="array" ref="R53">_xlfn.XLOOKUP(
Guide[[#This Row],[Dataset]]&amp;Guide[[#This Row],[Category_1]]&amp;Guide[[#This Row],[Category_2]]&amp;Guide[[#This Row],[Dim_Group]],_xlfn.ANCHORARRAY( Sheet1!$N$2),_xlfn.CHOOSECOLS(_xlfn.ANCHORARRAY(Sheet1!$I$2),5),0)</f>
        <v>53</v>
      </c>
    </row>
    <row r="54" spans="1:18" hidden="1" x14ac:dyDescent="0.3">
      <c r="A54" t="s">
        <v>220</v>
      </c>
      <c r="B54" t="s">
        <v>248</v>
      </c>
      <c r="C54" t="s">
        <v>249</v>
      </c>
      <c r="D54" s="3" t="s">
        <v>242</v>
      </c>
      <c r="E54" s="3" t="s">
        <v>249</v>
      </c>
      <c r="F54">
        <v>1</v>
      </c>
      <c r="G54" t="s">
        <v>243</v>
      </c>
      <c r="H54" t="s">
        <v>224</v>
      </c>
      <c r="I54" t="s">
        <v>249</v>
      </c>
      <c r="K54" t="s">
        <v>99</v>
      </c>
      <c r="L54" t="s">
        <v>224</v>
      </c>
      <c r="M54" t="s">
        <v>224</v>
      </c>
      <c r="N54" t="s">
        <v>5</v>
      </c>
      <c r="P54" t="s">
        <v>946</v>
      </c>
      <c r="Q54">
        <f>ROW(Guide[[#This Row],[Row]])</f>
        <v>54</v>
      </c>
      <c r="R54" cm="1">
        <f t="array" ref="R54">_xlfn.XLOOKUP(
Guide[[#This Row],[Dataset]]&amp;Guide[[#This Row],[Category_1]]&amp;Guide[[#This Row],[Category_2]]&amp;Guide[[#This Row],[Dim_Group]],_xlfn.ANCHORARRAY( Sheet1!$N$2),_xlfn.CHOOSECOLS(_xlfn.ANCHORARRAY(Sheet1!$I$2),5),0)</f>
        <v>54</v>
      </c>
    </row>
    <row r="55" spans="1:18" hidden="1" x14ac:dyDescent="0.3">
      <c r="A55" t="s">
        <v>220</v>
      </c>
      <c r="B55" t="s">
        <v>250</v>
      </c>
      <c r="C55" t="s">
        <v>236</v>
      </c>
      <c r="D55" s="3" t="s">
        <v>242</v>
      </c>
      <c r="E55" s="3" t="s">
        <v>236</v>
      </c>
      <c r="F55">
        <v>1</v>
      </c>
      <c r="G55" t="s">
        <v>243</v>
      </c>
      <c r="H55" t="s">
        <v>224</v>
      </c>
      <c r="I55" t="s">
        <v>236</v>
      </c>
      <c r="K55" t="s">
        <v>99</v>
      </c>
      <c r="L55" t="s">
        <v>224</v>
      </c>
      <c r="M55" t="s">
        <v>224</v>
      </c>
      <c r="N55" t="s">
        <v>5</v>
      </c>
      <c r="P55" t="s">
        <v>946</v>
      </c>
      <c r="Q55">
        <f>ROW(Guide[[#This Row],[Row]])</f>
        <v>55</v>
      </c>
      <c r="R55" cm="1">
        <f t="array" ref="R55">_xlfn.XLOOKUP(
Guide[[#This Row],[Dataset]]&amp;Guide[[#This Row],[Category_1]]&amp;Guide[[#This Row],[Category_2]]&amp;Guide[[#This Row],[Dim_Group]],_xlfn.ANCHORARRAY( Sheet1!$N$2),_xlfn.CHOOSECOLS(_xlfn.ANCHORARRAY(Sheet1!$I$2),5),0)</f>
        <v>55</v>
      </c>
    </row>
    <row r="56" spans="1:18" hidden="1" x14ac:dyDescent="0.3">
      <c r="A56" t="s">
        <v>220</v>
      </c>
      <c r="B56" t="s">
        <v>251</v>
      </c>
      <c r="C56" t="s">
        <v>238</v>
      </c>
      <c r="D56" s="3" t="s">
        <v>242</v>
      </c>
      <c r="E56" s="3" t="s">
        <v>238</v>
      </c>
      <c r="F56">
        <v>1</v>
      </c>
      <c r="G56" t="s">
        <v>243</v>
      </c>
      <c r="H56" t="s">
        <v>224</v>
      </c>
      <c r="I56" t="s">
        <v>238</v>
      </c>
      <c r="K56" t="s">
        <v>99</v>
      </c>
      <c r="L56" t="s">
        <v>224</v>
      </c>
      <c r="M56" t="s">
        <v>224</v>
      </c>
      <c r="N56" t="s">
        <v>5</v>
      </c>
      <c r="P56" t="s">
        <v>946</v>
      </c>
      <c r="Q56">
        <f>ROW(Guide[[#This Row],[Row]])</f>
        <v>56</v>
      </c>
      <c r="R56" cm="1">
        <f t="array" ref="R56">_xlfn.XLOOKUP(
Guide[[#This Row],[Dataset]]&amp;Guide[[#This Row],[Category_1]]&amp;Guide[[#This Row],[Category_2]]&amp;Guide[[#This Row],[Dim_Group]],_xlfn.ANCHORARRAY( Sheet1!$N$2),_xlfn.CHOOSECOLS(_xlfn.ANCHORARRAY(Sheet1!$I$2),5),0)</f>
        <v>56</v>
      </c>
    </row>
    <row r="57" spans="1:18" hidden="1" x14ac:dyDescent="0.3">
      <c r="A57" t="s">
        <v>220</v>
      </c>
      <c r="B57" t="s">
        <v>252</v>
      </c>
      <c r="C57" t="s">
        <v>240</v>
      </c>
      <c r="D57" s="3" t="s">
        <v>242</v>
      </c>
      <c r="E57" s="3" t="s">
        <v>240</v>
      </c>
      <c r="F57">
        <v>1</v>
      </c>
      <c r="G57" t="s">
        <v>243</v>
      </c>
      <c r="H57" t="s">
        <v>224</v>
      </c>
      <c r="I57" t="s">
        <v>240</v>
      </c>
      <c r="K57" t="s">
        <v>99</v>
      </c>
      <c r="L57" t="s">
        <v>224</v>
      </c>
      <c r="M57" t="s">
        <v>224</v>
      </c>
      <c r="N57" t="s">
        <v>5</v>
      </c>
      <c r="P57" t="s">
        <v>946</v>
      </c>
      <c r="Q57">
        <f>ROW(Guide[[#This Row],[Row]])</f>
        <v>57</v>
      </c>
      <c r="R57" cm="1">
        <f t="array" ref="R57">_xlfn.XLOOKUP(
Guide[[#This Row],[Dataset]]&amp;Guide[[#This Row],[Category_1]]&amp;Guide[[#This Row],[Category_2]]&amp;Guide[[#This Row],[Dim_Group]],_xlfn.ANCHORARRAY( Sheet1!$N$2),_xlfn.CHOOSECOLS(_xlfn.ANCHORARRAY(Sheet1!$I$2),5),0)</f>
        <v>57</v>
      </c>
    </row>
    <row r="58" spans="1:18" hidden="1" x14ac:dyDescent="0.3">
      <c r="A58" t="s">
        <v>220</v>
      </c>
      <c r="B58" t="s">
        <v>253</v>
      </c>
      <c r="C58" t="s">
        <v>222</v>
      </c>
      <c r="D58" s="3" t="s">
        <v>254</v>
      </c>
      <c r="E58" s="3" t="s">
        <v>222</v>
      </c>
      <c r="F58">
        <v>1</v>
      </c>
      <c r="G58" t="s">
        <v>243</v>
      </c>
      <c r="H58" t="s">
        <v>224</v>
      </c>
      <c r="I58" t="s">
        <v>222</v>
      </c>
      <c r="K58" t="s">
        <v>99</v>
      </c>
      <c r="L58" t="s">
        <v>224</v>
      </c>
      <c r="M58" t="s">
        <v>224</v>
      </c>
      <c r="N58" t="s">
        <v>5</v>
      </c>
      <c r="P58" t="s">
        <v>947</v>
      </c>
      <c r="Q58">
        <f>ROW(Guide[[#This Row],[Row]])</f>
        <v>58</v>
      </c>
      <c r="R58" cm="1">
        <f t="array" ref="R58">_xlfn.XLOOKUP(
Guide[[#This Row],[Dataset]]&amp;Guide[[#This Row],[Category_1]]&amp;Guide[[#This Row],[Category_2]]&amp;Guide[[#This Row],[Dim_Group]],_xlfn.ANCHORARRAY( Sheet1!$N$2),_xlfn.CHOOSECOLS(_xlfn.ANCHORARRAY(Sheet1!$I$2),5),0)</f>
        <v>58</v>
      </c>
    </row>
    <row r="59" spans="1:18" hidden="1" x14ac:dyDescent="0.3">
      <c r="A59" t="s">
        <v>220</v>
      </c>
      <c r="B59" t="s">
        <v>255</v>
      </c>
      <c r="C59" t="s">
        <v>226</v>
      </c>
      <c r="D59" s="3" t="s">
        <v>254</v>
      </c>
      <c r="E59" s="3" t="s">
        <v>226</v>
      </c>
      <c r="F59">
        <v>1</v>
      </c>
      <c r="G59" t="s">
        <v>243</v>
      </c>
      <c r="H59" t="s">
        <v>224</v>
      </c>
      <c r="I59" t="s">
        <v>226</v>
      </c>
      <c r="K59" t="s">
        <v>99</v>
      </c>
      <c r="L59" t="s">
        <v>224</v>
      </c>
      <c r="M59" t="s">
        <v>224</v>
      </c>
      <c r="N59" t="s">
        <v>5</v>
      </c>
      <c r="P59" t="s">
        <v>946</v>
      </c>
      <c r="Q59">
        <f>ROW(Guide[[#This Row],[Row]])</f>
        <v>59</v>
      </c>
      <c r="R59" cm="1">
        <f t="array" ref="R59">_xlfn.XLOOKUP(
Guide[[#This Row],[Dataset]]&amp;Guide[[#This Row],[Category_1]]&amp;Guide[[#This Row],[Category_2]]&amp;Guide[[#This Row],[Dim_Group]],_xlfn.ANCHORARRAY( Sheet1!$N$2),_xlfn.CHOOSECOLS(_xlfn.ANCHORARRAY(Sheet1!$I$2),5),0)</f>
        <v>59</v>
      </c>
    </row>
    <row r="60" spans="1:18" hidden="1" x14ac:dyDescent="0.3">
      <c r="A60" t="s">
        <v>220</v>
      </c>
      <c r="B60" t="s">
        <v>256</v>
      </c>
      <c r="C60" t="s">
        <v>228</v>
      </c>
      <c r="D60" s="3" t="s">
        <v>254</v>
      </c>
      <c r="E60" s="3" t="s">
        <v>228</v>
      </c>
      <c r="F60">
        <v>1</v>
      </c>
      <c r="G60" t="s">
        <v>243</v>
      </c>
      <c r="H60" t="s">
        <v>224</v>
      </c>
      <c r="I60" t="s">
        <v>228</v>
      </c>
      <c r="K60" t="s">
        <v>99</v>
      </c>
      <c r="L60" t="s">
        <v>224</v>
      </c>
      <c r="M60" t="s">
        <v>224</v>
      </c>
      <c r="N60" t="s">
        <v>5</v>
      </c>
      <c r="P60" t="s">
        <v>946</v>
      </c>
      <c r="Q60">
        <f>ROW(Guide[[#This Row],[Row]])</f>
        <v>60</v>
      </c>
      <c r="R60" cm="1">
        <f t="array" ref="R60">_xlfn.XLOOKUP(
Guide[[#This Row],[Dataset]]&amp;Guide[[#This Row],[Category_1]]&amp;Guide[[#This Row],[Category_2]]&amp;Guide[[#This Row],[Dim_Group]],_xlfn.ANCHORARRAY( Sheet1!$N$2),_xlfn.CHOOSECOLS(_xlfn.ANCHORARRAY(Sheet1!$I$2),5),0)</f>
        <v>60</v>
      </c>
    </row>
    <row r="61" spans="1:18" hidden="1" x14ac:dyDescent="0.3">
      <c r="A61" t="s">
        <v>220</v>
      </c>
      <c r="B61" t="s">
        <v>257</v>
      </c>
      <c r="C61" t="s">
        <v>230</v>
      </c>
      <c r="D61" s="3" t="s">
        <v>254</v>
      </c>
      <c r="E61" s="3" t="s">
        <v>230</v>
      </c>
      <c r="F61">
        <v>1</v>
      </c>
      <c r="G61" t="s">
        <v>243</v>
      </c>
      <c r="H61" t="s">
        <v>224</v>
      </c>
      <c r="I61" t="s">
        <v>230</v>
      </c>
      <c r="K61" t="s">
        <v>99</v>
      </c>
      <c r="L61" t="s">
        <v>224</v>
      </c>
      <c r="M61" t="s">
        <v>224</v>
      </c>
      <c r="N61" t="s">
        <v>5</v>
      </c>
      <c r="P61" t="s">
        <v>946</v>
      </c>
      <c r="Q61">
        <f>ROW(Guide[[#This Row],[Row]])</f>
        <v>61</v>
      </c>
      <c r="R61" cm="1">
        <f t="array" ref="R61">_xlfn.XLOOKUP(
Guide[[#This Row],[Dataset]]&amp;Guide[[#This Row],[Category_1]]&amp;Guide[[#This Row],[Category_2]]&amp;Guide[[#This Row],[Dim_Group]],_xlfn.ANCHORARRAY( Sheet1!$N$2),_xlfn.CHOOSECOLS(_xlfn.ANCHORARRAY(Sheet1!$I$2),5),0)</f>
        <v>61</v>
      </c>
    </row>
    <row r="62" spans="1:18" hidden="1" x14ac:dyDescent="0.3">
      <c r="A62" t="s">
        <v>220</v>
      </c>
      <c r="B62" t="s">
        <v>258</v>
      </c>
      <c r="C62" t="s">
        <v>232</v>
      </c>
      <c r="D62" s="3" t="s">
        <v>254</v>
      </c>
      <c r="E62" s="3" t="s">
        <v>232</v>
      </c>
      <c r="F62">
        <v>1</v>
      </c>
      <c r="G62" t="s">
        <v>243</v>
      </c>
      <c r="H62" t="s">
        <v>224</v>
      </c>
      <c r="I62" t="s">
        <v>232</v>
      </c>
      <c r="K62" t="s">
        <v>99</v>
      </c>
      <c r="L62" t="s">
        <v>224</v>
      </c>
      <c r="M62" t="s">
        <v>224</v>
      </c>
      <c r="N62" t="s">
        <v>5</v>
      </c>
      <c r="P62" t="s">
        <v>946</v>
      </c>
      <c r="Q62">
        <f>ROW(Guide[[#This Row],[Row]])</f>
        <v>62</v>
      </c>
      <c r="R62" cm="1">
        <f t="array" ref="R62">_xlfn.XLOOKUP(
Guide[[#This Row],[Dataset]]&amp;Guide[[#This Row],[Category_1]]&amp;Guide[[#This Row],[Category_2]]&amp;Guide[[#This Row],[Dim_Group]],_xlfn.ANCHORARRAY( Sheet1!$N$2),_xlfn.CHOOSECOLS(_xlfn.ANCHORARRAY(Sheet1!$I$2),5),0)</f>
        <v>62</v>
      </c>
    </row>
    <row r="63" spans="1:18" hidden="1" x14ac:dyDescent="0.3">
      <c r="A63" t="s">
        <v>220</v>
      </c>
      <c r="B63" t="s">
        <v>259</v>
      </c>
      <c r="C63" t="s">
        <v>234</v>
      </c>
      <c r="D63" s="3" t="s">
        <v>254</v>
      </c>
      <c r="E63" s="3" t="s">
        <v>234</v>
      </c>
      <c r="F63">
        <v>1</v>
      </c>
      <c r="G63" t="s">
        <v>243</v>
      </c>
      <c r="H63" t="s">
        <v>224</v>
      </c>
      <c r="I63" t="s">
        <v>234</v>
      </c>
      <c r="K63" t="s">
        <v>99</v>
      </c>
      <c r="L63" t="s">
        <v>224</v>
      </c>
      <c r="M63" t="s">
        <v>224</v>
      </c>
      <c r="N63" t="s">
        <v>5</v>
      </c>
      <c r="P63" t="s">
        <v>946</v>
      </c>
      <c r="Q63">
        <f>ROW(Guide[[#This Row],[Row]])</f>
        <v>63</v>
      </c>
      <c r="R63" cm="1">
        <f t="array" ref="R63">_xlfn.XLOOKUP(
Guide[[#This Row],[Dataset]]&amp;Guide[[#This Row],[Category_1]]&amp;Guide[[#This Row],[Category_2]]&amp;Guide[[#This Row],[Dim_Group]],_xlfn.ANCHORARRAY( Sheet1!$N$2),_xlfn.CHOOSECOLS(_xlfn.ANCHORARRAY(Sheet1!$I$2),5),0)</f>
        <v>63</v>
      </c>
    </row>
    <row r="64" spans="1:18" hidden="1" x14ac:dyDescent="0.3">
      <c r="A64" t="s">
        <v>220</v>
      </c>
      <c r="B64" t="s">
        <v>260</v>
      </c>
      <c r="C64" t="s">
        <v>236</v>
      </c>
      <c r="D64" s="3" t="s">
        <v>254</v>
      </c>
      <c r="E64" s="3" t="s">
        <v>236</v>
      </c>
      <c r="F64">
        <v>1</v>
      </c>
      <c r="G64" t="s">
        <v>243</v>
      </c>
      <c r="H64" t="s">
        <v>224</v>
      </c>
      <c r="I64" t="s">
        <v>236</v>
      </c>
      <c r="K64" t="s">
        <v>99</v>
      </c>
      <c r="L64" t="s">
        <v>224</v>
      </c>
      <c r="M64" t="s">
        <v>224</v>
      </c>
      <c r="N64" t="s">
        <v>5</v>
      </c>
      <c r="P64" t="s">
        <v>946</v>
      </c>
      <c r="Q64">
        <f>ROW(Guide[[#This Row],[Row]])</f>
        <v>64</v>
      </c>
      <c r="R64" cm="1">
        <f t="array" ref="R64">_xlfn.XLOOKUP(
Guide[[#This Row],[Dataset]]&amp;Guide[[#This Row],[Category_1]]&amp;Guide[[#This Row],[Category_2]]&amp;Guide[[#This Row],[Dim_Group]],_xlfn.ANCHORARRAY( Sheet1!$N$2),_xlfn.CHOOSECOLS(_xlfn.ANCHORARRAY(Sheet1!$I$2),5),0)</f>
        <v>64</v>
      </c>
    </row>
    <row r="65" spans="1:18" hidden="1" x14ac:dyDescent="0.3">
      <c r="A65" t="s">
        <v>220</v>
      </c>
      <c r="B65" t="s">
        <v>261</v>
      </c>
      <c r="C65" t="s">
        <v>238</v>
      </c>
      <c r="D65" s="3" t="s">
        <v>254</v>
      </c>
      <c r="E65" s="3" t="s">
        <v>238</v>
      </c>
      <c r="F65">
        <v>1</v>
      </c>
      <c r="G65" t="s">
        <v>243</v>
      </c>
      <c r="H65" t="s">
        <v>224</v>
      </c>
      <c r="I65" t="s">
        <v>238</v>
      </c>
      <c r="K65" t="s">
        <v>99</v>
      </c>
      <c r="L65" t="s">
        <v>224</v>
      </c>
      <c r="M65" t="s">
        <v>224</v>
      </c>
      <c r="N65" t="s">
        <v>5</v>
      </c>
      <c r="P65" t="s">
        <v>946</v>
      </c>
      <c r="Q65">
        <f>ROW(Guide[[#This Row],[Row]])</f>
        <v>65</v>
      </c>
      <c r="R65" cm="1">
        <f t="array" ref="R65">_xlfn.XLOOKUP(
Guide[[#This Row],[Dataset]]&amp;Guide[[#This Row],[Category_1]]&amp;Guide[[#This Row],[Category_2]]&amp;Guide[[#This Row],[Dim_Group]],_xlfn.ANCHORARRAY( Sheet1!$N$2),_xlfn.CHOOSECOLS(_xlfn.ANCHORARRAY(Sheet1!$I$2),5),0)</f>
        <v>65</v>
      </c>
    </row>
    <row r="66" spans="1:18" hidden="1" x14ac:dyDescent="0.3">
      <c r="A66" t="s">
        <v>220</v>
      </c>
      <c r="B66" t="s">
        <v>262</v>
      </c>
      <c r="C66" t="s">
        <v>240</v>
      </c>
      <c r="D66" s="3" t="s">
        <v>254</v>
      </c>
      <c r="E66" s="3" t="s">
        <v>240</v>
      </c>
      <c r="F66">
        <v>1</v>
      </c>
      <c r="G66" t="s">
        <v>243</v>
      </c>
      <c r="H66" t="s">
        <v>224</v>
      </c>
      <c r="I66" t="s">
        <v>240</v>
      </c>
      <c r="K66" t="s">
        <v>99</v>
      </c>
      <c r="L66" t="s">
        <v>224</v>
      </c>
      <c r="M66" t="s">
        <v>224</v>
      </c>
      <c r="N66" t="s">
        <v>5</v>
      </c>
      <c r="P66" t="s">
        <v>946</v>
      </c>
      <c r="Q66">
        <f>ROW(Guide[[#This Row],[Row]])</f>
        <v>66</v>
      </c>
      <c r="R66" cm="1">
        <f t="array" ref="R66">_xlfn.XLOOKUP(
Guide[[#This Row],[Dataset]]&amp;Guide[[#This Row],[Category_1]]&amp;Guide[[#This Row],[Category_2]]&amp;Guide[[#This Row],[Dim_Group]],_xlfn.ANCHORARRAY( Sheet1!$N$2),_xlfn.CHOOSECOLS(_xlfn.ANCHORARRAY(Sheet1!$I$2),5),0)</f>
        <v>66</v>
      </c>
    </row>
    <row r="67" spans="1:18" hidden="1" x14ac:dyDescent="0.3">
      <c r="A67" t="s">
        <v>263</v>
      </c>
      <c r="B67" t="s">
        <v>264</v>
      </c>
      <c r="C67" t="s">
        <v>265</v>
      </c>
      <c r="D67" s="3" t="s">
        <v>193</v>
      </c>
      <c r="E67" s="3" t="s">
        <v>265</v>
      </c>
      <c r="F67">
        <v>1</v>
      </c>
      <c r="G67" t="s">
        <v>193</v>
      </c>
      <c r="H67" t="s">
        <v>105</v>
      </c>
      <c r="I67" t="s">
        <v>265</v>
      </c>
      <c r="K67" t="s">
        <v>99</v>
      </c>
      <c r="L67" t="s">
        <v>105</v>
      </c>
      <c r="M67" t="s">
        <v>105</v>
      </c>
      <c r="N67" t="s">
        <v>107</v>
      </c>
      <c r="P67" t="s">
        <v>947</v>
      </c>
      <c r="Q67">
        <f>ROW(Guide[[#This Row],[Row]])</f>
        <v>67</v>
      </c>
      <c r="R67" cm="1">
        <f t="array" ref="R67">_xlfn.XLOOKUP(
Guide[[#This Row],[Dataset]]&amp;Guide[[#This Row],[Category_1]]&amp;Guide[[#This Row],[Category_2]]&amp;Guide[[#This Row],[Dim_Group]],_xlfn.ANCHORARRAY( Sheet1!$N$2),_xlfn.CHOOSECOLS(_xlfn.ANCHORARRAY(Sheet1!$I$2),5),0)</f>
        <v>67</v>
      </c>
    </row>
    <row r="68" spans="1:18" hidden="1" x14ac:dyDescent="0.3">
      <c r="A68" t="s">
        <v>263</v>
      </c>
      <c r="B68" t="s">
        <v>266</v>
      </c>
      <c r="C68" t="s">
        <v>265</v>
      </c>
      <c r="D68" s="3" t="s">
        <v>193</v>
      </c>
      <c r="E68" s="3" t="s">
        <v>265</v>
      </c>
      <c r="F68">
        <v>1</v>
      </c>
      <c r="G68" t="s">
        <v>193</v>
      </c>
      <c r="H68" t="s">
        <v>19</v>
      </c>
      <c r="I68" t="s">
        <v>265</v>
      </c>
      <c r="K68" t="s">
        <v>99</v>
      </c>
      <c r="L68" t="s">
        <v>267</v>
      </c>
      <c r="M68" t="s">
        <v>19</v>
      </c>
      <c r="N68" t="s">
        <v>21</v>
      </c>
      <c r="P68" t="s">
        <v>947</v>
      </c>
      <c r="Q68">
        <f>ROW(Guide[[#This Row],[Row]])</f>
        <v>68</v>
      </c>
      <c r="R68" cm="1">
        <f t="array" ref="R68">_xlfn.XLOOKUP(
Guide[[#This Row],[Dataset]]&amp;Guide[[#This Row],[Category_1]]&amp;Guide[[#This Row],[Category_2]]&amp;Guide[[#This Row],[Dim_Group]],_xlfn.ANCHORARRAY( Sheet1!$N$2),_xlfn.CHOOSECOLS(_xlfn.ANCHORARRAY(Sheet1!$I$2),5),0)</f>
        <v>68</v>
      </c>
    </row>
    <row r="69" spans="1:18" hidden="1" x14ac:dyDescent="0.3">
      <c r="A69" t="s">
        <v>263</v>
      </c>
      <c r="B69" t="s">
        <v>268</v>
      </c>
      <c r="C69" t="s">
        <v>265</v>
      </c>
      <c r="D69" s="3" t="s">
        <v>193</v>
      </c>
      <c r="E69" s="3" t="s">
        <v>265</v>
      </c>
      <c r="F69">
        <v>1</v>
      </c>
      <c r="G69" t="s">
        <v>193</v>
      </c>
      <c r="H69" t="s">
        <v>19</v>
      </c>
      <c r="I69" t="s">
        <v>265</v>
      </c>
      <c r="K69" t="s">
        <v>99</v>
      </c>
      <c r="L69" t="s">
        <v>269</v>
      </c>
      <c r="M69" t="s">
        <v>19</v>
      </c>
      <c r="N69" t="s">
        <v>21</v>
      </c>
      <c r="P69" t="s">
        <v>947</v>
      </c>
      <c r="Q69">
        <f>ROW(Guide[[#This Row],[Row]])</f>
        <v>69</v>
      </c>
      <c r="R69" cm="1">
        <f t="array" ref="R69">_xlfn.XLOOKUP(
Guide[[#This Row],[Dataset]]&amp;Guide[[#This Row],[Category_1]]&amp;Guide[[#This Row],[Category_2]]&amp;Guide[[#This Row],[Dim_Group]],_xlfn.ANCHORARRAY( Sheet1!$N$2),_xlfn.CHOOSECOLS(_xlfn.ANCHORARRAY(Sheet1!$I$2),5),0)</f>
        <v>69</v>
      </c>
    </row>
    <row r="70" spans="1:18" hidden="1" x14ac:dyDescent="0.3">
      <c r="A70" t="s">
        <v>263</v>
      </c>
      <c r="B70" t="s">
        <v>270</v>
      </c>
      <c r="C70" t="s">
        <v>271</v>
      </c>
      <c r="D70" s="3" t="s">
        <v>193</v>
      </c>
      <c r="E70" s="3" t="s">
        <v>271</v>
      </c>
      <c r="F70">
        <v>1</v>
      </c>
      <c r="G70" t="s">
        <v>193</v>
      </c>
      <c r="H70" t="s">
        <v>105</v>
      </c>
      <c r="I70" t="s">
        <v>271</v>
      </c>
      <c r="K70" t="s">
        <v>99</v>
      </c>
      <c r="L70" t="s">
        <v>105</v>
      </c>
      <c r="M70" t="s">
        <v>105</v>
      </c>
      <c r="N70" t="s">
        <v>107</v>
      </c>
      <c r="P70" t="s">
        <v>946</v>
      </c>
      <c r="Q70">
        <f>ROW(Guide[[#This Row],[Row]])</f>
        <v>70</v>
      </c>
      <c r="R70" cm="1">
        <f t="array" ref="R70">_xlfn.XLOOKUP(
Guide[[#This Row],[Dataset]]&amp;Guide[[#This Row],[Category_1]]&amp;Guide[[#This Row],[Category_2]]&amp;Guide[[#This Row],[Dim_Group]],_xlfn.ANCHORARRAY( Sheet1!$N$2),_xlfn.CHOOSECOLS(_xlfn.ANCHORARRAY(Sheet1!$I$2),5),0)</f>
        <v>70</v>
      </c>
    </row>
    <row r="71" spans="1:18" hidden="1" x14ac:dyDescent="0.3">
      <c r="A71" t="s">
        <v>263</v>
      </c>
      <c r="B71" t="s">
        <v>272</v>
      </c>
      <c r="C71" t="s">
        <v>271</v>
      </c>
      <c r="D71" s="3" t="s">
        <v>193</v>
      </c>
      <c r="E71" s="3" t="s">
        <v>271</v>
      </c>
      <c r="F71">
        <v>1</v>
      </c>
      <c r="G71" t="s">
        <v>193</v>
      </c>
      <c r="H71" t="s">
        <v>19</v>
      </c>
      <c r="I71" t="s">
        <v>271</v>
      </c>
      <c r="K71" t="s">
        <v>99</v>
      </c>
      <c r="L71" t="s">
        <v>267</v>
      </c>
      <c r="M71" t="s">
        <v>19</v>
      </c>
      <c r="N71" t="s">
        <v>21</v>
      </c>
      <c r="P71" t="s">
        <v>946</v>
      </c>
      <c r="Q71">
        <f>ROW(Guide[[#This Row],[Row]])</f>
        <v>71</v>
      </c>
      <c r="R71" cm="1">
        <f t="array" ref="R71">_xlfn.XLOOKUP(
Guide[[#This Row],[Dataset]]&amp;Guide[[#This Row],[Category_1]]&amp;Guide[[#This Row],[Category_2]]&amp;Guide[[#This Row],[Dim_Group]],_xlfn.ANCHORARRAY( Sheet1!$N$2),_xlfn.CHOOSECOLS(_xlfn.ANCHORARRAY(Sheet1!$I$2),5),0)</f>
        <v>71</v>
      </c>
    </row>
    <row r="72" spans="1:18" hidden="1" x14ac:dyDescent="0.3">
      <c r="A72" t="s">
        <v>263</v>
      </c>
      <c r="B72" t="s">
        <v>273</v>
      </c>
      <c r="C72" t="s">
        <v>271</v>
      </c>
      <c r="D72" s="3" t="s">
        <v>193</v>
      </c>
      <c r="E72" s="3" t="s">
        <v>271</v>
      </c>
      <c r="F72">
        <v>1</v>
      </c>
      <c r="G72" t="s">
        <v>193</v>
      </c>
      <c r="H72" t="s">
        <v>19</v>
      </c>
      <c r="I72" t="s">
        <v>271</v>
      </c>
      <c r="K72" t="s">
        <v>99</v>
      </c>
      <c r="L72" t="s">
        <v>269</v>
      </c>
      <c r="M72" t="s">
        <v>19</v>
      </c>
      <c r="N72" t="s">
        <v>21</v>
      </c>
      <c r="P72" t="s">
        <v>946</v>
      </c>
      <c r="Q72">
        <f>ROW(Guide[[#This Row],[Row]])</f>
        <v>72</v>
      </c>
      <c r="R72" cm="1">
        <f t="array" ref="R72">_xlfn.XLOOKUP(
Guide[[#This Row],[Dataset]]&amp;Guide[[#This Row],[Category_1]]&amp;Guide[[#This Row],[Category_2]]&amp;Guide[[#This Row],[Dim_Group]],_xlfn.ANCHORARRAY( Sheet1!$N$2),_xlfn.CHOOSECOLS(_xlfn.ANCHORARRAY(Sheet1!$I$2),5),0)</f>
        <v>72</v>
      </c>
    </row>
    <row r="73" spans="1:18" hidden="1" x14ac:dyDescent="0.3">
      <c r="A73" t="s">
        <v>263</v>
      </c>
      <c r="B73" t="s">
        <v>274</v>
      </c>
      <c r="C73" t="s">
        <v>275</v>
      </c>
      <c r="D73" s="3" t="s">
        <v>193</v>
      </c>
      <c r="E73" s="3" t="s">
        <v>275</v>
      </c>
      <c r="F73">
        <v>1</v>
      </c>
      <c r="G73" t="s">
        <v>193</v>
      </c>
      <c r="H73" t="s">
        <v>105</v>
      </c>
      <c r="I73" t="s">
        <v>275</v>
      </c>
      <c r="K73" t="s">
        <v>99</v>
      </c>
      <c r="L73" t="s">
        <v>105</v>
      </c>
      <c r="M73" t="s">
        <v>105</v>
      </c>
      <c r="N73" t="s">
        <v>107</v>
      </c>
      <c r="P73" t="s">
        <v>946</v>
      </c>
      <c r="Q73">
        <f>ROW(Guide[[#This Row],[Row]])</f>
        <v>73</v>
      </c>
      <c r="R73" cm="1">
        <f t="array" ref="R73">_xlfn.XLOOKUP(
Guide[[#This Row],[Dataset]]&amp;Guide[[#This Row],[Category_1]]&amp;Guide[[#This Row],[Category_2]]&amp;Guide[[#This Row],[Dim_Group]],_xlfn.ANCHORARRAY( Sheet1!$N$2),_xlfn.CHOOSECOLS(_xlfn.ANCHORARRAY(Sheet1!$I$2),5),0)</f>
        <v>73</v>
      </c>
    </row>
    <row r="74" spans="1:18" hidden="1" x14ac:dyDescent="0.3">
      <c r="A74" t="s">
        <v>263</v>
      </c>
      <c r="B74" t="s">
        <v>276</v>
      </c>
      <c r="C74" t="s">
        <v>275</v>
      </c>
      <c r="D74" s="3" t="s">
        <v>193</v>
      </c>
      <c r="E74" s="3" t="s">
        <v>275</v>
      </c>
      <c r="F74">
        <v>1</v>
      </c>
      <c r="G74" t="s">
        <v>193</v>
      </c>
      <c r="H74" t="s">
        <v>19</v>
      </c>
      <c r="I74" t="s">
        <v>275</v>
      </c>
      <c r="K74" t="s">
        <v>99</v>
      </c>
      <c r="L74" t="s">
        <v>267</v>
      </c>
      <c r="M74" t="s">
        <v>19</v>
      </c>
      <c r="N74" t="s">
        <v>21</v>
      </c>
      <c r="P74" t="s">
        <v>946</v>
      </c>
      <c r="Q74">
        <f>ROW(Guide[[#This Row],[Row]])</f>
        <v>74</v>
      </c>
      <c r="R74" cm="1">
        <f t="array" ref="R74">_xlfn.XLOOKUP(
Guide[[#This Row],[Dataset]]&amp;Guide[[#This Row],[Category_1]]&amp;Guide[[#This Row],[Category_2]]&amp;Guide[[#This Row],[Dim_Group]],_xlfn.ANCHORARRAY( Sheet1!$N$2),_xlfn.CHOOSECOLS(_xlfn.ANCHORARRAY(Sheet1!$I$2),5),0)</f>
        <v>74</v>
      </c>
    </row>
    <row r="75" spans="1:18" hidden="1" x14ac:dyDescent="0.3">
      <c r="A75" t="s">
        <v>263</v>
      </c>
      <c r="B75" t="s">
        <v>277</v>
      </c>
      <c r="C75" t="s">
        <v>275</v>
      </c>
      <c r="D75" s="3" t="s">
        <v>193</v>
      </c>
      <c r="E75" s="3" t="s">
        <v>275</v>
      </c>
      <c r="F75">
        <v>1</v>
      </c>
      <c r="G75" t="s">
        <v>193</v>
      </c>
      <c r="H75" t="s">
        <v>19</v>
      </c>
      <c r="I75" t="s">
        <v>275</v>
      </c>
      <c r="K75" t="s">
        <v>99</v>
      </c>
      <c r="L75" t="s">
        <v>269</v>
      </c>
      <c r="M75" t="s">
        <v>19</v>
      </c>
      <c r="N75" t="s">
        <v>21</v>
      </c>
      <c r="P75" t="s">
        <v>946</v>
      </c>
      <c r="Q75">
        <f>ROW(Guide[[#This Row],[Row]])</f>
        <v>75</v>
      </c>
      <c r="R75" cm="1">
        <f t="array" ref="R75">_xlfn.XLOOKUP(
Guide[[#This Row],[Dataset]]&amp;Guide[[#This Row],[Category_1]]&amp;Guide[[#This Row],[Category_2]]&amp;Guide[[#This Row],[Dim_Group]],_xlfn.ANCHORARRAY( Sheet1!$N$2),_xlfn.CHOOSECOLS(_xlfn.ANCHORARRAY(Sheet1!$I$2),5),0)</f>
        <v>75</v>
      </c>
    </row>
    <row r="76" spans="1:18" hidden="1" x14ac:dyDescent="0.3">
      <c r="A76" t="s">
        <v>263</v>
      </c>
      <c r="B76" t="s">
        <v>278</v>
      </c>
      <c r="C76" t="s">
        <v>279</v>
      </c>
      <c r="D76" s="3" t="s">
        <v>193</v>
      </c>
      <c r="E76" s="3" t="s">
        <v>279</v>
      </c>
      <c r="F76">
        <v>1</v>
      </c>
      <c r="G76" t="s">
        <v>193</v>
      </c>
      <c r="H76" t="s">
        <v>105</v>
      </c>
      <c r="I76" t="s">
        <v>279</v>
      </c>
      <c r="K76" t="s">
        <v>99</v>
      </c>
      <c r="L76" t="s">
        <v>105</v>
      </c>
      <c r="M76" t="s">
        <v>105</v>
      </c>
      <c r="N76" t="s">
        <v>107</v>
      </c>
      <c r="P76" t="s">
        <v>946</v>
      </c>
      <c r="Q76">
        <f>ROW(Guide[[#This Row],[Row]])</f>
        <v>76</v>
      </c>
      <c r="R76" cm="1">
        <f t="array" ref="R76">_xlfn.XLOOKUP(
Guide[[#This Row],[Dataset]]&amp;Guide[[#This Row],[Category_1]]&amp;Guide[[#This Row],[Category_2]]&amp;Guide[[#This Row],[Dim_Group]],_xlfn.ANCHORARRAY( Sheet1!$N$2),_xlfn.CHOOSECOLS(_xlfn.ANCHORARRAY(Sheet1!$I$2),5),0)</f>
        <v>76</v>
      </c>
    </row>
    <row r="77" spans="1:18" hidden="1" x14ac:dyDescent="0.3">
      <c r="A77" t="s">
        <v>263</v>
      </c>
      <c r="B77" t="s">
        <v>280</v>
      </c>
      <c r="C77" t="s">
        <v>279</v>
      </c>
      <c r="D77" s="3" t="s">
        <v>193</v>
      </c>
      <c r="E77" s="3" t="s">
        <v>279</v>
      </c>
      <c r="F77">
        <v>1</v>
      </c>
      <c r="G77" t="s">
        <v>193</v>
      </c>
      <c r="H77" t="s">
        <v>19</v>
      </c>
      <c r="I77" t="s">
        <v>279</v>
      </c>
      <c r="K77" t="s">
        <v>99</v>
      </c>
      <c r="L77" t="s">
        <v>267</v>
      </c>
      <c r="M77" t="s">
        <v>19</v>
      </c>
      <c r="N77" t="s">
        <v>21</v>
      </c>
      <c r="P77" t="s">
        <v>946</v>
      </c>
      <c r="Q77">
        <f>ROW(Guide[[#This Row],[Row]])</f>
        <v>77</v>
      </c>
      <c r="R77" cm="1">
        <f t="array" ref="R77">_xlfn.XLOOKUP(
Guide[[#This Row],[Dataset]]&amp;Guide[[#This Row],[Category_1]]&amp;Guide[[#This Row],[Category_2]]&amp;Guide[[#This Row],[Dim_Group]],_xlfn.ANCHORARRAY( Sheet1!$N$2),_xlfn.CHOOSECOLS(_xlfn.ANCHORARRAY(Sheet1!$I$2),5),0)</f>
        <v>77</v>
      </c>
    </row>
    <row r="78" spans="1:18" hidden="1" x14ac:dyDescent="0.3">
      <c r="A78" t="s">
        <v>263</v>
      </c>
      <c r="B78" t="s">
        <v>281</v>
      </c>
      <c r="C78" t="s">
        <v>279</v>
      </c>
      <c r="D78" s="3" t="s">
        <v>193</v>
      </c>
      <c r="E78" s="3" t="s">
        <v>279</v>
      </c>
      <c r="F78">
        <v>1</v>
      </c>
      <c r="G78" t="s">
        <v>193</v>
      </c>
      <c r="H78" t="s">
        <v>19</v>
      </c>
      <c r="I78" t="s">
        <v>279</v>
      </c>
      <c r="K78" t="s">
        <v>99</v>
      </c>
      <c r="L78" t="s">
        <v>269</v>
      </c>
      <c r="M78" t="s">
        <v>19</v>
      </c>
      <c r="N78" t="s">
        <v>21</v>
      </c>
      <c r="P78" t="s">
        <v>946</v>
      </c>
      <c r="Q78">
        <f>ROW(Guide[[#This Row],[Row]])</f>
        <v>78</v>
      </c>
      <c r="R78" cm="1">
        <f t="array" ref="R78">_xlfn.XLOOKUP(
Guide[[#This Row],[Dataset]]&amp;Guide[[#This Row],[Category_1]]&amp;Guide[[#This Row],[Category_2]]&amp;Guide[[#This Row],[Dim_Group]],_xlfn.ANCHORARRAY( Sheet1!$N$2),_xlfn.CHOOSECOLS(_xlfn.ANCHORARRAY(Sheet1!$I$2),5),0)</f>
        <v>78</v>
      </c>
    </row>
    <row r="79" spans="1:18" hidden="1" x14ac:dyDescent="0.3">
      <c r="A79" t="s">
        <v>263</v>
      </c>
      <c r="B79" t="s">
        <v>282</v>
      </c>
      <c r="C79" t="s">
        <v>283</v>
      </c>
      <c r="D79" s="3" t="s">
        <v>193</v>
      </c>
      <c r="E79" s="3" t="s">
        <v>283</v>
      </c>
      <c r="F79">
        <v>1</v>
      </c>
      <c r="G79" t="s">
        <v>193</v>
      </c>
      <c r="H79" t="s">
        <v>105</v>
      </c>
      <c r="I79" t="s">
        <v>283</v>
      </c>
      <c r="K79" t="s">
        <v>99</v>
      </c>
      <c r="L79" t="s">
        <v>105</v>
      </c>
      <c r="M79" t="s">
        <v>105</v>
      </c>
      <c r="N79" t="s">
        <v>107</v>
      </c>
      <c r="P79" t="s">
        <v>946</v>
      </c>
      <c r="Q79">
        <f>ROW(Guide[[#This Row],[Row]])</f>
        <v>79</v>
      </c>
      <c r="R79" cm="1">
        <f t="array" ref="R79">_xlfn.XLOOKUP(
Guide[[#This Row],[Dataset]]&amp;Guide[[#This Row],[Category_1]]&amp;Guide[[#This Row],[Category_2]]&amp;Guide[[#This Row],[Dim_Group]],_xlfn.ANCHORARRAY( Sheet1!$N$2),_xlfn.CHOOSECOLS(_xlfn.ANCHORARRAY(Sheet1!$I$2),5),0)</f>
        <v>79</v>
      </c>
    </row>
    <row r="80" spans="1:18" hidden="1" x14ac:dyDescent="0.3">
      <c r="A80" t="s">
        <v>263</v>
      </c>
      <c r="B80" t="s">
        <v>284</v>
      </c>
      <c r="C80" t="s">
        <v>283</v>
      </c>
      <c r="D80" s="3" t="s">
        <v>193</v>
      </c>
      <c r="E80" s="3" t="s">
        <v>283</v>
      </c>
      <c r="F80">
        <v>1</v>
      </c>
      <c r="G80" t="s">
        <v>193</v>
      </c>
      <c r="H80" t="s">
        <v>19</v>
      </c>
      <c r="I80" t="s">
        <v>283</v>
      </c>
      <c r="K80" t="s">
        <v>99</v>
      </c>
      <c r="L80" t="s">
        <v>267</v>
      </c>
      <c r="M80" t="s">
        <v>19</v>
      </c>
      <c r="N80" t="s">
        <v>21</v>
      </c>
      <c r="P80" t="s">
        <v>946</v>
      </c>
      <c r="Q80">
        <f>ROW(Guide[[#This Row],[Row]])</f>
        <v>80</v>
      </c>
      <c r="R80" cm="1">
        <f t="array" ref="R80">_xlfn.XLOOKUP(
Guide[[#This Row],[Dataset]]&amp;Guide[[#This Row],[Category_1]]&amp;Guide[[#This Row],[Category_2]]&amp;Guide[[#This Row],[Dim_Group]],_xlfn.ANCHORARRAY( Sheet1!$N$2),_xlfn.CHOOSECOLS(_xlfn.ANCHORARRAY(Sheet1!$I$2),5),0)</f>
        <v>80</v>
      </c>
    </row>
    <row r="81" spans="1:18" hidden="1" x14ac:dyDescent="0.3">
      <c r="A81" t="s">
        <v>263</v>
      </c>
      <c r="B81" t="s">
        <v>285</v>
      </c>
      <c r="C81" t="s">
        <v>283</v>
      </c>
      <c r="D81" s="3" t="s">
        <v>193</v>
      </c>
      <c r="E81" s="3" t="s">
        <v>283</v>
      </c>
      <c r="F81">
        <v>1</v>
      </c>
      <c r="G81" t="s">
        <v>193</v>
      </c>
      <c r="H81" t="s">
        <v>19</v>
      </c>
      <c r="I81" t="s">
        <v>283</v>
      </c>
      <c r="K81" t="s">
        <v>99</v>
      </c>
      <c r="L81" t="s">
        <v>269</v>
      </c>
      <c r="M81" t="s">
        <v>19</v>
      </c>
      <c r="N81" t="s">
        <v>21</v>
      </c>
      <c r="P81" t="s">
        <v>946</v>
      </c>
      <c r="Q81">
        <f>ROW(Guide[[#This Row],[Row]])</f>
        <v>81</v>
      </c>
      <c r="R81" cm="1">
        <f t="array" ref="R81">_xlfn.XLOOKUP(
Guide[[#This Row],[Dataset]]&amp;Guide[[#This Row],[Category_1]]&amp;Guide[[#This Row],[Category_2]]&amp;Guide[[#This Row],[Dim_Group]],_xlfn.ANCHORARRAY( Sheet1!$N$2),_xlfn.CHOOSECOLS(_xlfn.ANCHORARRAY(Sheet1!$I$2),5),0)</f>
        <v>81</v>
      </c>
    </row>
    <row r="82" spans="1:18" hidden="1" x14ac:dyDescent="0.3">
      <c r="A82" t="s">
        <v>263</v>
      </c>
      <c r="B82" t="s">
        <v>286</v>
      </c>
      <c r="C82" t="s">
        <v>287</v>
      </c>
      <c r="D82" s="3" t="s">
        <v>193</v>
      </c>
      <c r="E82" s="3" t="s">
        <v>287</v>
      </c>
      <c r="F82">
        <v>1</v>
      </c>
      <c r="G82" t="s">
        <v>193</v>
      </c>
      <c r="H82" t="s">
        <v>105</v>
      </c>
      <c r="I82" t="s">
        <v>287</v>
      </c>
      <c r="K82" t="s">
        <v>99</v>
      </c>
      <c r="L82" t="s">
        <v>105</v>
      </c>
      <c r="M82" t="s">
        <v>105</v>
      </c>
      <c r="N82" t="s">
        <v>107</v>
      </c>
      <c r="P82" t="s">
        <v>946</v>
      </c>
      <c r="Q82">
        <f>ROW(Guide[[#This Row],[Row]])</f>
        <v>82</v>
      </c>
      <c r="R82" cm="1">
        <f t="array" ref="R82">_xlfn.XLOOKUP(
Guide[[#This Row],[Dataset]]&amp;Guide[[#This Row],[Category_1]]&amp;Guide[[#This Row],[Category_2]]&amp;Guide[[#This Row],[Dim_Group]],_xlfn.ANCHORARRAY( Sheet1!$N$2),_xlfn.CHOOSECOLS(_xlfn.ANCHORARRAY(Sheet1!$I$2),5),0)</f>
        <v>82</v>
      </c>
    </row>
    <row r="83" spans="1:18" hidden="1" x14ac:dyDescent="0.3">
      <c r="A83" t="s">
        <v>263</v>
      </c>
      <c r="B83" t="s">
        <v>288</v>
      </c>
      <c r="C83" t="s">
        <v>287</v>
      </c>
      <c r="D83" s="3" t="s">
        <v>193</v>
      </c>
      <c r="E83" s="3" t="s">
        <v>287</v>
      </c>
      <c r="F83">
        <v>1</v>
      </c>
      <c r="G83" t="s">
        <v>193</v>
      </c>
      <c r="H83" t="s">
        <v>19</v>
      </c>
      <c r="I83" t="s">
        <v>287</v>
      </c>
      <c r="K83" t="s">
        <v>99</v>
      </c>
      <c r="L83" t="s">
        <v>267</v>
      </c>
      <c r="M83" t="s">
        <v>19</v>
      </c>
      <c r="N83" t="s">
        <v>21</v>
      </c>
      <c r="P83" t="s">
        <v>946</v>
      </c>
      <c r="Q83">
        <f>ROW(Guide[[#This Row],[Row]])</f>
        <v>83</v>
      </c>
      <c r="R83" cm="1">
        <f t="array" ref="R83">_xlfn.XLOOKUP(
Guide[[#This Row],[Dataset]]&amp;Guide[[#This Row],[Category_1]]&amp;Guide[[#This Row],[Category_2]]&amp;Guide[[#This Row],[Dim_Group]],_xlfn.ANCHORARRAY( Sheet1!$N$2),_xlfn.CHOOSECOLS(_xlfn.ANCHORARRAY(Sheet1!$I$2),5),0)</f>
        <v>83</v>
      </c>
    </row>
    <row r="84" spans="1:18" hidden="1" x14ac:dyDescent="0.3">
      <c r="A84" t="s">
        <v>263</v>
      </c>
      <c r="B84" t="s">
        <v>289</v>
      </c>
      <c r="C84" t="s">
        <v>287</v>
      </c>
      <c r="D84" s="3" t="s">
        <v>193</v>
      </c>
      <c r="E84" s="3" t="s">
        <v>287</v>
      </c>
      <c r="F84">
        <v>1</v>
      </c>
      <c r="G84" t="s">
        <v>193</v>
      </c>
      <c r="H84" t="s">
        <v>19</v>
      </c>
      <c r="I84" t="s">
        <v>287</v>
      </c>
      <c r="K84" t="s">
        <v>99</v>
      </c>
      <c r="L84" t="s">
        <v>269</v>
      </c>
      <c r="M84" t="s">
        <v>19</v>
      </c>
      <c r="N84" t="s">
        <v>21</v>
      </c>
      <c r="P84" t="s">
        <v>946</v>
      </c>
      <c r="Q84">
        <f>ROW(Guide[[#This Row],[Row]])</f>
        <v>84</v>
      </c>
      <c r="R84" cm="1">
        <f t="array" ref="R84">_xlfn.XLOOKUP(
Guide[[#This Row],[Dataset]]&amp;Guide[[#This Row],[Category_1]]&amp;Guide[[#This Row],[Category_2]]&amp;Guide[[#This Row],[Dim_Group]],_xlfn.ANCHORARRAY( Sheet1!$N$2),_xlfn.CHOOSECOLS(_xlfn.ANCHORARRAY(Sheet1!$I$2),5),0)</f>
        <v>84</v>
      </c>
    </row>
    <row r="85" spans="1:18" hidden="1" x14ac:dyDescent="0.3">
      <c r="A85" t="s">
        <v>263</v>
      </c>
      <c r="B85" t="s">
        <v>290</v>
      </c>
      <c r="C85" t="s">
        <v>291</v>
      </c>
      <c r="D85" s="3" t="s">
        <v>193</v>
      </c>
      <c r="E85" s="3" t="s">
        <v>291</v>
      </c>
      <c r="F85">
        <v>1</v>
      </c>
      <c r="G85" t="s">
        <v>193</v>
      </c>
      <c r="H85" t="s">
        <v>105</v>
      </c>
      <c r="I85" t="s">
        <v>291</v>
      </c>
      <c r="K85" t="s">
        <v>99</v>
      </c>
      <c r="L85" t="s">
        <v>105</v>
      </c>
      <c r="M85" t="s">
        <v>105</v>
      </c>
      <c r="N85" t="s">
        <v>107</v>
      </c>
      <c r="P85" t="s">
        <v>946</v>
      </c>
      <c r="Q85">
        <f>ROW(Guide[[#This Row],[Row]])</f>
        <v>85</v>
      </c>
      <c r="R85" cm="1">
        <f t="array" ref="R85">_xlfn.XLOOKUP(
Guide[[#This Row],[Dataset]]&amp;Guide[[#This Row],[Category_1]]&amp;Guide[[#This Row],[Category_2]]&amp;Guide[[#This Row],[Dim_Group]],_xlfn.ANCHORARRAY( Sheet1!$N$2),_xlfn.CHOOSECOLS(_xlfn.ANCHORARRAY(Sheet1!$I$2),5),0)</f>
        <v>85</v>
      </c>
    </row>
    <row r="86" spans="1:18" hidden="1" x14ac:dyDescent="0.3">
      <c r="A86" t="s">
        <v>263</v>
      </c>
      <c r="B86" t="s">
        <v>292</v>
      </c>
      <c r="C86" t="s">
        <v>291</v>
      </c>
      <c r="D86" s="3" t="s">
        <v>193</v>
      </c>
      <c r="E86" s="3" t="s">
        <v>291</v>
      </c>
      <c r="F86">
        <v>1</v>
      </c>
      <c r="G86" t="s">
        <v>193</v>
      </c>
      <c r="H86" t="s">
        <v>19</v>
      </c>
      <c r="I86" t="s">
        <v>291</v>
      </c>
      <c r="K86" t="s">
        <v>99</v>
      </c>
      <c r="L86" t="s">
        <v>267</v>
      </c>
      <c r="M86" t="s">
        <v>19</v>
      </c>
      <c r="N86" t="s">
        <v>21</v>
      </c>
      <c r="P86" t="s">
        <v>946</v>
      </c>
      <c r="Q86">
        <f>ROW(Guide[[#This Row],[Row]])</f>
        <v>86</v>
      </c>
      <c r="R86" cm="1">
        <f t="array" ref="R86">_xlfn.XLOOKUP(
Guide[[#This Row],[Dataset]]&amp;Guide[[#This Row],[Category_1]]&amp;Guide[[#This Row],[Category_2]]&amp;Guide[[#This Row],[Dim_Group]],_xlfn.ANCHORARRAY( Sheet1!$N$2),_xlfn.CHOOSECOLS(_xlfn.ANCHORARRAY(Sheet1!$I$2),5),0)</f>
        <v>86</v>
      </c>
    </row>
    <row r="87" spans="1:18" hidden="1" x14ac:dyDescent="0.3">
      <c r="A87" t="s">
        <v>263</v>
      </c>
      <c r="B87" t="s">
        <v>293</v>
      </c>
      <c r="C87" t="s">
        <v>291</v>
      </c>
      <c r="D87" s="3" t="s">
        <v>193</v>
      </c>
      <c r="E87" s="3" t="s">
        <v>291</v>
      </c>
      <c r="F87">
        <v>1</v>
      </c>
      <c r="G87" t="s">
        <v>193</v>
      </c>
      <c r="H87" t="s">
        <v>19</v>
      </c>
      <c r="I87" t="s">
        <v>291</v>
      </c>
      <c r="K87" t="s">
        <v>99</v>
      </c>
      <c r="L87" t="s">
        <v>269</v>
      </c>
      <c r="M87" t="s">
        <v>19</v>
      </c>
      <c r="N87" t="s">
        <v>21</v>
      </c>
      <c r="P87" t="s">
        <v>946</v>
      </c>
      <c r="Q87">
        <f>ROW(Guide[[#This Row],[Row]])</f>
        <v>87</v>
      </c>
      <c r="R87" cm="1">
        <f t="array" ref="R87">_xlfn.XLOOKUP(
Guide[[#This Row],[Dataset]]&amp;Guide[[#This Row],[Category_1]]&amp;Guide[[#This Row],[Category_2]]&amp;Guide[[#This Row],[Dim_Group]],_xlfn.ANCHORARRAY( Sheet1!$N$2),_xlfn.CHOOSECOLS(_xlfn.ANCHORARRAY(Sheet1!$I$2),5),0)</f>
        <v>87</v>
      </c>
    </row>
    <row r="88" spans="1:18" hidden="1" x14ac:dyDescent="0.3">
      <c r="A88" t="s">
        <v>263</v>
      </c>
      <c r="B88" t="s">
        <v>294</v>
      </c>
      <c r="C88" t="s">
        <v>295</v>
      </c>
      <c r="D88" s="3" t="s">
        <v>193</v>
      </c>
      <c r="E88" s="3" t="s">
        <v>295</v>
      </c>
      <c r="F88">
        <v>1</v>
      </c>
      <c r="G88" t="s">
        <v>193</v>
      </c>
      <c r="H88" t="s">
        <v>105</v>
      </c>
      <c r="I88" t="s">
        <v>295</v>
      </c>
      <c r="K88" t="s">
        <v>99</v>
      </c>
      <c r="L88" t="s">
        <v>105</v>
      </c>
      <c r="M88" t="s">
        <v>105</v>
      </c>
      <c r="N88" t="s">
        <v>107</v>
      </c>
      <c r="P88" t="s">
        <v>946</v>
      </c>
      <c r="Q88">
        <f>ROW(Guide[[#This Row],[Row]])</f>
        <v>88</v>
      </c>
      <c r="R88" cm="1">
        <f t="array" ref="R88">_xlfn.XLOOKUP(
Guide[[#This Row],[Dataset]]&amp;Guide[[#This Row],[Category_1]]&amp;Guide[[#This Row],[Category_2]]&amp;Guide[[#This Row],[Dim_Group]],_xlfn.ANCHORARRAY( Sheet1!$N$2),_xlfn.CHOOSECOLS(_xlfn.ANCHORARRAY(Sheet1!$I$2),5),0)</f>
        <v>88</v>
      </c>
    </row>
    <row r="89" spans="1:18" hidden="1" x14ac:dyDescent="0.3">
      <c r="A89" t="s">
        <v>263</v>
      </c>
      <c r="B89" t="s">
        <v>296</v>
      </c>
      <c r="C89" t="s">
        <v>295</v>
      </c>
      <c r="D89" s="3" t="s">
        <v>193</v>
      </c>
      <c r="E89" s="3" t="s">
        <v>295</v>
      </c>
      <c r="F89">
        <v>1</v>
      </c>
      <c r="G89" t="s">
        <v>193</v>
      </c>
      <c r="H89" t="s">
        <v>19</v>
      </c>
      <c r="I89" t="s">
        <v>295</v>
      </c>
      <c r="K89" t="s">
        <v>99</v>
      </c>
      <c r="L89" t="s">
        <v>267</v>
      </c>
      <c r="M89" t="s">
        <v>19</v>
      </c>
      <c r="N89" t="s">
        <v>21</v>
      </c>
      <c r="P89" t="s">
        <v>946</v>
      </c>
      <c r="Q89">
        <f>ROW(Guide[[#This Row],[Row]])</f>
        <v>89</v>
      </c>
      <c r="R89" cm="1">
        <f t="array" ref="R89">_xlfn.XLOOKUP(
Guide[[#This Row],[Dataset]]&amp;Guide[[#This Row],[Category_1]]&amp;Guide[[#This Row],[Category_2]]&amp;Guide[[#This Row],[Dim_Group]],_xlfn.ANCHORARRAY( Sheet1!$N$2),_xlfn.CHOOSECOLS(_xlfn.ANCHORARRAY(Sheet1!$I$2),5),0)</f>
        <v>89</v>
      </c>
    </row>
    <row r="90" spans="1:18" hidden="1" x14ac:dyDescent="0.3">
      <c r="A90" t="s">
        <v>263</v>
      </c>
      <c r="B90" t="s">
        <v>297</v>
      </c>
      <c r="C90" t="s">
        <v>295</v>
      </c>
      <c r="D90" s="3" t="s">
        <v>193</v>
      </c>
      <c r="E90" s="3" t="s">
        <v>295</v>
      </c>
      <c r="F90">
        <v>1</v>
      </c>
      <c r="G90" t="s">
        <v>193</v>
      </c>
      <c r="H90" t="s">
        <v>19</v>
      </c>
      <c r="I90" t="s">
        <v>295</v>
      </c>
      <c r="K90" t="s">
        <v>99</v>
      </c>
      <c r="L90" t="s">
        <v>269</v>
      </c>
      <c r="M90" t="s">
        <v>19</v>
      </c>
      <c r="N90" t="s">
        <v>21</v>
      </c>
      <c r="P90" t="s">
        <v>946</v>
      </c>
      <c r="Q90">
        <f>ROW(Guide[[#This Row],[Row]])</f>
        <v>90</v>
      </c>
      <c r="R90" cm="1">
        <f t="array" ref="R90">_xlfn.XLOOKUP(
Guide[[#This Row],[Dataset]]&amp;Guide[[#This Row],[Category_1]]&amp;Guide[[#This Row],[Category_2]]&amp;Guide[[#This Row],[Dim_Group]],_xlfn.ANCHORARRAY( Sheet1!$N$2),_xlfn.CHOOSECOLS(_xlfn.ANCHORARRAY(Sheet1!$I$2),5),0)</f>
        <v>90</v>
      </c>
    </row>
    <row r="91" spans="1:18" hidden="1" x14ac:dyDescent="0.3">
      <c r="A91" t="s">
        <v>263</v>
      </c>
      <c r="B91" t="s">
        <v>298</v>
      </c>
      <c r="C91" t="s">
        <v>299</v>
      </c>
      <c r="D91" s="3" t="s">
        <v>193</v>
      </c>
      <c r="E91" s="3" t="s">
        <v>299</v>
      </c>
      <c r="F91">
        <v>1</v>
      </c>
      <c r="G91" t="s">
        <v>193</v>
      </c>
      <c r="H91" t="s">
        <v>19</v>
      </c>
      <c r="I91" t="s">
        <v>299</v>
      </c>
      <c r="K91" t="s">
        <v>99</v>
      </c>
      <c r="L91" t="s">
        <v>267</v>
      </c>
      <c r="M91" t="s">
        <v>19</v>
      </c>
      <c r="N91" t="s">
        <v>21</v>
      </c>
      <c r="P91" t="s">
        <v>946</v>
      </c>
      <c r="Q91">
        <f>ROW(Guide[[#This Row],[Row]])</f>
        <v>91</v>
      </c>
      <c r="R91" cm="1">
        <f t="array" ref="R91">_xlfn.XLOOKUP(
Guide[[#This Row],[Dataset]]&amp;Guide[[#This Row],[Category_1]]&amp;Guide[[#This Row],[Category_2]]&amp;Guide[[#This Row],[Dim_Group]],_xlfn.ANCHORARRAY( Sheet1!$N$2),_xlfn.CHOOSECOLS(_xlfn.ANCHORARRAY(Sheet1!$I$2),5),0)</f>
        <v>91</v>
      </c>
    </row>
    <row r="92" spans="1:18" hidden="1" x14ac:dyDescent="0.3">
      <c r="A92" t="s">
        <v>263</v>
      </c>
      <c r="B92" t="s">
        <v>300</v>
      </c>
      <c r="C92" t="s">
        <v>299</v>
      </c>
      <c r="D92" s="3" t="s">
        <v>193</v>
      </c>
      <c r="E92" s="3" t="s">
        <v>299</v>
      </c>
      <c r="F92">
        <v>1</v>
      </c>
      <c r="G92" t="s">
        <v>193</v>
      </c>
      <c r="H92" t="s">
        <v>19</v>
      </c>
      <c r="I92" t="s">
        <v>299</v>
      </c>
      <c r="K92" t="s">
        <v>99</v>
      </c>
      <c r="L92" t="s">
        <v>269</v>
      </c>
      <c r="M92" t="s">
        <v>19</v>
      </c>
      <c r="N92" t="s">
        <v>21</v>
      </c>
      <c r="P92" t="s">
        <v>946</v>
      </c>
      <c r="Q92">
        <f>ROW(Guide[[#This Row],[Row]])</f>
        <v>92</v>
      </c>
      <c r="R92" cm="1">
        <f t="array" ref="R92">_xlfn.XLOOKUP(
Guide[[#This Row],[Dataset]]&amp;Guide[[#This Row],[Category_1]]&amp;Guide[[#This Row],[Category_2]]&amp;Guide[[#This Row],[Dim_Group]],_xlfn.ANCHORARRAY( Sheet1!$N$2),_xlfn.CHOOSECOLS(_xlfn.ANCHORARRAY(Sheet1!$I$2),5),0)</f>
        <v>92</v>
      </c>
    </row>
    <row r="93" spans="1:18" hidden="1" x14ac:dyDescent="0.3">
      <c r="A93" t="s">
        <v>263</v>
      </c>
      <c r="B93" t="s">
        <v>301</v>
      </c>
      <c r="C93" t="s">
        <v>302</v>
      </c>
      <c r="D93" s="3" t="s">
        <v>193</v>
      </c>
      <c r="E93" s="3" t="s">
        <v>302</v>
      </c>
      <c r="F93">
        <v>1</v>
      </c>
      <c r="G93" t="s">
        <v>193</v>
      </c>
      <c r="H93" t="s">
        <v>19</v>
      </c>
      <c r="I93" t="s">
        <v>302</v>
      </c>
      <c r="K93" t="s">
        <v>99</v>
      </c>
      <c r="L93" t="s">
        <v>267</v>
      </c>
      <c r="M93" t="s">
        <v>19</v>
      </c>
      <c r="N93" t="s">
        <v>21</v>
      </c>
      <c r="P93" t="s">
        <v>946</v>
      </c>
      <c r="Q93">
        <f>ROW(Guide[[#This Row],[Row]])</f>
        <v>93</v>
      </c>
      <c r="R93" cm="1">
        <f t="array" ref="R93">_xlfn.XLOOKUP(
Guide[[#This Row],[Dataset]]&amp;Guide[[#This Row],[Category_1]]&amp;Guide[[#This Row],[Category_2]]&amp;Guide[[#This Row],[Dim_Group]],_xlfn.ANCHORARRAY( Sheet1!$N$2),_xlfn.CHOOSECOLS(_xlfn.ANCHORARRAY(Sheet1!$I$2),5),0)</f>
        <v>93</v>
      </c>
    </row>
    <row r="94" spans="1:18" hidden="1" x14ac:dyDescent="0.3">
      <c r="A94" t="s">
        <v>263</v>
      </c>
      <c r="B94" t="s">
        <v>303</v>
      </c>
      <c r="C94" t="s">
        <v>302</v>
      </c>
      <c r="D94" s="3" t="s">
        <v>193</v>
      </c>
      <c r="E94" s="3" t="s">
        <v>302</v>
      </c>
      <c r="F94">
        <v>1</v>
      </c>
      <c r="G94" t="s">
        <v>193</v>
      </c>
      <c r="H94" t="s">
        <v>19</v>
      </c>
      <c r="I94" t="s">
        <v>302</v>
      </c>
      <c r="K94" t="s">
        <v>99</v>
      </c>
      <c r="L94" t="s">
        <v>269</v>
      </c>
      <c r="M94" t="s">
        <v>19</v>
      </c>
      <c r="N94" t="s">
        <v>21</v>
      </c>
      <c r="P94" t="s">
        <v>946</v>
      </c>
      <c r="Q94">
        <f>ROW(Guide[[#This Row],[Row]])</f>
        <v>94</v>
      </c>
      <c r="R94" cm="1">
        <f t="array" ref="R94">_xlfn.XLOOKUP(
Guide[[#This Row],[Dataset]]&amp;Guide[[#This Row],[Category_1]]&amp;Guide[[#This Row],[Category_2]]&amp;Guide[[#This Row],[Dim_Group]],_xlfn.ANCHORARRAY( Sheet1!$N$2),_xlfn.CHOOSECOLS(_xlfn.ANCHORARRAY(Sheet1!$I$2),5),0)</f>
        <v>94</v>
      </c>
    </row>
    <row r="95" spans="1:18" hidden="1" x14ac:dyDescent="0.3">
      <c r="A95" t="s">
        <v>263</v>
      </c>
      <c r="B95" t="s">
        <v>304</v>
      </c>
      <c r="C95" t="s">
        <v>305</v>
      </c>
      <c r="D95" s="3" t="s">
        <v>193</v>
      </c>
      <c r="E95" s="3" t="s">
        <v>305</v>
      </c>
      <c r="F95">
        <v>1</v>
      </c>
      <c r="G95" t="s">
        <v>193</v>
      </c>
      <c r="H95" t="s">
        <v>19</v>
      </c>
      <c r="I95" t="s">
        <v>305</v>
      </c>
      <c r="K95" t="s">
        <v>99</v>
      </c>
      <c r="L95" t="s">
        <v>269</v>
      </c>
      <c r="M95" t="s">
        <v>19</v>
      </c>
      <c r="N95" t="s">
        <v>21</v>
      </c>
      <c r="P95" t="s">
        <v>946</v>
      </c>
      <c r="Q95">
        <f>ROW(Guide[[#This Row],[Row]])</f>
        <v>95</v>
      </c>
      <c r="R95" cm="1">
        <f t="array" ref="R95">_xlfn.XLOOKUP(
Guide[[#This Row],[Dataset]]&amp;Guide[[#This Row],[Category_1]]&amp;Guide[[#This Row],[Category_2]]&amp;Guide[[#This Row],[Dim_Group]],_xlfn.ANCHORARRAY( Sheet1!$N$2),_xlfn.CHOOSECOLS(_xlfn.ANCHORARRAY(Sheet1!$I$2),5),0)</f>
        <v>95</v>
      </c>
    </row>
    <row r="96" spans="1:18" hidden="1" x14ac:dyDescent="0.3">
      <c r="A96" t="s">
        <v>263</v>
      </c>
      <c r="B96" t="s">
        <v>306</v>
      </c>
      <c r="C96" t="s">
        <v>307</v>
      </c>
      <c r="D96" s="3" t="s">
        <v>193</v>
      </c>
      <c r="E96" s="3" t="s">
        <v>307</v>
      </c>
      <c r="F96">
        <v>1</v>
      </c>
      <c r="G96" t="s">
        <v>193</v>
      </c>
      <c r="H96" t="s">
        <v>19</v>
      </c>
      <c r="I96" t="s">
        <v>307</v>
      </c>
      <c r="K96" t="s">
        <v>99</v>
      </c>
      <c r="L96" t="s">
        <v>269</v>
      </c>
      <c r="M96" t="s">
        <v>19</v>
      </c>
      <c r="N96" t="s">
        <v>21</v>
      </c>
      <c r="P96" t="s">
        <v>946</v>
      </c>
      <c r="Q96">
        <f>ROW(Guide[[#This Row],[Row]])</f>
        <v>96</v>
      </c>
      <c r="R96" cm="1">
        <f t="array" ref="R96">_xlfn.XLOOKUP(
Guide[[#This Row],[Dataset]]&amp;Guide[[#This Row],[Category_1]]&amp;Guide[[#This Row],[Category_2]]&amp;Guide[[#This Row],[Dim_Group]],_xlfn.ANCHORARRAY( Sheet1!$N$2),_xlfn.CHOOSECOLS(_xlfn.ANCHORARRAY(Sheet1!$I$2),5),0)</f>
        <v>96</v>
      </c>
    </row>
    <row r="97" spans="1:18" hidden="1" x14ac:dyDescent="0.3">
      <c r="A97" t="s">
        <v>263</v>
      </c>
      <c r="B97" t="s">
        <v>308</v>
      </c>
      <c r="C97" t="s">
        <v>309</v>
      </c>
      <c r="D97" s="3" t="s">
        <v>193</v>
      </c>
      <c r="E97" s="3" t="s">
        <v>309</v>
      </c>
      <c r="F97">
        <v>1</v>
      </c>
      <c r="G97" t="s">
        <v>193</v>
      </c>
      <c r="H97" t="s">
        <v>193</v>
      </c>
      <c r="I97" t="s">
        <v>309</v>
      </c>
      <c r="K97" t="s">
        <v>99</v>
      </c>
      <c r="L97" t="s">
        <v>269</v>
      </c>
      <c r="M97" t="s">
        <v>193</v>
      </c>
      <c r="N97" t="s">
        <v>21</v>
      </c>
      <c r="P97" t="s">
        <v>946</v>
      </c>
      <c r="Q97">
        <f>ROW(Guide[[#This Row],[Row]])</f>
        <v>97</v>
      </c>
      <c r="R97" cm="1">
        <f t="array" ref="R97">_xlfn.XLOOKUP(
Guide[[#This Row],[Dataset]]&amp;Guide[[#This Row],[Category_1]]&amp;Guide[[#This Row],[Category_2]]&amp;Guide[[#This Row],[Dim_Group]],_xlfn.ANCHORARRAY( Sheet1!$N$2),_xlfn.CHOOSECOLS(_xlfn.ANCHORARRAY(Sheet1!$I$2),5),0)</f>
        <v>97</v>
      </c>
    </row>
    <row r="98" spans="1:18" hidden="1" x14ac:dyDescent="0.3">
      <c r="A98" t="s">
        <v>263</v>
      </c>
      <c r="B98" t="s">
        <v>310</v>
      </c>
      <c r="C98" t="s">
        <v>311</v>
      </c>
      <c r="D98" s="3" t="s">
        <v>193</v>
      </c>
      <c r="E98" s="3" t="s">
        <v>311</v>
      </c>
      <c r="F98">
        <v>1</v>
      </c>
      <c r="G98" t="s">
        <v>193</v>
      </c>
      <c r="H98" t="s">
        <v>193</v>
      </c>
      <c r="I98" t="s">
        <v>311</v>
      </c>
      <c r="K98" t="s">
        <v>99</v>
      </c>
      <c r="L98" t="s">
        <v>269</v>
      </c>
      <c r="M98" t="s">
        <v>193</v>
      </c>
      <c r="N98" t="s">
        <v>21</v>
      </c>
      <c r="P98" t="s">
        <v>946</v>
      </c>
      <c r="Q98">
        <f>ROW(Guide[[#This Row],[Row]])</f>
        <v>98</v>
      </c>
      <c r="R98" cm="1">
        <f t="array" ref="R98">_xlfn.XLOOKUP(
Guide[[#This Row],[Dataset]]&amp;Guide[[#This Row],[Category_1]]&amp;Guide[[#This Row],[Category_2]]&amp;Guide[[#This Row],[Dim_Group]],_xlfn.ANCHORARRAY( Sheet1!$N$2),_xlfn.CHOOSECOLS(_xlfn.ANCHORARRAY(Sheet1!$I$2),5),0)</f>
        <v>98</v>
      </c>
    </row>
    <row r="99" spans="1:18" hidden="1" x14ac:dyDescent="0.3">
      <c r="A99" t="s">
        <v>263</v>
      </c>
      <c r="B99" t="s">
        <v>312</v>
      </c>
      <c r="C99" t="s">
        <v>313</v>
      </c>
      <c r="D99" s="3" t="s">
        <v>193</v>
      </c>
      <c r="E99" s="3" t="s">
        <v>313</v>
      </c>
      <c r="F99">
        <v>1</v>
      </c>
      <c r="G99" t="s">
        <v>193</v>
      </c>
      <c r="H99" t="s">
        <v>105</v>
      </c>
      <c r="I99" t="s">
        <v>313</v>
      </c>
      <c r="K99" t="s">
        <v>99</v>
      </c>
      <c r="L99" t="s">
        <v>105</v>
      </c>
      <c r="M99" t="s">
        <v>105</v>
      </c>
      <c r="N99" t="s">
        <v>107</v>
      </c>
      <c r="P99" t="s">
        <v>946</v>
      </c>
      <c r="Q99">
        <f>ROW(Guide[[#This Row],[Row]])</f>
        <v>99</v>
      </c>
      <c r="R99" cm="1">
        <f t="array" ref="R99">_xlfn.XLOOKUP(
Guide[[#This Row],[Dataset]]&amp;Guide[[#This Row],[Category_1]]&amp;Guide[[#This Row],[Category_2]]&amp;Guide[[#This Row],[Dim_Group]],_xlfn.ANCHORARRAY( Sheet1!$N$2),_xlfn.CHOOSECOLS(_xlfn.ANCHORARRAY(Sheet1!$I$2),5),0)</f>
        <v>99</v>
      </c>
    </row>
    <row r="100" spans="1:18" hidden="1" x14ac:dyDescent="0.3">
      <c r="A100" t="s">
        <v>263</v>
      </c>
      <c r="B100" t="s">
        <v>314</v>
      </c>
      <c r="C100" t="s">
        <v>313</v>
      </c>
      <c r="D100" s="3" t="s">
        <v>193</v>
      </c>
      <c r="E100" s="3" t="s">
        <v>313</v>
      </c>
      <c r="F100">
        <v>1</v>
      </c>
      <c r="G100" t="s">
        <v>193</v>
      </c>
      <c r="H100" t="s">
        <v>19</v>
      </c>
      <c r="I100" t="s">
        <v>313</v>
      </c>
      <c r="K100" t="s">
        <v>99</v>
      </c>
      <c r="L100" t="s">
        <v>267</v>
      </c>
      <c r="M100" t="s">
        <v>19</v>
      </c>
      <c r="N100" t="s">
        <v>21</v>
      </c>
      <c r="P100" t="s">
        <v>946</v>
      </c>
      <c r="Q100">
        <f>ROW(Guide[[#This Row],[Row]])</f>
        <v>100</v>
      </c>
      <c r="R100" cm="1">
        <f t="array" ref="R100">_xlfn.XLOOKUP(
Guide[[#This Row],[Dataset]]&amp;Guide[[#This Row],[Category_1]]&amp;Guide[[#This Row],[Category_2]]&amp;Guide[[#This Row],[Dim_Group]],_xlfn.ANCHORARRAY( Sheet1!$N$2),_xlfn.CHOOSECOLS(_xlfn.ANCHORARRAY(Sheet1!$I$2),5),0)</f>
        <v>100</v>
      </c>
    </row>
    <row r="101" spans="1:18" hidden="1" x14ac:dyDescent="0.3">
      <c r="A101" t="s">
        <v>263</v>
      </c>
      <c r="B101" t="s">
        <v>315</v>
      </c>
      <c r="C101" t="s">
        <v>313</v>
      </c>
      <c r="D101" s="3" t="s">
        <v>193</v>
      </c>
      <c r="E101" s="3" t="s">
        <v>313</v>
      </c>
      <c r="F101">
        <v>1</v>
      </c>
      <c r="G101" t="s">
        <v>193</v>
      </c>
      <c r="H101" t="s">
        <v>19</v>
      </c>
      <c r="I101" t="s">
        <v>313</v>
      </c>
      <c r="K101" t="s">
        <v>99</v>
      </c>
      <c r="L101" t="s">
        <v>269</v>
      </c>
      <c r="M101" t="s">
        <v>19</v>
      </c>
      <c r="N101" t="s">
        <v>21</v>
      </c>
      <c r="P101" t="s">
        <v>946</v>
      </c>
      <c r="Q101">
        <f>ROW(Guide[[#This Row],[Row]])</f>
        <v>101</v>
      </c>
      <c r="R101" cm="1">
        <f t="array" ref="R101">_xlfn.XLOOKUP(
Guide[[#This Row],[Dataset]]&amp;Guide[[#This Row],[Category_1]]&amp;Guide[[#This Row],[Category_2]]&amp;Guide[[#This Row],[Dim_Group]],_xlfn.ANCHORARRAY( Sheet1!$N$2),_xlfn.CHOOSECOLS(_xlfn.ANCHORARRAY(Sheet1!$I$2),5),0)</f>
        <v>101</v>
      </c>
    </row>
    <row r="102" spans="1:18" hidden="1" x14ac:dyDescent="0.3">
      <c r="A102" t="s">
        <v>263</v>
      </c>
      <c r="B102" t="s">
        <v>316</v>
      </c>
      <c r="C102" t="s">
        <v>317</v>
      </c>
      <c r="D102" s="3" t="s">
        <v>193</v>
      </c>
      <c r="E102" s="3" t="s">
        <v>317</v>
      </c>
      <c r="F102">
        <v>1</v>
      </c>
      <c r="G102" t="s">
        <v>193</v>
      </c>
      <c r="H102" t="s">
        <v>105</v>
      </c>
      <c r="I102" t="s">
        <v>317</v>
      </c>
      <c r="K102" t="s">
        <v>99</v>
      </c>
      <c r="L102" t="s">
        <v>105</v>
      </c>
      <c r="M102" t="s">
        <v>105</v>
      </c>
      <c r="N102" t="s">
        <v>107</v>
      </c>
      <c r="P102" t="s">
        <v>946</v>
      </c>
      <c r="Q102">
        <f>ROW(Guide[[#This Row],[Row]])</f>
        <v>102</v>
      </c>
      <c r="R102" cm="1">
        <f t="array" ref="R102">_xlfn.XLOOKUP(
Guide[[#This Row],[Dataset]]&amp;Guide[[#This Row],[Category_1]]&amp;Guide[[#This Row],[Category_2]]&amp;Guide[[#This Row],[Dim_Group]],_xlfn.ANCHORARRAY( Sheet1!$N$2),_xlfn.CHOOSECOLS(_xlfn.ANCHORARRAY(Sheet1!$I$2),5),0)</f>
        <v>102</v>
      </c>
    </row>
    <row r="103" spans="1:18" hidden="1" x14ac:dyDescent="0.3">
      <c r="A103" t="s">
        <v>263</v>
      </c>
      <c r="B103" t="s">
        <v>318</v>
      </c>
      <c r="C103" t="s">
        <v>317</v>
      </c>
      <c r="D103" s="3" t="s">
        <v>193</v>
      </c>
      <c r="E103" s="3" t="s">
        <v>317</v>
      </c>
      <c r="F103">
        <v>1</v>
      </c>
      <c r="G103" t="s">
        <v>193</v>
      </c>
      <c r="H103" t="s">
        <v>193</v>
      </c>
      <c r="I103" t="s">
        <v>317</v>
      </c>
      <c r="K103" t="s">
        <v>99</v>
      </c>
      <c r="L103" t="s">
        <v>267</v>
      </c>
      <c r="M103" t="s">
        <v>193</v>
      </c>
      <c r="N103" t="s">
        <v>21</v>
      </c>
      <c r="P103" t="s">
        <v>946</v>
      </c>
      <c r="Q103">
        <f>ROW(Guide[[#This Row],[Row]])</f>
        <v>103</v>
      </c>
      <c r="R103" cm="1">
        <f t="array" ref="R103">_xlfn.XLOOKUP(
Guide[[#This Row],[Dataset]]&amp;Guide[[#This Row],[Category_1]]&amp;Guide[[#This Row],[Category_2]]&amp;Guide[[#This Row],[Dim_Group]],_xlfn.ANCHORARRAY( Sheet1!$N$2),_xlfn.CHOOSECOLS(_xlfn.ANCHORARRAY(Sheet1!$I$2),5),0)</f>
        <v>103</v>
      </c>
    </row>
    <row r="104" spans="1:18" hidden="1" x14ac:dyDescent="0.3">
      <c r="A104" t="s">
        <v>263</v>
      </c>
      <c r="B104" t="s">
        <v>319</v>
      </c>
      <c r="C104" t="s">
        <v>317</v>
      </c>
      <c r="D104" s="3" t="s">
        <v>193</v>
      </c>
      <c r="E104" s="3" t="s">
        <v>317</v>
      </c>
      <c r="F104">
        <v>1</v>
      </c>
      <c r="G104" t="s">
        <v>193</v>
      </c>
      <c r="H104" t="s">
        <v>19</v>
      </c>
      <c r="I104" t="s">
        <v>317</v>
      </c>
      <c r="K104" t="s">
        <v>99</v>
      </c>
      <c r="L104" t="s">
        <v>269</v>
      </c>
      <c r="M104" t="s">
        <v>19</v>
      </c>
      <c r="N104" t="s">
        <v>21</v>
      </c>
      <c r="P104" t="s">
        <v>946</v>
      </c>
      <c r="Q104">
        <f>ROW(Guide[[#This Row],[Row]])</f>
        <v>104</v>
      </c>
      <c r="R104" cm="1">
        <f t="array" ref="R104">_xlfn.XLOOKUP(
Guide[[#This Row],[Dataset]]&amp;Guide[[#This Row],[Category_1]]&amp;Guide[[#This Row],[Category_2]]&amp;Guide[[#This Row],[Dim_Group]],_xlfn.ANCHORARRAY( Sheet1!$N$2),_xlfn.CHOOSECOLS(_xlfn.ANCHORARRAY(Sheet1!$I$2),5),0)</f>
        <v>104</v>
      </c>
    </row>
    <row r="105" spans="1:18" hidden="1" x14ac:dyDescent="0.3">
      <c r="A105" t="s">
        <v>263</v>
      </c>
      <c r="B105" t="s">
        <v>320</v>
      </c>
      <c r="C105" t="s">
        <v>321</v>
      </c>
      <c r="D105" s="3" t="s">
        <v>193</v>
      </c>
      <c r="E105" s="3" t="s">
        <v>321</v>
      </c>
      <c r="F105">
        <v>1</v>
      </c>
      <c r="G105" t="s">
        <v>193</v>
      </c>
      <c r="H105" t="s">
        <v>193</v>
      </c>
      <c r="I105" t="s">
        <v>321</v>
      </c>
      <c r="K105" t="s">
        <v>99</v>
      </c>
      <c r="L105" t="s">
        <v>105</v>
      </c>
      <c r="M105" t="s">
        <v>193</v>
      </c>
      <c r="N105" t="s">
        <v>107</v>
      </c>
      <c r="P105" t="s">
        <v>946</v>
      </c>
      <c r="Q105">
        <f>ROW(Guide[[#This Row],[Row]])</f>
        <v>105</v>
      </c>
      <c r="R105" cm="1">
        <f t="array" ref="R105">_xlfn.XLOOKUP(
Guide[[#This Row],[Dataset]]&amp;Guide[[#This Row],[Category_1]]&amp;Guide[[#This Row],[Category_2]]&amp;Guide[[#This Row],[Dim_Group]],_xlfn.ANCHORARRAY( Sheet1!$N$2),_xlfn.CHOOSECOLS(_xlfn.ANCHORARRAY(Sheet1!$I$2),5),0)</f>
        <v>105</v>
      </c>
    </row>
    <row r="106" spans="1:18" hidden="1" x14ac:dyDescent="0.3">
      <c r="A106" t="s">
        <v>263</v>
      </c>
      <c r="B106" t="s">
        <v>322</v>
      </c>
      <c r="C106" t="s">
        <v>321</v>
      </c>
      <c r="D106" s="3" t="s">
        <v>193</v>
      </c>
      <c r="E106" s="3" t="s">
        <v>321</v>
      </c>
      <c r="F106">
        <v>1</v>
      </c>
      <c r="G106" t="s">
        <v>193</v>
      </c>
      <c r="H106" t="s">
        <v>19</v>
      </c>
      <c r="I106" t="s">
        <v>321</v>
      </c>
      <c r="K106" t="s">
        <v>99</v>
      </c>
      <c r="L106" t="s">
        <v>267</v>
      </c>
      <c r="M106" t="s">
        <v>19</v>
      </c>
      <c r="N106" t="s">
        <v>21</v>
      </c>
      <c r="P106" t="s">
        <v>946</v>
      </c>
      <c r="Q106">
        <f>ROW(Guide[[#This Row],[Row]])</f>
        <v>106</v>
      </c>
      <c r="R106" cm="1">
        <f t="array" ref="R106">_xlfn.XLOOKUP(
Guide[[#This Row],[Dataset]]&amp;Guide[[#This Row],[Category_1]]&amp;Guide[[#This Row],[Category_2]]&amp;Guide[[#This Row],[Dim_Group]],_xlfn.ANCHORARRAY( Sheet1!$N$2),_xlfn.CHOOSECOLS(_xlfn.ANCHORARRAY(Sheet1!$I$2),5),0)</f>
        <v>106</v>
      </c>
    </row>
    <row r="107" spans="1:18" hidden="1" x14ac:dyDescent="0.3">
      <c r="A107" t="s">
        <v>263</v>
      </c>
      <c r="B107" t="s">
        <v>323</v>
      </c>
      <c r="C107" t="s">
        <v>321</v>
      </c>
      <c r="D107" s="3" t="s">
        <v>193</v>
      </c>
      <c r="E107" s="3" t="s">
        <v>321</v>
      </c>
      <c r="F107">
        <v>1</v>
      </c>
      <c r="G107" t="s">
        <v>193</v>
      </c>
      <c r="H107" t="s">
        <v>19</v>
      </c>
      <c r="I107" t="s">
        <v>321</v>
      </c>
      <c r="K107" t="s">
        <v>99</v>
      </c>
      <c r="L107" t="s">
        <v>269</v>
      </c>
      <c r="M107" t="s">
        <v>19</v>
      </c>
      <c r="N107" t="s">
        <v>21</v>
      </c>
      <c r="P107" t="s">
        <v>946</v>
      </c>
      <c r="Q107">
        <f>ROW(Guide[[#This Row],[Row]])</f>
        <v>107</v>
      </c>
      <c r="R107" cm="1">
        <f t="array" ref="R107">_xlfn.XLOOKUP(
Guide[[#This Row],[Dataset]]&amp;Guide[[#This Row],[Category_1]]&amp;Guide[[#This Row],[Category_2]]&amp;Guide[[#This Row],[Dim_Group]],_xlfn.ANCHORARRAY( Sheet1!$N$2),_xlfn.CHOOSECOLS(_xlfn.ANCHORARRAY(Sheet1!$I$2),5),0)</f>
        <v>107</v>
      </c>
    </row>
    <row r="108" spans="1:18" hidden="1" x14ac:dyDescent="0.3">
      <c r="A108" t="s">
        <v>263</v>
      </c>
      <c r="B108" t="s">
        <v>324</v>
      </c>
      <c r="C108" t="s">
        <v>325</v>
      </c>
      <c r="D108" s="3" t="s">
        <v>193</v>
      </c>
      <c r="E108" s="3" t="s">
        <v>325</v>
      </c>
      <c r="F108">
        <v>1</v>
      </c>
      <c r="G108" t="s">
        <v>193</v>
      </c>
      <c r="H108" t="s">
        <v>193</v>
      </c>
      <c r="I108" t="s">
        <v>325</v>
      </c>
      <c r="K108" t="s">
        <v>99</v>
      </c>
      <c r="L108" t="s">
        <v>105</v>
      </c>
      <c r="M108" t="s">
        <v>193</v>
      </c>
      <c r="N108" t="s">
        <v>107</v>
      </c>
      <c r="P108" t="s">
        <v>946</v>
      </c>
      <c r="Q108">
        <f>ROW(Guide[[#This Row],[Row]])</f>
        <v>108</v>
      </c>
      <c r="R108" cm="1">
        <f t="array" ref="R108">_xlfn.XLOOKUP(
Guide[[#This Row],[Dataset]]&amp;Guide[[#This Row],[Category_1]]&amp;Guide[[#This Row],[Category_2]]&amp;Guide[[#This Row],[Dim_Group]],_xlfn.ANCHORARRAY( Sheet1!$N$2),_xlfn.CHOOSECOLS(_xlfn.ANCHORARRAY(Sheet1!$I$2),5),0)</f>
        <v>108</v>
      </c>
    </row>
    <row r="109" spans="1:18" hidden="1" x14ac:dyDescent="0.3">
      <c r="A109" t="s">
        <v>263</v>
      </c>
      <c r="B109" t="s">
        <v>326</v>
      </c>
      <c r="C109" t="s">
        <v>325</v>
      </c>
      <c r="D109" s="3" t="s">
        <v>193</v>
      </c>
      <c r="E109" s="3" t="s">
        <v>325</v>
      </c>
      <c r="F109">
        <v>1</v>
      </c>
      <c r="G109" t="s">
        <v>193</v>
      </c>
      <c r="H109" t="s">
        <v>19</v>
      </c>
      <c r="I109" t="s">
        <v>325</v>
      </c>
      <c r="K109" t="s">
        <v>99</v>
      </c>
      <c r="L109" t="s">
        <v>267</v>
      </c>
      <c r="M109" t="s">
        <v>19</v>
      </c>
      <c r="N109" t="s">
        <v>21</v>
      </c>
      <c r="P109" t="s">
        <v>946</v>
      </c>
      <c r="Q109">
        <f>ROW(Guide[[#This Row],[Row]])</f>
        <v>109</v>
      </c>
      <c r="R109" cm="1">
        <f t="array" ref="R109">_xlfn.XLOOKUP(
Guide[[#This Row],[Dataset]]&amp;Guide[[#This Row],[Category_1]]&amp;Guide[[#This Row],[Category_2]]&amp;Guide[[#This Row],[Dim_Group]],_xlfn.ANCHORARRAY( Sheet1!$N$2),_xlfn.CHOOSECOLS(_xlfn.ANCHORARRAY(Sheet1!$I$2),5),0)</f>
        <v>109</v>
      </c>
    </row>
    <row r="110" spans="1:18" hidden="1" x14ac:dyDescent="0.3">
      <c r="A110" t="s">
        <v>263</v>
      </c>
      <c r="B110" t="s">
        <v>327</v>
      </c>
      <c r="C110" t="s">
        <v>325</v>
      </c>
      <c r="D110" s="3" t="s">
        <v>193</v>
      </c>
      <c r="E110" s="3" t="s">
        <v>325</v>
      </c>
      <c r="F110">
        <v>1</v>
      </c>
      <c r="G110" t="s">
        <v>193</v>
      </c>
      <c r="H110" t="s">
        <v>19</v>
      </c>
      <c r="I110" t="s">
        <v>325</v>
      </c>
      <c r="K110" t="s">
        <v>99</v>
      </c>
      <c r="L110" t="s">
        <v>269</v>
      </c>
      <c r="M110" t="s">
        <v>19</v>
      </c>
      <c r="N110" t="s">
        <v>21</v>
      </c>
      <c r="P110" t="s">
        <v>946</v>
      </c>
      <c r="Q110">
        <f>ROW(Guide[[#This Row],[Row]])</f>
        <v>110</v>
      </c>
      <c r="R110" cm="1">
        <f t="array" ref="R110">_xlfn.XLOOKUP(
Guide[[#This Row],[Dataset]]&amp;Guide[[#This Row],[Category_1]]&amp;Guide[[#This Row],[Category_2]]&amp;Guide[[#This Row],[Dim_Group]],_xlfn.ANCHORARRAY( Sheet1!$N$2),_xlfn.CHOOSECOLS(_xlfn.ANCHORARRAY(Sheet1!$I$2),5),0)</f>
        <v>110</v>
      </c>
    </row>
    <row r="111" spans="1:18" hidden="1" x14ac:dyDescent="0.3">
      <c r="A111" t="s">
        <v>328</v>
      </c>
      <c r="B111" t="s">
        <v>329</v>
      </c>
      <c r="C111" t="s">
        <v>330</v>
      </c>
      <c r="D111" s="3" t="s">
        <v>193</v>
      </c>
      <c r="E111" s="3" t="s">
        <v>331</v>
      </c>
      <c r="F111">
        <v>1</v>
      </c>
      <c r="G111" t="s">
        <v>193</v>
      </c>
      <c r="H111" t="s">
        <v>224</v>
      </c>
      <c r="I111" t="s">
        <v>330</v>
      </c>
      <c r="K111" t="s">
        <v>99</v>
      </c>
      <c r="L111" t="s">
        <v>224</v>
      </c>
      <c r="M111" t="s">
        <v>224</v>
      </c>
      <c r="N111" t="s">
        <v>5</v>
      </c>
      <c r="P111" t="s">
        <v>946</v>
      </c>
      <c r="Q111">
        <f>ROW(Guide[[#This Row],[Row]])</f>
        <v>111</v>
      </c>
      <c r="R111" cm="1">
        <f t="array" ref="R111">_xlfn.XLOOKUP(
Guide[[#This Row],[Dataset]]&amp;Guide[[#This Row],[Category_1]]&amp;Guide[[#This Row],[Category_2]]&amp;Guide[[#This Row],[Dim_Group]],_xlfn.ANCHORARRAY( Sheet1!$N$2),_xlfn.CHOOSECOLS(_xlfn.ANCHORARRAY(Sheet1!$I$2),5),0)</f>
        <v>111</v>
      </c>
    </row>
    <row r="112" spans="1:18" hidden="1" x14ac:dyDescent="0.3">
      <c r="A112" t="s">
        <v>328</v>
      </c>
      <c r="B112" t="s">
        <v>332</v>
      </c>
      <c r="C112" t="s">
        <v>330</v>
      </c>
      <c r="D112" s="3" t="s">
        <v>193</v>
      </c>
      <c r="E112" s="3" t="s">
        <v>333</v>
      </c>
      <c r="F112">
        <v>1</v>
      </c>
      <c r="G112" t="s">
        <v>193</v>
      </c>
      <c r="H112" t="s">
        <v>334</v>
      </c>
      <c r="I112" t="s">
        <v>330</v>
      </c>
      <c r="K112" t="s">
        <v>99</v>
      </c>
      <c r="L112" t="s">
        <v>224</v>
      </c>
      <c r="M112" t="s">
        <v>334</v>
      </c>
      <c r="N112" t="s">
        <v>5</v>
      </c>
      <c r="P112" t="s">
        <v>946</v>
      </c>
      <c r="Q112">
        <f>ROW(Guide[[#This Row],[Row]])</f>
        <v>112</v>
      </c>
      <c r="R112" cm="1">
        <f t="array" ref="R112">_xlfn.XLOOKUP(
Guide[[#This Row],[Dataset]]&amp;Guide[[#This Row],[Category_1]]&amp;Guide[[#This Row],[Category_2]]&amp;Guide[[#This Row],[Dim_Group]],_xlfn.ANCHORARRAY( Sheet1!$N$2),_xlfn.CHOOSECOLS(_xlfn.ANCHORARRAY(Sheet1!$I$2),5),0)</f>
        <v>112</v>
      </c>
    </row>
    <row r="113" spans="1:18" hidden="1" x14ac:dyDescent="0.3">
      <c r="A113" t="s">
        <v>328</v>
      </c>
      <c r="B113" t="s">
        <v>335</v>
      </c>
      <c r="C113" t="s">
        <v>330</v>
      </c>
      <c r="D113" s="3" t="s">
        <v>193</v>
      </c>
      <c r="E113" s="3" t="s">
        <v>336</v>
      </c>
      <c r="F113">
        <v>1</v>
      </c>
      <c r="G113" t="s">
        <v>193</v>
      </c>
      <c r="H113" t="s">
        <v>337</v>
      </c>
      <c r="I113" t="s">
        <v>330</v>
      </c>
      <c r="K113" t="s">
        <v>99</v>
      </c>
      <c r="L113" t="s">
        <v>19</v>
      </c>
      <c r="M113" t="s">
        <v>337</v>
      </c>
      <c r="N113" t="s">
        <v>107</v>
      </c>
      <c r="P113" t="s">
        <v>946</v>
      </c>
      <c r="Q113">
        <f>ROW(Guide[[#This Row],[Row]])</f>
        <v>113</v>
      </c>
      <c r="R113" cm="1">
        <f t="array" ref="R113">_xlfn.XLOOKUP(
Guide[[#This Row],[Dataset]]&amp;Guide[[#This Row],[Category_1]]&amp;Guide[[#This Row],[Category_2]]&amp;Guide[[#This Row],[Dim_Group]],_xlfn.ANCHORARRAY( Sheet1!$N$2),_xlfn.CHOOSECOLS(_xlfn.ANCHORARRAY(Sheet1!$I$2),5),0)</f>
        <v>113</v>
      </c>
    </row>
    <row r="114" spans="1:18" hidden="1" x14ac:dyDescent="0.3">
      <c r="A114" t="s">
        <v>328</v>
      </c>
      <c r="B114" t="s">
        <v>338</v>
      </c>
      <c r="C114" t="s">
        <v>330</v>
      </c>
      <c r="D114" s="3" t="s">
        <v>193</v>
      </c>
      <c r="E114" s="3" t="s">
        <v>339</v>
      </c>
      <c r="F114">
        <v>1</v>
      </c>
      <c r="G114" t="s">
        <v>193</v>
      </c>
      <c r="H114" t="s">
        <v>19</v>
      </c>
      <c r="I114" t="s">
        <v>330</v>
      </c>
      <c r="K114" t="s">
        <v>99</v>
      </c>
      <c r="L114" t="s">
        <v>19</v>
      </c>
      <c r="M114" t="s">
        <v>19</v>
      </c>
      <c r="N114" t="s">
        <v>107</v>
      </c>
      <c r="P114" t="s">
        <v>946</v>
      </c>
      <c r="Q114">
        <f>ROW(Guide[[#This Row],[Row]])</f>
        <v>114</v>
      </c>
      <c r="R114" cm="1">
        <f t="array" ref="R114">_xlfn.XLOOKUP(
Guide[[#This Row],[Dataset]]&amp;Guide[[#This Row],[Category_1]]&amp;Guide[[#This Row],[Category_2]]&amp;Guide[[#This Row],[Dim_Group]],_xlfn.ANCHORARRAY( Sheet1!$N$2),_xlfn.CHOOSECOLS(_xlfn.ANCHORARRAY(Sheet1!$I$2),5),0)</f>
        <v>114</v>
      </c>
    </row>
    <row r="115" spans="1:18" hidden="1" x14ac:dyDescent="0.3">
      <c r="A115" t="s">
        <v>328</v>
      </c>
      <c r="B115" t="s">
        <v>340</v>
      </c>
      <c r="C115" t="s">
        <v>341</v>
      </c>
      <c r="D115" s="3" t="s">
        <v>193</v>
      </c>
      <c r="E115" s="3" t="s">
        <v>342</v>
      </c>
      <c r="F115">
        <v>1</v>
      </c>
      <c r="G115" t="s">
        <v>193</v>
      </c>
      <c r="H115" t="s">
        <v>343</v>
      </c>
      <c r="I115" t="s">
        <v>341</v>
      </c>
      <c r="K115" t="s">
        <v>99</v>
      </c>
      <c r="L115" t="s">
        <v>224</v>
      </c>
      <c r="M115" t="s">
        <v>343</v>
      </c>
      <c r="N115" t="s">
        <v>5</v>
      </c>
      <c r="P115" t="s">
        <v>946</v>
      </c>
      <c r="Q115">
        <f>ROW(Guide[[#This Row],[Row]])</f>
        <v>115</v>
      </c>
      <c r="R115" cm="1">
        <f t="array" ref="R115">_xlfn.XLOOKUP(
Guide[[#This Row],[Dataset]]&amp;Guide[[#This Row],[Category_1]]&amp;Guide[[#This Row],[Category_2]]&amp;Guide[[#This Row],[Dim_Group]],_xlfn.ANCHORARRAY( Sheet1!$N$2),_xlfn.CHOOSECOLS(_xlfn.ANCHORARRAY(Sheet1!$I$2),5),0)</f>
        <v>115</v>
      </c>
    </row>
    <row r="116" spans="1:18" hidden="1" x14ac:dyDescent="0.3">
      <c r="A116" t="s">
        <v>328</v>
      </c>
      <c r="B116" t="s">
        <v>344</v>
      </c>
      <c r="C116" t="s">
        <v>341</v>
      </c>
      <c r="D116" s="3" t="s">
        <v>193</v>
      </c>
      <c r="E116" s="3" t="s">
        <v>345</v>
      </c>
      <c r="F116">
        <v>1</v>
      </c>
      <c r="G116" t="s">
        <v>193</v>
      </c>
      <c r="H116" t="s">
        <v>346</v>
      </c>
      <c r="I116" t="s">
        <v>341</v>
      </c>
      <c r="K116" t="s">
        <v>99</v>
      </c>
      <c r="L116" t="s">
        <v>224</v>
      </c>
      <c r="M116" t="s">
        <v>346</v>
      </c>
      <c r="N116" t="s">
        <v>5</v>
      </c>
      <c r="P116" t="s">
        <v>946</v>
      </c>
      <c r="Q116">
        <f>ROW(Guide[[#This Row],[Row]])</f>
        <v>116</v>
      </c>
      <c r="R116" cm="1">
        <f t="array" ref="R116">_xlfn.XLOOKUP(
Guide[[#This Row],[Dataset]]&amp;Guide[[#This Row],[Category_1]]&amp;Guide[[#This Row],[Category_2]]&amp;Guide[[#This Row],[Dim_Group]],_xlfn.ANCHORARRAY( Sheet1!$N$2),_xlfn.CHOOSECOLS(_xlfn.ANCHORARRAY(Sheet1!$I$2),5),0)</f>
        <v>116</v>
      </c>
    </row>
    <row r="117" spans="1:18" hidden="1" x14ac:dyDescent="0.3">
      <c r="A117" t="s">
        <v>328</v>
      </c>
      <c r="B117" t="s">
        <v>347</v>
      </c>
      <c r="C117" t="s">
        <v>341</v>
      </c>
      <c r="D117" s="3" t="s">
        <v>193</v>
      </c>
      <c r="E117" s="3" t="s">
        <v>348</v>
      </c>
      <c r="F117">
        <v>1</v>
      </c>
      <c r="G117" t="s">
        <v>193</v>
      </c>
      <c r="H117" t="s">
        <v>349</v>
      </c>
      <c r="I117" t="s">
        <v>341</v>
      </c>
      <c r="K117" t="s">
        <v>99</v>
      </c>
      <c r="L117" t="s">
        <v>19</v>
      </c>
      <c r="M117" t="s">
        <v>349</v>
      </c>
      <c r="N117" t="s">
        <v>107</v>
      </c>
      <c r="P117" t="s">
        <v>946</v>
      </c>
      <c r="Q117">
        <f>ROW(Guide[[#This Row],[Row]])</f>
        <v>117</v>
      </c>
      <c r="R117" cm="1">
        <f t="array" ref="R117">_xlfn.XLOOKUP(
Guide[[#This Row],[Dataset]]&amp;Guide[[#This Row],[Category_1]]&amp;Guide[[#This Row],[Category_2]]&amp;Guide[[#This Row],[Dim_Group]],_xlfn.ANCHORARRAY( Sheet1!$N$2),_xlfn.CHOOSECOLS(_xlfn.ANCHORARRAY(Sheet1!$I$2),5),0)</f>
        <v>117</v>
      </c>
    </row>
    <row r="118" spans="1:18" hidden="1" x14ac:dyDescent="0.3">
      <c r="A118" t="s">
        <v>328</v>
      </c>
      <c r="B118" t="s">
        <v>350</v>
      </c>
      <c r="C118" t="s">
        <v>341</v>
      </c>
      <c r="D118" s="3" t="s">
        <v>193</v>
      </c>
      <c r="E118" s="3" t="s">
        <v>351</v>
      </c>
      <c r="F118">
        <v>1</v>
      </c>
      <c r="G118" t="s">
        <v>193</v>
      </c>
      <c r="H118" t="s">
        <v>352</v>
      </c>
      <c r="I118" t="s">
        <v>341</v>
      </c>
      <c r="K118" t="s">
        <v>99</v>
      </c>
      <c r="L118" t="s">
        <v>19</v>
      </c>
      <c r="M118" t="s">
        <v>352</v>
      </c>
      <c r="N118" t="s">
        <v>107</v>
      </c>
      <c r="P118" t="s">
        <v>946</v>
      </c>
      <c r="Q118">
        <f>ROW(Guide[[#This Row],[Row]])</f>
        <v>118</v>
      </c>
      <c r="R118" cm="1">
        <f t="array" ref="R118">_xlfn.XLOOKUP(
Guide[[#This Row],[Dataset]]&amp;Guide[[#This Row],[Category_1]]&amp;Guide[[#This Row],[Category_2]]&amp;Guide[[#This Row],[Dim_Group]],_xlfn.ANCHORARRAY( Sheet1!$N$2),_xlfn.CHOOSECOLS(_xlfn.ANCHORARRAY(Sheet1!$I$2),5),0)</f>
        <v>118</v>
      </c>
    </row>
    <row r="119" spans="1:18" hidden="1" x14ac:dyDescent="0.3">
      <c r="A119" t="s">
        <v>328</v>
      </c>
      <c r="B119" t="s">
        <v>353</v>
      </c>
      <c r="C119" t="s">
        <v>354</v>
      </c>
      <c r="D119" s="3" t="s">
        <v>193</v>
      </c>
      <c r="E119" s="3" t="s">
        <v>355</v>
      </c>
      <c r="F119">
        <v>1</v>
      </c>
      <c r="G119" t="s">
        <v>193</v>
      </c>
      <c r="H119" t="s">
        <v>343</v>
      </c>
      <c r="I119" t="s">
        <v>354</v>
      </c>
      <c r="K119" t="s">
        <v>99</v>
      </c>
      <c r="L119" t="s">
        <v>224</v>
      </c>
      <c r="M119" t="s">
        <v>343</v>
      </c>
      <c r="N119" t="s">
        <v>5</v>
      </c>
      <c r="P119" t="s">
        <v>946</v>
      </c>
      <c r="Q119">
        <f>ROW(Guide[[#This Row],[Row]])</f>
        <v>119</v>
      </c>
      <c r="R119" cm="1">
        <f t="array" ref="R119">_xlfn.XLOOKUP(
Guide[[#This Row],[Dataset]]&amp;Guide[[#This Row],[Category_1]]&amp;Guide[[#This Row],[Category_2]]&amp;Guide[[#This Row],[Dim_Group]],_xlfn.ANCHORARRAY( Sheet1!$N$2),_xlfn.CHOOSECOLS(_xlfn.ANCHORARRAY(Sheet1!$I$2),5),0)</f>
        <v>119</v>
      </c>
    </row>
    <row r="120" spans="1:18" hidden="1" x14ac:dyDescent="0.3">
      <c r="A120" t="s">
        <v>328</v>
      </c>
      <c r="B120" t="s">
        <v>356</v>
      </c>
      <c r="C120" t="s">
        <v>354</v>
      </c>
      <c r="D120" s="3" t="s">
        <v>193</v>
      </c>
      <c r="E120" s="3" t="s">
        <v>357</v>
      </c>
      <c r="F120">
        <v>1</v>
      </c>
      <c r="G120" t="s">
        <v>193</v>
      </c>
      <c r="H120" t="s">
        <v>346</v>
      </c>
      <c r="I120" t="s">
        <v>354</v>
      </c>
      <c r="K120" t="s">
        <v>99</v>
      </c>
      <c r="L120" t="s">
        <v>224</v>
      </c>
      <c r="M120" t="s">
        <v>346</v>
      </c>
      <c r="N120" t="s">
        <v>5</v>
      </c>
      <c r="P120" t="s">
        <v>946</v>
      </c>
      <c r="Q120">
        <f>ROW(Guide[[#This Row],[Row]])</f>
        <v>120</v>
      </c>
      <c r="R120" cm="1">
        <f t="array" ref="R120">_xlfn.XLOOKUP(
Guide[[#This Row],[Dataset]]&amp;Guide[[#This Row],[Category_1]]&amp;Guide[[#This Row],[Category_2]]&amp;Guide[[#This Row],[Dim_Group]],_xlfn.ANCHORARRAY( Sheet1!$N$2),_xlfn.CHOOSECOLS(_xlfn.ANCHORARRAY(Sheet1!$I$2),5),0)</f>
        <v>120</v>
      </c>
    </row>
    <row r="121" spans="1:18" hidden="1" x14ac:dyDescent="0.3">
      <c r="A121" t="s">
        <v>328</v>
      </c>
      <c r="B121" t="s">
        <v>358</v>
      </c>
      <c r="C121" t="s">
        <v>354</v>
      </c>
      <c r="D121" s="3" t="s">
        <v>193</v>
      </c>
      <c r="E121" s="3" t="s">
        <v>359</v>
      </c>
      <c r="F121">
        <v>1</v>
      </c>
      <c r="G121" t="s">
        <v>193</v>
      </c>
      <c r="H121" t="s">
        <v>349</v>
      </c>
      <c r="I121" t="s">
        <v>354</v>
      </c>
      <c r="K121" t="s">
        <v>99</v>
      </c>
      <c r="L121" t="s">
        <v>19</v>
      </c>
      <c r="M121" t="s">
        <v>349</v>
      </c>
      <c r="N121" t="s">
        <v>107</v>
      </c>
      <c r="P121" t="s">
        <v>946</v>
      </c>
      <c r="Q121">
        <f>ROW(Guide[[#This Row],[Row]])</f>
        <v>121</v>
      </c>
      <c r="R121" cm="1">
        <f t="array" ref="R121">_xlfn.XLOOKUP(
Guide[[#This Row],[Dataset]]&amp;Guide[[#This Row],[Category_1]]&amp;Guide[[#This Row],[Category_2]]&amp;Guide[[#This Row],[Dim_Group]],_xlfn.ANCHORARRAY( Sheet1!$N$2),_xlfn.CHOOSECOLS(_xlfn.ANCHORARRAY(Sheet1!$I$2),5),0)</f>
        <v>121</v>
      </c>
    </row>
    <row r="122" spans="1:18" hidden="1" x14ac:dyDescent="0.3">
      <c r="A122" t="s">
        <v>328</v>
      </c>
      <c r="B122" t="s">
        <v>360</v>
      </c>
      <c r="C122" t="s">
        <v>354</v>
      </c>
      <c r="D122" s="3" t="s">
        <v>193</v>
      </c>
      <c r="E122" s="3" t="s">
        <v>361</v>
      </c>
      <c r="F122">
        <v>1</v>
      </c>
      <c r="G122" t="s">
        <v>193</v>
      </c>
      <c r="H122" t="s">
        <v>352</v>
      </c>
      <c r="I122" t="s">
        <v>354</v>
      </c>
      <c r="K122" t="s">
        <v>99</v>
      </c>
      <c r="L122" t="s">
        <v>19</v>
      </c>
      <c r="M122" t="s">
        <v>352</v>
      </c>
      <c r="N122" t="s">
        <v>107</v>
      </c>
      <c r="P122" t="s">
        <v>946</v>
      </c>
      <c r="Q122">
        <f>ROW(Guide[[#This Row],[Row]])</f>
        <v>122</v>
      </c>
      <c r="R122" cm="1">
        <f t="array" ref="R122">_xlfn.XLOOKUP(
Guide[[#This Row],[Dataset]]&amp;Guide[[#This Row],[Category_1]]&amp;Guide[[#This Row],[Category_2]]&amp;Guide[[#This Row],[Dim_Group]],_xlfn.ANCHORARRAY( Sheet1!$N$2),_xlfn.CHOOSECOLS(_xlfn.ANCHORARRAY(Sheet1!$I$2),5),0)</f>
        <v>122</v>
      </c>
    </row>
    <row r="123" spans="1:18" hidden="1" x14ac:dyDescent="0.3">
      <c r="A123" t="s">
        <v>328</v>
      </c>
      <c r="B123" t="s">
        <v>362</v>
      </c>
      <c r="C123" t="s">
        <v>363</v>
      </c>
      <c r="D123" s="3" t="s">
        <v>193</v>
      </c>
      <c r="E123" s="3" t="s">
        <v>364</v>
      </c>
      <c r="F123">
        <v>1</v>
      </c>
      <c r="G123" t="s">
        <v>193</v>
      </c>
      <c r="H123" t="s">
        <v>343</v>
      </c>
      <c r="I123" t="s">
        <v>363</v>
      </c>
      <c r="K123" t="s">
        <v>99</v>
      </c>
      <c r="L123" t="s">
        <v>224</v>
      </c>
      <c r="M123" t="s">
        <v>343</v>
      </c>
      <c r="N123" t="s">
        <v>5</v>
      </c>
      <c r="P123" t="s">
        <v>946</v>
      </c>
      <c r="Q123">
        <f>ROW(Guide[[#This Row],[Row]])</f>
        <v>123</v>
      </c>
      <c r="R123" cm="1">
        <f t="array" ref="R123">_xlfn.XLOOKUP(
Guide[[#This Row],[Dataset]]&amp;Guide[[#This Row],[Category_1]]&amp;Guide[[#This Row],[Category_2]]&amp;Guide[[#This Row],[Dim_Group]],_xlfn.ANCHORARRAY( Sheet1!$N$2),_xlfn.CHOOSECOLS(_xlfn.ANCHORARRAY(Sheet1!$I$2),5),0)</f>
        <v>123</v>
      </c>
    </row>
    <row r="124" spans="1:18" hidden="1" x14ac:dyDescent="0.3">
      <c r="A124" t="s">
        <v>328</v>
      </c>
      <c r="B124" t="s">
        <v>365</v>
      </c>
      <c r="C124" t="s">
        <v>363</v>
      </c>
      <c r="D124" s="3" t="s">
        <v>193</v>
      </c>
      <c r="E124" s="3" t="s">
        <v>366</v>
      </c>
      <c r="F124">
        <v>1</v>
      </c>
      <c r="G124" t="s">
        <v>193</v>
      </c>
      <c r="H124" t="s">
        <v>346</v>
      </c>
      <c r="I124" t="s">
        <v>363</v>
      </c>
      <c r="K124" t="s">
        <v>99</v>
      </c>
      <c r="L124" t="s">
        <v>224</v>
      </c>
      <c r="M124" t="s">
        <v>346</v>
      </c>
      <c r="N124" t="s">
        <v>5</v>
      </c>
      <c r="P124" t="s">
        <v>946</v>
      </c>
      <c r="Q124">
        <f>ROW(Guide[[#This Row],[Row]])</f>
        <v>124</v>
      </c>
      <c r="R124" cm="1">
        <f t="array" ref="R124">_xlfn.XLOOKUP(
Guide[[#This Row],[Dataset]]&amp;Guide[[#This Row],[Category_1]]&amp;Guide[[#This Row],[Category_2]]&amp;Guide[[#This Row],[Dim_Group]],_xlfn.ANCHORARRAY( Sheet1!$N$2),_xlfn.CHOOSECOLS(_xlfn.ANCHORARRAY(Sheet1!$I$2),5),0)</f>
        <v>124</v>
      </c>
    </row>
    <row r="125" spans="1:18" hidden="1" x14ac:dyDescent="0.3">
      <c r="A125" t="s">
        <v>328</v>
      </c>
      <c r="B125" t="s">
        <v>367</v>
      </c>
      <c r="C125" t="s">
        <v>363</v>
      </c>
      <c r="D125" s="3" t="s">
        <v>193</v>
      </c>
      <c r="E125" s="3" t="s">
        <v>368</v>
      </c>
      <c r="F125">
        <v>1</v>
      </c>
      <c r="G125" t="s">
        <v>193</v>
      </c>
      <c r="H125" t="s">
        <v>349</v>
      </c>
      <c r="I125" t="s">
        <v>363</v>
      </c>
      <c r="K125" t="s">
        <v>99</v>
      </c>
      <c r="L125" t="s">
        <v>19</v>
      </c>
      <c r="M125" t="s">
        <v>349</v>
      </c>
      <c r="N125" t="s">
        <v>107</v>
      </c>
      <c r="P125" t="s">
        <v>946</v>
      </c>
      <c r="Q125">
        <f>ROW(Guide[[#This Row],[Row]])</f>
        <v>125</v>
      </c>
      <c r="R125" cm="1">
        <f t="array" ref="R125">_xlfn.XLOOKUP(
Guide[[#This Row],[Dataset]]&amp;Guide[[#This Row],[Category_1]]&amp;Guide[[#This Row],[Category_2]]&amp;Guide[[#This Row],[Dim_Group]],_xlfn.ANCHORARRAY( Sheet1!$N$2),_xlfn.CHOOSECOLS(_xlfn.ANCHORARRAY(Sheet1!$I$2),5),0)</f>
        <v>125</v>
      </c>
    </row>
    <row r="126" spans="1:18" hidden="1" x14ac:dyDescent="0.3">
      <c r="A126" t="s">
        <v>328</v>
      </c>
      <c r="B126" t="s">
        <v>369</v>
      </c>
      <c r="C126" t="s">
        <v>363</v>
      </c>
      <c r="D126" s="3" t="s">
        <v>193</v>
      </c>
      <c r="E126" s="3" t="s">
        <v>370</v>
      </c>
      <c r="F126">
        <v>1</v>
      </c>
      <c r="G126" t="s">
        <v>193</v>
      </c>
      <c r="H126" t="s">
        <v>352</v>
      </c>
      <c r="I126" t="s">
        <v>363</v>
      </c>
      <c r="K126" t="s">
        <v>99</v>
      </c>
      <c r="L126" t="s">
        <v>19</v>
      </c>
      <c r="M126" t="s">
        <v>352</v>
      </c>
      <c r="N126" t="s">
        <v>107</v>
      </c>
      <c r="P126" t="s">
        <v>946</v>
      </c>
      <c r="Q126">
        <f>ROW(Guide[[#This Row],[Row]])</f>
        <v>126</v>
      </c>
      <c r="R126" cm="1">
        <f t="array" ref="R126">_xlfn.XLOOKUP(
Guide[[#This Row],[Dataset]]&amp;Guide[[#This Row],[Category_1]]&amp;Guide[[#This Row],[Category_2]]&amp;Guide[[#This Row],[Dim_Group]],_xlfn.ANCHORARRAY( Sheet1!$N$2),_xlfn.CHOOSECOLS(_xlfn.ANCHORARRAY(Sheet1!$I$2),5),0)</f>
        <v>126</v>
      </c>
    </row>
    <row r="127" spans="1:18" hidden="1" x14ac:dyDescent="0.3">
      <c r="A127" t="s">
        <v>371</v>
      </c>
      <c r="B127" t="s">
        <v>372</v>
      </c>
      <c r="C127" t="s">
        <v>373</v>
      </c>
      <c r="D127" s="3" t="s">
        <v>374</v>
      </c>
      <c r="E127" s="3" t="s">
        <v>375</v>
      </c>
      <c r="F127">
        <v>1</v>
      </c>
      <c r="G127" t="s">
        <v>193</v>
      </c>
      <c r="H127" t="s">
        <v>376</v>
      </c>
      <c r="I127" t="s">
        <v>373</v>
      </c>
      <c r="K127" t="s">
        <v>99</v>
      </c>
      <c r="L127" t="s">
        <v>377</v>
      </c>
      <c r="M127" t="s">
        <v>376</v>
      </c>
      <c r="N127" t="s">
        <v>5</v>
      </c>
      <c r="P127" t="s">
        <v>946</v>
      </c>
      <c r="Q127">
        <f>ROW(Guide[[#This Row],[Row]])</f>
        <v>127</v>
      </c>
      <c r="R127" cm="1">
        <f t="array" ref="R127">_xlfn.XLOOKUP(
Guide[[#This Row],[Dataset]]&amp;Guide[[#This Row],[Category_1]]&amp;Guide[[#This Row],[Category_2]]&amp;Guide[[#This Row],[Dim_Group]],_xlfn.ANCHORARRAY( Sheet1!$N$2),_xlfn.CHOOSECOLS(_xlfn.ANCHORARRAY(Sheet1!$I$2),5),0)</f>
        <v>127</v>
      </c>
    </row>
    <row r="128" spans="1:18" hidden="1" x14ac:dyDescent="0.3">
      <c r="A128" t="s">
        <v>371</v>
      </c>
      <c r="B128" t="s">
        <v>378</v>
      </c>
      <c r="C128" t="s">
        <v>379</v>
      </c>
      <c r="D128" s="3" t="s">
        <v>374</v>
      </c>
      <c r="E128" s="3" t="s">
        <v>380</v>
      </c>
      <c r="F128">
        <v>1</v>
      </c>
      <c r="G128" t="s">
        <v>193</v>
      </c>
      <c r="H128" t="s">
        <v>337</v>
      </c>
      <c r="I128" t="s">
        <v>379</v>
      </c>
      <c r="K128" t="s">
        <v>99</v>
      </c>
      <c r="L128" t="s">
        <v>267</v>
      </c>
      <c r="M128" t="s">
        <v>337</v>
      </c>
      <c r="N128" t="s">
        <v>107</v>
      </c>
      <c r="P128" t="s">
        <v>946</v>
      </c>
      <c r="Q128">
        <f>ROW(Guide[[#This Row],[Row]])</f>
        <v>128</v>
      </c>
      <c r="R128" cm="1">
        <f t="array" ref="R128">_xlfn.XLOOKUP(
Guide[[#This Row],[Dataset]]&amp;Guide[[#This Row],[Category_1]]&amp;Guide[[#This Row],[Category_2]]&amp;Guide[[#This Row],[Dim_Group]],_xlfn.ANCHORARRAY( Sheet1!$N$2),_xlfn.CHOOSECOLS(_xlfn.ANCHORARRAY(Sheet1!$I$2),5),0)</f>
        <v>128</v>
      </c>
    </row>
    <row r="129" spans="1:18" hidden="1" x14ac:dyDescent="0.3">
      <c r="A129" t="s">
        <v>371</v>
      </c>
      <c r="B129" t="s">
        <v>381</v>
      </c>
      <c r="C129" t="s">
        <v>382</v>
      </c>
      <c r="D129" s="3" t="s">
        <v>383</v>
      </c>
      <c r="E129" s="3" t="s">
        <v>384</v>
      </c>
      <c r="F129">
        <v>1</v>
      </c>
      <c r="G129" t="s">
        <v>193</v>
      </c>
      <c r="H129" t="s">
        <v>343</v>
      </c>
      <c r="I129" t="s">
        <v>382</v>
      </c>
      <c r="K129" t="s">
        <v>99</v>
      </c>
      <c r="L129" t="s">
        <v>385</v>
      </c>
      <c r="M129" t="s">
        <v>343</v>
      </c>
      <c r="N129" t="s">
        <v>5</v>
      </c>
      <c r="P129" t="s">
        <v>946</v>
      </c>
      <c r="Q129">
        <f>ROW(Guide[[#This Row],[Row]])</f>
        <v>129</v>
      </c>
      <c r="R129" cm="1">
        <f t="array" ref="R129">_xlfn.XLOOKUP(
Guide[[#This Row],[Dataset]]&amp;Guide[[#This Row],[Category_1]]&amp;Guide[[#This Row],[Category_2]]&amp;Guide[[#This Row],[Dim_Group]],_xlfn.ANCHORARRAY( Sheet1!$N$2),_xlfn.CHOOSECOLS(_xlfn.ANCHORARRAY(Sheet1!$I$2),5),0)</f>
        <v>129</v>
      </c>
    </row>
    <row r="130" spans="1:18" hidden="1" x14ac:dyDescent="0.3">
      <c r="A130" t="s">
        <v>371</v>
      </c>
      <c r="B130" t="s">
        <v>386</v>
      </c>
      <c r="C130" t="s">
        <v>387</v>
      </c>
      <c r="D130" s="3" t="s">
        <v>383</v>
      </c>
      <c r="E130" s="3" t="s">
        <v>388</v>
      </c>
      <c r="F130">
        <v>1</v>
      </c>
      <c r="G130" t="s">
        <v>193</v>
      </c>
      <c r="H130" t="s">
        <v>346</v>
      </c>
      <c r="I130" t="s">
        <v>387</v>
      </c>
      <c r="K130" t="s">
        <v>99</v>
      </c>
      <c r="L130" t="s">
        <v>385</v>
      </c>
      <c r="M130" t="s">
        <v>346</v>
      </c>
      <c r="N130" t="s">
        <v>5</v>
      </c>
      <c r="P130" t="s">
        <v>946</v>
      </c>
      <c r="Q130">
        <f>ROW(Guide[[#This Row],[Row]])</f>
        <v>130</v>
      </c>
      <c r="R130" cm="1">
        <f t="array" ref="R130">_xlfn.XLOOKUP(
Guide[[#This Row],[Dataset]]&amp;Guide[[#This Row],[Category_1]]&amp;Guide[[#This Row],[Category_2]]&amp;Guide[[#This Row],[Dim_Group]],_xlfn.ANCHORARRAY( Sheet1!$N$2),_xlfn.CHOOSECOLS(_xlfn.ANCHORARRAY(Sheet1!$I$2),5),0)</f>
        <v>130</v>
      </c>
    </row>
    <row r="131" spans="1:18" hidden="1" x14ac:dyDescent="0.3">
      <c r="A131" t="s">
        <v>371</v>
      </c>
      <c r="B131" t="s">
        <v>389</v>
      </c>
      <c r="C131" t="s">
        <v>390</v>
      </c>
      <c r="D131" s="3" t="s">
        <v>383</v>
      </c>
      <c r="E131" s="3" t="s">
        <v>391</v>
      </c>
      <c r="F131">
        <v>1</v>
      </c>
      <c r="G131" t="s">
        <v>193</v>
      </c>
      <c r="H131" t="s">
        <v>349</v>
      </c>
      <c r="I131" t="s">
        <v>390</v>
      </c>
      <c r="K131" t="s">
        <v>99</v>
      </c>
      <c r="L131" t="s">
        <v>392</v>
      </c>
      <c r="M131" t="s">
        <v>349</v>
      </c>
      <c r="N131" t="s">
        <v>107</v>
      </c>
      <c r="P131" t="s">
        <v>946</v>
      </c>
      <c r="Q131">
        <f>ROW(Guide[[#This Row],[Row]])</f>
        <v>131</v>
      </c>
      <c r="R131" cm="1">
        <f t="array" ref="R131">_xlfn.XLOOKUP(
Guide[[#This Row],[Dataset]]&amp;Guide[[#This Row],[Category_1]]&amp;Guide[[#This Row],[Category_2]]&amp;Guide[[#This Row],[Dim_Group]],_xlfn.ANCHORARRAY( Sheet1!$N$2),_xlfn.CHOOSECOLS(_xlfn.ANCHORARRAY(Sheet1!$I$2),5),0)</f>
        <v>131</v>
      </c>
    </row>
    <row r="132" spans="1:18" hidden="1" x14ac:dyDescent="0.3">
      <c r="A132" t="s">
        <v>371</v>
      </c>
      <c r="B132" t="s">
        <v>393</v>
      </c>
      <c r="C132" t="s">
        <v>394</v>
      </c>
      <c r="D132" s="3" t="s">
        <v>383</v>
      </c>
      <c r="E132" s="3" t="s">
        <v>395</v>
      </c>
      <c r="F132">
        <v>1</v>
      </c>
      <c r="G132" t="s">
        <v>193</v>
      </c>
      <c r="H132" t="s">
        <v>352</v>
      </c>
      <c r="I132" t="s">
        <v>394</v>
      </c>
      <c r="K132" t="s">
        <v>99</v>
      </c>
      <c r="L132" t="s">
        <v>396</v>
      </c>
      <c r="M132" t="s">
        <v>352</v>
      </c>
      <c r="N132" t="s">
        <v>107</v>
      </c>
      <c r="P132" t="s">
        <v>946</v>
      </c>
      <c r="Q132">
        <f>ROW(Guide[[#This Row],[Row]])</f>
        <v>132</v>
      </c>
      <c r="R132" cm="1">
        <f t="array" ref="R132">_xlfn.XLOOKUP(
Guide[[#This Row],[Dataset]]&amp;Guide[[#This Row],[Category_1]]&amp;Guide[[#This Row],[Category_2]]&amp;Guide[[#This Row],[Dim_Group]],_xlfn.ANCHORARRAY( Sheet1!$N$2),_xlfn.CHOOSECOLS(_xlfn.ANCHORARRAY(Sheet1!$I$2),5),0)</f>
        <v>132</v>
      </c>
    </row>
    <row r="133" spans="1:18" hidden="1" x14ac:dyDescent="0.3">
      <c r="A133" t="s">
        <v>371</v>
      </c>
      <c r="B133" t="s">
        <v>397</v>
      </c>
      <c r="C133" t="s">
        <v>398</v>
      </c>
      <c r="D133" s="3" t="s">
        <v>383</v>
      </c>
      <c r="E133" s="3" t="s">
        <v>399</v>
      </c>
      <c r="F133">
        <v>1</v>
      </c>
      <c r="G133" t="s">
        <v>193</v>
      </c>
      <c r="H133" t="s">
        <v>343</v>
      </c>
      <c r="I133" t="s">
        <v>398</v>
      </c>
      <c r="K133" t="s">
        <v>99</v>
      </c>
      <c r="L133" t="s">
        <v>385</v>
      </c>
      <c r="M133" t="s">
        <v>343</v>
      </c>
      <c r="N133" t="s">
        <v>5</v>
      </c>
      <c r="P133" t="s">
        <v>946</v>
      </c>
      <c r="Q133">
        <f>ROW(Guide[[#This Row],[Row]])</f>
        <v>133</v>
      </c>
      <c r="R133" cm="1">
        <f t="array" ref="R133">_xlfn.XLOOKUP(
Guide[[#This Row],[Dataset]]&amp;Guide[[#This Row],[Category_1]]&amp;Guide[[#This Row],[Category_2]]&amp;Guide[[#This Row],[Dim_Group]],_xlfn.ANCHORARRAY( Sheet1!$N$2),_xlfn.CHOOSECOLS(_xlfn.ANCHORARRAY(Sheet1!$I$2),5),0)</f>
        <v>133</v>
      </c>
    </row>
    <row r="134" spans="1:18" hidden="1" x14ac:dyDescent="0.3">
      <c r="A134" t="s">
        <v>371</v>
      </c>
      <c r="B134" t="s">
        <v>400</v>
      </c>
      <c r="C134" t="s">
        <v>401</v>
      </c>
      <c r="D134" s="3" t="s">
        <v>383</v>
      </c>
      <c r="E134" s="3" t="s">
        <v>402</v>
      </c>
      <c r="F134">
        <v>1</v>
      </c>
      <c r="G134" t="s">
        <v>193</v>
      </c>
      <c r="H134" t="s">
        <v>346</v>
      </c>
      <c r="I134" t="s">
        <v>401</v>
      </c>
      <c r="K134" t="s">
        <v>99</v>
      </c>
      <c r="L134" t="s">
        <v>385</v>
      </c>
      <c r="M134" t="s">
        <v>346</v>
      </c>
      <c r="N134" t="s">
        <v>5</v>
      </c>
      <c r="P134" t="s">
        <v>946</v>
      </c>
      <c r="Q134">
        <f>ROW(Guide[[#This Row],[Row]])</f>
        <v>134</v>
      </c>
      <c r="R134" cm="1">
        <f t="array" ref="R134">_xlfn.XLOOKUP(
Guide[[#This Row],[Dataset]]&amp;Guide[[#This Row],[Category_1]]&amp;Guide[[#This Row],[Category_2]]&amp;Guide[[#This Row],[Dim_Group]],_xlfn.ANCHORARRAY( Sheet1!$N$2),_xlfn.CHOOSECOLS(_xlfn.ANCHORARRAY(Sheet1!$I$2),5),0)</f>
        <v>134</v>
      </c>
    </row>
    <row r="135" spans="1:18" hidden="1" x14ac:dyDescent="0.3">
      <c r="A135" t="s">
        <v>371</v>
      </c>
      <c r="B135" t="s">
        <v>403</v>
      </c>
      <c r="C135" t="s">
        <v>404</v>
      </c>
      <c r="D135" s="3" t="s">
        <v>383</v>
      </c>
      <c r="E135" s="3" t="s">
        <v>405</v>
      </c>
      <c r="F135">
        <v>1</v>
      </c>
      <c r="G135" t="s">
        <v>193</v>
      </c>
      <c r="H135" t="s">
        <v>349</v>
      </c>
      <c r="I135" t="s">
        <v>404</v>
      </c>
      <c r="K135" t="s">
        <v>99</v>
      </c>
      <c r="L135" t="s">
        <v>392</v>
      </c>
      <c r="M135" t="s">
        <v>349</v>
      </c>
      <c r="N135" t="s">
        <v>107</v>
      </c>
      <c r="P135" t="s">
        <v>946</v>
      </c>
      <c r="Q135">
        <f>ROW(Guide[[#This Row],[Row]])</f>
        <v>135</v>
      </c>
      <c r="R135" cm="1">
        <f t="array" ref="R135">_xlfn.XLOOKUP(
Guide[[#This Row],[Dataset]]&amp;Guide[[#This Row],[Category_1]]&amp;Guide[[#This Row],[Category_2]]&amp;Guide[[#This Row],[Dim_Group]],_xlfn.ANCHORARRAY( Sheet1!$N$2),_xlfn.CHOOSECOLS(_xlfn.ANCHORARRAY(Sheet1!$I$2),5),0)</f>
        <v>135</v>
      </c>
    </row>
    <row r="136" spans="1:18" hidden="1" x14ac:dyDescent="0.3">
      <c r="A136" t="s">
        <v>371</v>
      </c>
      <c r="B136" t="s">
        <v>406</v>
      </c>
      <c r="C136" t="s">
        <v>407</v>
      </c>
      <c r="D136" s="3" t="s">
        <v>383</v>
      </c>
      <c r="E136" s="3" t="s">
        <v>408</v>
      </c>
      <c r="F136">
        <v>1</v>
      </c>
      <c r="G136" t="s">
        <v>193</v>
      </c>
      <c r="H136" t="s">
        <v>352</v>
      </c>
      <c r="I136" t="s">
        <v>407</v>
      </c>
      <c r="K136" t="s">
        <v>99</v>
      </c>
      <c r="L136" t="s">
        <v>396</v>
      </c>
      <c r="M136" t="s">
        <v>352</v>
      </c>
      <c r="N136" t="s">
        <v>107</v>
      </c>
      <c r="P136" t="s">
        <v>946</v>
      </c>
      <c r="Q136">
        <f>ROW(Guide[[#This Row],[Row]])</f>
        <v>136</v>
      </c>
      <c r="R136" cm="1">
        <f t="array" ref="R136">_xlfn.XLOOKUP(
Guide[[#This Row],[Dataset]]&amp;Guide[[#This Row],[Category_1]]&amp;Guide[[#This Row],[Category_2]]&amp;Guide[[#This Row],[Dim_Group]],_xlfn.ANCHORARRAY( Sheet1!$N$2),_xlfn.CHOOSECOLS(_xlfn.ANCHORARRAY(Sheet1!$I$2),5),0)</f>
        <v>136</v>
      </c>
    </row>
    <row r="137" spans="1:18" hidden="1" x14ac:dyDescent="0.3">
      <c r="A137" t="s">
        <v>371</v>
      </c>
      <c r="B137" t="s">
        <v>409</v>
      </c>
      <c r="C137" t="s">
        <v>410</v>
      </c>
      <c r="D137" s="3" t="s">
        <v>411</v>
      </c>
      <c r="E137" s="3" t="s">
        <v>410</v>
      </c>
      <c r="F137">
        <v>1</v>
      </c>
      <c r="G137" t="s">
        <v>193</v>
      </c>
      <c r="H137" t="s">
        <v>343</v>
      </c>
      <c r="I137" t="s">
        <v>410</v>
      </c>
      <c r="K137" t="s">
        <v>99</v>
      </c>
      <c r="L137" t="s">
        <v>385</v>
      </c>
      <c r="M137" t="s">
        <v>343</v>
      </c>
      <c r="N137" t="s">
        <v>5</v>
      </c>
      <c r="P137" t="s">
        <v>946</v>
      </c>
      <c r="Q137">
        <f>ROW(Guide[[#This Row],[Row]])</f>
        <v>137</v>
      </c>
      <c r="R137" cm="1">
        <f t="array" ref="R137">_xlfn.XLOOKUP(
Guide[[#This Row],[Dataset]]&amp;Guide[[#This Row],[Category_1]]&amp;Guide[[#This Row],[Category_2]]&amp;Guide[[#This Row],[Dim_Group]],_xlfn.ANCHORARRAY( Sheet1!$N$2),_xlfn.CHOOSECOLS(_xlfn.ANCHORARRAY(Sheet1!$I$2),5),0)</f>
        <v>137</v>
      </c>
    </row>
    <row r="138" spans="1:18" hidden="1" x14ac:dyDescent="0.3">
      <c r="A138" t="s">
        <v>371</v>
      </c>
      <c r="B138" t="s">
        <v>412</v>
      </c>
      <c r="C138" t="s">
        <v>413</v>
      </c>
      <c r="D138" s="3" t="s">
        <v>411</v>
      </c>
      <c r="E138" s="3" t="s">
        <v>413</v>
      </c>
      <c r="F138">
        <v>1</v>
      </c>
      <c r="G138" t="s">
        <v>193</v>
      </c>
      <c r="H138" t="s">
        <v>346</v>
      </c>
      <c r="I138" t="s">
        <v>413</v>
      </c>
      <c r="K138" t="s">
        <v>99</v>
      </c>
      <c r="L138" t="s">
        <v>385</v>
      </c>
      <c r="M138" t="s">
        <v>346</v>
      </c>
      <c r="N138" t="s">
        <v>5</v>
      </c>
      <c r="P138" t="s">
        <v>946</v>
      </c>
      <c r="Q138">
        <f>ROW(Guide[[#This Row],[Row]])</f>
        <v>138</v>
      </c>
      <c r="R138" cm="1">
        <f t="array" ref="R138">_xlfn.XLOOKUP(
Guide[[#This Row],[Dataset]]&amp;Guide[[#This Row],[Category_1]]&amp;Guide[[#This Row],[Category_2]]&amp;Guide[[#This Row],[Dim_Group]],_xlfn.ANCHORARRAY( Sheet1!$N$2),_xlfn.CHOOSECOLS(_xlfn.ANCHORARRAY(Sheet1!$I$2),5),0)</f>
        <v>138</v>
      </c>
    </row>
    <row r="139" spans="1:18" hidden="1" x14ac:dyDescent="0.3">
      <c r="A139" t="s">
        <v>414</v>
      </c>
      <c r="B139" t="s">
        <v>415</v>
      </c>
      <c r="C139" t="s">
        <v>416</v>
      </c>
      <c r="D139" s="3" t="s">
        <v>417</v>
      </c>
      <c r="E139" s="3" t="s">
        <v>418</v>
      </c>
      <c r="F139">
        <v>1</v>
      </c>
      <c r="G139" t="s">
        <v>193</v>
      </c>
      <c r="H139" t="s">
        <v>419</v>
      </c>
      <c r="I139" t="s">
        <v>416</v>
      </c>
      <c r="K139" t="s">
        <v>99</v>
      </c>
      <c r="L139" t="s">
        <v>420</v>
      </c>
      <c r="M139" t="s">
        <v>419</v>
      </c>
      <c r="N139" t="s">
        <v>5</v>
      </c>
      <c r="P139" t="s">
        <v>946</v>
      </c>
      <c r="Q139">
        <f>ROW(Guide[[#This Row],[Row]])</f>
        <v>139</v>
      </c>
      <c r="R139" cm="1">
        <f t="array" ref="R139">_xlfn.XLOOKUP(
Guide[[#This Row],[Dataset]]&amp;Guide[[#This Row],[Category_1]]&amp;Guide[[#This Row],[Category_2]]&amp;Guide[[#This Row],[Dim_Group]],_xlfn.ANCHORARRAY( Sheet1!$N$2),_xlfn.CHOOSECOLS(_xlfn.ANCHORARRAY(Sheet1!$I$2),5),0)</f>
        <v>139</v>
      </c>
    </row>
    <row r="140" spans="1:18" hidden="1" x14ac:dyDescent="0.3">
      <c r="A140" t="s">
        <v>414</v>
      </c>
      <c r="B140" t="s">
        <v>421</v>
      </c>
      <c r="C140" t="s">
        <v>416</v>
      </c>
      <c r="D140" s="3" t="s">
        <v>422</v>
      </c>
      <c r="E140" s="3" t="s">
        <v>418</v>
      </c>
      <c r="F140">
        <v>1</v>
      </c>
      <c r="G140" t="s">
        <v>193</v>
      </c>
      <c r="H140" t="s">
        <v>419</v>
      </c>
      <c r="I140" t="s">
        <v>416</v>
      </c>
      <c r="K140" t="s">
        <v>99</v>
      </c>
      <c r="L140" t="s">
        <v>423</v>
      </c>
      <c r="M140" t="s">
        <v>419</v>
      </c>
      <c r="N140" t="s">
        <v>5</v>
      </c>
      <c r="P140" t="s">
        <v>946</v>
      </c>
      <c r="Q140">
        <f>ROW(Guide[[#This Row],[Row]])</f>
        <v>140</v>
      </c>
      <c r="R140" cm="1">
        <f t="array" ref="R140">_xlfn.XLOOKUP(
Guide[[#This Row],[Dataset]]&amp;Guide[[#This Row],[Category_1]]&amp;Guide[[#This Row],[Category_2]]&amp;Guide[[#This Row],[Dim_Group]],_xlfn.ANCHORARRAY( Sheet1!$N$2),_xlfn.CHOOSECOLS(_xlfn.ANCHORARRAY(Sheet1!$I$2),5),0)</f>
        <v>140</v>
      </c>
    </row>
    <row r="141" spans="1:18" hidden="1" x14ac:dyDescent="0.3">
      <c r="A141" t="s">
        <v>414</v>
      </c>
      <c r="B141" t="s">
        <v>424</v>
      </c>
      <c r="C141" t="s">
        <v>416</v>
      </c>
      <c r="D141" s="3" t="s">
        <v>425</v>
      </c>
      <c r="E141" s="3" t="s">
        <v>418</v>
      </c>
      <c r="F141">
        <v>1</v>
      </c>
      <c r="G141" t="s">
        <v>193</v>
      </c>
      <c r="H141" t="s">
        <v>193</v>
      </c>
      <c r="I141" t="s">
        <v>416</v>
      </c>
      <c r="K141" t="s">
        <v>99</v>
      </c>
      <c r="L141" t="s">
        <v>426</v>
      </c>
      <c r="M141" t="s">
        <v>193</v>
      </c>
      <c r="N141" t="s">
        <v>107</v>
      </c>
      <c r="P141" t="s">
        <v>946</v>
      </c>
      <c r="Q141">
        <f>ROW(Guide[[#This Row],[Row]])</f>
        <v>141</v>
      </c>
      <c r="R141" cm="1">
        <f t="array" ref="R141">_xlfn.XLOOKUP(
Guide[[#This Row],[Dataset]]&amp;Guide[[#This Row],[Category_1]]&amp;Guide[[#This Row],[Category_2]]&amp;Guide[[#This Row],[Dim_Group]],_xlfn.ANCHORARRAY( Sheet1!$N$2),_xlfn.CHOOSECOLS(_xlfn.ANCHORARRAY(Sheet1!$I$2),5),0)</f>
        <v>141</v>
      </c>
    </row>
    <row r="142" spans="1:18" hidden="1" x14ac:dyDescent="0.3">
      <c r="A142" t="s">
        <v>414</v>
      </c>
      <c r="B142" t="s">
        <v>427</v>
      </c>
      <c r="C142" t="s">
        <v>416</v>
      </c>
      <c r="D142" s="3" t="s">
        <v>428</v>
      </c>
      <c r="E142" s="3" t="s">
        <v>418</v>
      </c>
      <c r="F142">
        <v>1</v>
      </c>
      <c r="G142" t="s">
        <v>193</v>
      </c>
      <c r="H142" t="s">
        <v>193</v>
      </c>
      <c r="I142" t="s">
        <v>416</v>
      </c>
      <c r="K142" t="s">
        <v>99</v>
      </c>
      <c r="L142" t="s">
        <v>269</v>
      </c>
      <c r="M142" t="s">
        <v>193</v>
      </c>
      <c r="N142" t="s">
        <v>107</v>
      </c>
      <c r="P142" t="s">
        <v>946</v>
      </c>
      <c r="Q142">
        <f>ROW(Guide[[#This Row],[Row]])</f>
        <v>142</v>
      </c>
      <c r="R142" cm="1">
        <f t="array" ref="R142">_xlfn.XLOOKUP(
Guide[[#This Row],[Dataset]]&amp;Guide[[#This Row],[Category_1]]&amp;Guide[[#This Row],[Category_2]]&amp;Guide[[#This Row],[Dim_Group]],_xlfn.ANCHORARRAY( Sheet1!$N$2),_xlfn.CHOOSECOLS(_xlfn.ANCHORARRAY(Sheet1!$I$2),5),0)</f>
        <v>142</v>
      </c>
    </row>
    <row r="143" spans="1:18" hidden="1" x14ac:dyDescent="0.3">
      <c r="A143" t="s">
        <v>414</v>
      </c>
      <c r="B143" t="s">
        <v>429</v>
      </c>
      <c r="C143" t="s">
        <v>430</v>
      </c>
      <c r="D143" s="3" t="s">
        <v>431</v>
      </c>
      <c r="E143" s="3" t="s">
        <v>418</v>
      </c>
      <c r="F143">
        <v>1</v>
      </c>
      <c r="G143" t="s">
        <v>193</v>
      </c>
      <c r="H143" t="s">
        <v>419</v>
      </c>
      <c r="I143" t="s">
        <v>430</v>
      </c>
      <c r="K143" t="s">
        <v>99</v>
      </c>
      <c r="L143" t="s">
        <v>423</v>
      </c>
      <c r="M143" t="s">
        <v>419</v>
      </c>
      <c r="N143" t="s">
        <v>5</v>
      </c>
      <c r="P143" t="s">
        <v>946</v>
      </c>
      <c r="Q143">
        <f>ROW(Guide[[#This Row],[Row]])</f>
        <v>143</v>
      </c>
      <c r="R143" cm="1">
        <f t="array" ref="R143">_xlfn.XLOOKUP(
Guide[[#This Row],[Dataset]]&amp;Guide[[#This Row],[Category_1]]&amp;Guide[[#This Row],[Category_2]]&amp;Guide[[#This Row],[Dim_Group]],_xlfn.ANCHORARRAY( Sheet1!$N$2),_xlfn.CHOOSECOLS(_xlfn.ANCHORARRAY(Sheet1!$I$2),5),0)</f>
        <v>143</v>
      </c>
    </row>
    <row r="144" spans="1:18" hidden="1" x14ac:dyDescent="0.3">
      <c r="A144" t="s">
        <v>414</v>
      </c>
      <c r="B144" t="s">
        <v>432</v>
      </c>
      <c r="C144" t="s">
        <v>430</v>
      </c>
      <c r="D144" s="3" t="s">
        <v>433</v>
      </c>
      <c r="E144" s="3" t="s">
        <v>418</v>
      </c>
      <c r="F144">
        <v>1</v>
      </c>
      <c r="G144" t="s">
        <v>193</v>
      </c>
      <c r="H144" t="s">
        <v>19</v>
      </c>
      <c r="I144" t="s">
        <v>430</v>
      </c>
      <c r="K144" t="s">
        <v>99</v>
      </c>
      <c r="L144" t="s">
        <v>269</v>
      </c>
      <c r="M144" t="s">
        <v>19</v>
      </c>
      <c r="N144" t="s">
        <v>107</v>
      </c>
      <c r="P144" t="s">
        <v>946</v>
      </c>
      <c r="Q144">
        <f>ROW(Guide[[#This Row],[Row]])</f>
        <v>144</v>
      </c>
      <c r="R144" cm="1">
        <f t="array" ref="R144">_xlfn.XLOOKUP(
Guide[[#This Row],[Dataset]]&amp;Guide[[#This Row],[Category_1]]&amp;Guide[[#This Row],[Category_2]]&amp;Guide[[#This Row],[Dim_Group]],_xlfn.ANCHORARRAY( Sheet1!$N$2),_xlfn.CHOOSECOLS(_xlfn.ANCHORARRAY(Sheet1!$I$2),5),0)</f>
        <v>144</v>
      </c>
    </row>
    <row r="145" spans="1:18" hidden="1" x14ac:dyDescent="0.3">
      <c r="A145" t="s">
        <v>414</v>
      </c>
      <c r="B145" t="s">
        <v>434</v>
      </c>
      <c r="C145" t="s">
        <v>435</v>
      </c>
      <c r="D145" s="3" t="s">
        <v>417</v>
      </c>
      <c r="E145" s="3" t="s">
        <v>436</v>
      </c>
      <c r="F145">
        <v>1</v>
      </c>
      <c r="G145" t="s">
        <v>193</v>
      </c>
      <c r="H145" t="s">
        <v>419</v>
      </c>
      <c r="I145" t="s">
        <v>435</v>
      </c>
      <c r="K145" t="s">
        <v>99</v>
      </c>
      <c r="L145" t="s">
        <v>420</v>
      </c>
      <c r="M145" t="s">
        <v>419</v>
      </c>
      <c r="N145" t="s">
        <v>5</v>
      </c>
      <c r="P145" t="s">
        <v>946</v>
      </c>
      <c r="Q145">
        <f>ROW(Guide[[#This Row],[Row]])</f>
        <v>145</v>
      </c>
      <c r="R145" cm="1">
        <f t="array" ref="R145">_xlfn.XLOOKUP(
Guide[[#This Row],[Dataset]]&amp;Guide[[#This Row],[Category_1]]&amp;Guide[[#This Row],[Category_2]]&amp;Guide[[#This Row],[Dim_Group]],_xlfn.ANCHORARRAY( Sheet1!$N$2),_xlfn.CHOOSECOLS(_xlfn.ANCHORARRAY(Sheet1!$I$2),5),0)</f>
        <v>145</v>
      </c>
    </row>
    <row r="146" spans="1:18" hidden="1" x14ac:dyDescent="0.3">
      <c r="A146" t="s">
        <v>414</v>
      </c>
      <c r="B146" t="s">
        <v>437</v>
      </c>
      <c r="C146" t="s">
        <v>435</v>
      </c>
      <c r="D146" s="3" t="s">
        <v>422</v>
      </c>
      <c r="E146" s="3" t="s">
        <v>436</v>
      </c>
      <c r="F146">
        <v>1</v>
      </c>
      <c r="G146" t="s">
        <v>193</v>
      </c>
      <c r="H146" t="s">
        <v>419</v>
      </c>
      <c r="I146" t="s">
        <v>435</v>
      </c>
      <c r="K146" t="s">
        <v>99</v>
      </c>
      <c r="L146" t="s">
        <v>423</v>
      </c>
      <c r="M146" t="s">
        <v>419</v>
      </c>
      <c r="N146" t="s">
        <v>5</v>
      </c>
      <c r="P146" t="s">
        <v>946</v>
      </c>
      <c r="Q146">
        <f>ROW(Guide[[#This Row],[Row]])</f>
        <v>146</v>
      </c>
      <c r="R146" cm="1">
        <f t="array" ref="R146">_xlfn.XLOOKUP(
Guide[[#This Row],[Dataset]]&amp;Guide[[#This Row],[Category_1]]&amp;Guide[[#This Row],[Category_2]]&amp;Guide[[#This Row],[Dim_Group]],_xlfn.ANCHORARRAY( Sheet1!$N$2),_xlfn.CHOOSECOLS(_xlfn.ANCHORARRAY(Sheet1!$I$2),5),0)</f>
        <v>146</v>
      </c>
    </row>
    <row r="147" spans="1:18" hidden="1" x14ac:dyDescent="0.3">
      <c r="A147" t="s">
        <v>414</v>
      </c>
      <c r="B147" t="s">
        <v>438</v>
      </c>
      <c r="C147" t="s">
        <v>435</v>
      </c>
      <c r="D147" s="3" t="s">
        <v>425</v>
      </c>
      <c r="E147" s="3" t="s">
        <v>436</v>
      </c>
      <c r="F147">
        <v>1</v>
      </c>
      <c r="G147" t="s">
        <v>193</v>
      </c>
      <c r="H147" t="s">
        <v>193</v>
      </c>
      <c r="I147" t="s">
        <v>435</v>
      </c>
      <c r="K147" t="s">
        <v>99</v>
      </c>
      <c r="L147" t="s">
        <v>426</v>
      </c>
      <c r="M147" t="s">
        <v>193</v>
      </c>
      <c r="N147" t="s">
        <v>107</v>
      </c>
      <c r="P147" t="s">
        <v>946</v>
      </c>
      <c r="Q147">
        <f>ROW(Guide[[#This Row],[Row]])</f>
        <v>147</v>
      </c>
      <c r="R147" cm="1">
        <f t="array" ref="R147">_xlfn.XLOOKUP(
Guide[[#This Row],[Dataset]]&amp;Guide[[#This Row],[Category_1]]&amp;Guide[[#This Row],[Category_2]]&amp;Guide[[#This Row],[Dim_Group]],_xlfn.ANCHORARRAY( Sheet1!$N$2),_xlfn.CHOOSECOLS(_xlfn.ANCHORARRAY(Sheet1!$I$2),5),0)</f>
        <v>147</v>
      </c>
    </row>
    <row r="148" spans="1:18" hidden="1" x14ac:dyDescent="0.3">
      <c r="A148" t="s">
        <v>414</v>
      </c>
      <c r="B148" t="s">
        <v>439</v>
      </c>
      <c r="C148" t="s">
        <v>435</v>
      </c>
      <c r="D148" s="3" t="s">
        <v>428</v>
      </c>
      <c r="E148" s="3" t="s">
        <v>436</v>
      </c>
      <c r="F148">
        <v>1</v>
      </c>
      <c r="G148" t="s">
        <v>193</v>
      </c>
      <c r="H148" t="s">
        <v>193</v>
      </c>
      <c r="I148" t="s">
        <v>435</v>
      </c>
      <c r="K148" t="s">
        <v>99</v>
      </c>
      <c r="L148" t="s">
        <v>269</v>
      </c>
      <c r="M148" t="s">
        <v>193</v>
      </c>
      <c r="N148" t="s">
        <v>107</v>
      </c>
      <c r="P148" t="s">
        <v>946</v>
      </c>
      <c r="Q148">
        <f>ROW(Guide[[#This Row],[Row]])</f>
        <v>148</v>
      </c>
      <c r="R148" cm="1">
        <f t="array" ref="R148">_xlfn.XLOOKUP(
Guide[[#This Row],[Dataset]]&amp;Guide[[#This Row],[Category_1]]&amp;Guide[[#This Row],[Category_2]]&amp;Guide[[#This Row],[Dim_Group]],_xlfn.ANCHORARRAY( Sheet1!$N$2),_xlfn.CHOOSECOLS(_xlfn.ANCHORARRAY(Sheet1!$I$2),5),0)</f>
        <v>148</v>
      </c>
    </row>
    <row r="149" spans="1:18" hidden="1" x14ac:dyDescent="0.3">
      <c r="A149" t="s">
        <v>414</v>
      </c>
      <c r="B149" t="s">
        <v>332</v>
      </c>
      <c r="C149" t="s">
        <v>330</v>
      </c>
      <c r="D149" s="3" t="s">
        <v>440</v>
      </c>
      <c r="E149" s="3" t="s">
        <v>441</v>
      </c>
      <c r="F149">
        <v>1</v>
      </c>
      <c r="G149" t="s">
        <v>193</v>
      </c>
      <c r="H149" t="s">
        <v>334</v>
      </c>
      <c r="I149" t="s">
        <v>330</v>
      </c>
      <c r="K149" t="s">
        <v>99</v>
      </c>
      <c r="L149" t="s">
        <v>420</v>
      </c>
      <c r="M149" t="s">
        <v>334</v>
      </c>
      <c r="N149" t="s">
        <v>5</v>
      </c>
      <c r="P149" t="s">
        <v>946</v>
      </c>
      <c r="Q149">
        <f>ROW(Guide[[#This Row],[Row]])</f>
        <v>149</v>
      </c>
      <c r="R149" cm="1">
        <f t="array" ref="R149">_xlfn.XLOOKUP(
Guide[[#This Row],[Dataset]]&amp;Guide[[#This Row],[Category_1]]&amp;Guide[[#This Row],[Category_2]]&amp;Guide[[#This Row],[Dim_Group]],_xlfn.ANCHORARRAY( Sheet1!$N$2),_xlfn.CHOOSECOLS(_xlfn.ANCHORARRAY(Sheet1!$I$2),5),0)</f>
        <v>149</v>
      </c>
    </row>
    <row r="150" spans="1:18" hidden="1" x14ac:dyDescent="0.3">
      <c r="A150" t="s">
        <v>414</v>
      </c>
      <c r="B150" t="s">
        <v>329</v>
      </c>
      <c r="C150" t="s">
        <v>330</v>
      </c>
      <c r="D150" s="3" t="s">
        <v>442</v>
      </c>
      <c r="E150" s="3" t="s">
        <v>441</v>
      </c>
      <c r="F150">
        <v>1</v>
      </c>
      <c r="G150" t="s">
        <v>193</v>
      </c>
      <c r="H150" t="s">
        <v>224</v>
      </c>
      <c r="I150" t="s">
        <v>330</v>
      </c>
      <c r="K150" t="s">
        <v>99</v>
      </c>
      <c r="L150" t="s">
        <v>423</v>
      </c>
      <c r="M150" t="s">
        <v>224</v>
      </c>
      <c r="N150" t="s">
        <v>5</v>
      </c>
      <c r="P150" t="s">
        <v>946</v>
      </c>
      <c r="Q150">
        <f>ROW(Guide[[#This Row],[Row]])</f>
        <v>150</v>
      </c>
      <c r="R150" cm="1">
        <f t="array" ref="R150">_xlfn.XLOOKUP(
Guide[[#This Row],[Dataset]]&amp;Guide[[#This Row],[Category_1]]&amp;Guide[[#This Row],[Category_2]]&amp;Guide[[#This Row],[Dim_Group]],_xlfn.ANCHORARRAY( Sheet1!$N$2),_xlfn.CHOOSECOLS(_xlfn.ANCHORARRAY(Sheet1!$I$2),5),0)</f>
        <v>153</v>
      </c>
    </row>
    <row r="151" spans="1:18" hidden="1" x14ac:dyDescent="0.3">
      <c r="A151" t="s">
        <v>414</v>
      </c>
      <c r="B151" t="s">
        <v>335</v>
      </c>
      <c r="C151" t="s">
        <v>330</v>
      </c>
      <c r="D151" s="3" t="s">
        <v>443</v>
      </c>
      <c r="E151" s="3" t="s">
        <v>441</v>
      </c>
      <c r="F151">
        <v>1</v>
      </c>
      <c r="G151" t="s">
        <v>193</v>
      </c>
      <c r="H151" t="s">
        <v>337</v>
      </c>
      <c r="I151" t="s">
        <v>330</v>
      </c>
      <c r="K151" t="s">
        <v>99</v>
      </c>
      <c r="L151" t="s">
        <v>426</v>
      </c>
      <c r="M151" t="s">
        <v>337</v>
      </c>
      <c r="N151" t="s">
        <v>107</v>
      </c>
      <c r="P151" t="s">
        <v>946</v>
      </c>
      <c r="Q151">
        <f>ROW(Guide[[#This Row],[Row]])</f>
        <v>151</v>
      </c>
      <c r="R151" cm="1">
        <f t="array" ref="R151">_xlfn.XLOOKUP(
Guide[[#This Row],[Dataset]]&amp;Guide[[#This Row],[Category_1]]&amp;Guide[[#This Row],[Category_2]]&amp;Guide[[#This Row],[Dim_Group]],_xlfn.ANCHORARRAY( Sheet1!$N$2),_xlfn.CHOOSECOLS(_xlfn.ANCHORARRAY(Sheet1!$I$2),5),0)</f>
        <v>151</v>
      </c>
    </row>
    <row r="152" spans="1:18" hidden="1" x14ac:dyDescent="0.3">
      <c r="A152" t="s">
        <v>414</v>
      </c>
      <c r="B152" t="s">
        <v>338</v>
      </c>
      <c r="C152" t="s">
        <v>330</v>
      </c>
      <c r="D152" s="3" t="s">
        <v>444</v>
      </c>
      <c r="E152" s="3" t="s">
        <v>441</v>
      </c>
      <c r="F152">
        <v>1</v>
      </c>
      <c r="G152" t="s">
        <v>193</v>
      </c>
      <c r="H152" t="s">
        <v>19</v>
      </c>
      <c r="I152" t="s">
        <v>330</v>
      </c>
      <c r="K152" t="s">
        <v>99</v>
      </c>
      <c r="L152" t="s">
        <v>269</v>
      </c>
      <c r="M152" t="s">
        <v>19</v>
      </c>
      <c r="N152" t="s">
        <v>107</v>
      </c>
      <c r="P152" t="s">
        <v>946</v>
      </c>
      <c r="Q152">
        <f>ROW(Guide[[#This Row],[Row]])</f>
        <v>152</v>
      </c>
      <c r="R152" cm="1">
        <f t="array" ref="R152">_xlfn.XLOOKUP(
Guide[[#This Row],[Dataset]]&amp;Guide[[#This Row],[Category_1]]&amp;Guide[[#This Row],[Category_2]]&amp;Guide[[#This Row],[Dim_Group]],_xlfn.ANCHORARRAY( Sheet1!$N$2),_xlfn.CHOOSECOLS(_xlfn.ANCHORARRAY(Sheet1!$I$2),5),0)</f>
        <v>154</v>
      </c>
    </row>
    <row r="153" spans="1:18" hidden="1" x14ac:dyDescent="0.3">
      <c r="A153" t="s">
        <v>414</v>
      </c>
      <c r="B153" t="s">
        <v>445</v>
      </c>
      <c r="C153" t="s">
        <v>446</v>
      </c>
      <c r="D153" s="3" t="s">
        <v>442</v>
      </c>
      <c r="E153" s="3" t="s">
        <v>441</v>
      </c>
      <c r="F153">
        <v>2</v>
      </c>
      <c r="G153" t="s">
        <v>193</v>
      </c>
      <c r="H153" t="s">
        <v>224</v>
      </c>
      <c r="I153" t="s">
        <v>446</v>
      </c>
      <c r="K153" t="s">
        <v>99</v>
      </c>
      <c r="L153" t="s">
        <v>423</v>
      </c>
      <c r="M153" t="s">
        <v>224</v>
      </c>
      <c r="N153" t="s">
        <v>5</v>
      </c>
      <c r="P153" t="s">
        <v>946</v>
      </c>
      <c r="Q153">
        <f>ROW(Guide[[#This Row],[Row]])</f>
        <v>153</v>
      </c>
      <c r="R153" cm="1">
        <f t="array" ref="R153">_xlfn.XLOOKUP(
Guide[[#This Row],[Dataset]]&amp;Guide[[#This Row],[Category_1]]&amp;Guide[[#This Row],[Category_2]]&amp;Guide[[#This Row],[Dim_Group]],_xlfn.ANCHORARRAY( Sheet1!$N$2),_xlfn.CHOOSECOLS(_xlfn.ANCHORARRAY(Sheet1!$I$2),5),0)</f>
        <v>153</v>
      </c>
    </row>
    <row r="154" spans="1:18" hidden="1" x14ac:dyDescent="0.3">
      <c r="A154" t="s">
        <v>414</v>
      </c>
      <c r="B154" t="s">
        <v>447</v>
      </c>
      <c r="C154" t="s">
        <v>446</v>
      </c>
      <c r="D154" s="3" t="s">
        <v>444</v>
      </c>
      <c r="E154" s="3" t="s">
        <v>441</v>
      </c>
      <c r="F154">
        <v>2</v>
      </c>
      <c r="G154" t="s">
        <v>193</v>
      </c>
      <c r="H154" t="s">
        <v>19</v>
      </c>
      <c r="I154" t="s">
        <v>446</v>
      </c>
      <c r="K154" t="s">
        <v>99</v>
      </c>
      <c r="L154" t="s">
        <v>269</v>
      </c>
      <c r="M154" t="s">
        <v>19</v>
      </c>
      <c r="N154" t="s">
        <v>107</v>
      </c>
      <c r="P154" t="s">
        <v>946</v>
      </c>
      <c r="Q154">
        <f>ROW(Guide[[#This Row],[Row]])</f>
        <v>154</v>
      </c>
      <c r="R154" cm="1">
        <f t="array" ref="R154">_xlfn.XLOOKUP(
Guide[[#This Row],[Dataset]]&amp;Guide[[#This Row],[Category_1]]&amp;Guide[[#This Row],[Category_2]]&amp;Guide[[#This Row],[Dim_Group]],_xlfn.ANCHORARRAY( Sheet1!$N$2),_xlfn.CHOOSECOLS(_xlfn.ANCHORARRAY(Sheet1!$I$2),5),0)</f>
        <v>154</v>
      </c>
    </row>
    <row r="155" spans="1:18" hidden="1" x14ac:dyDescent="0.3">
      <c r="A155" t="s">
        <v>414</v>
      </c>
      <c r="B155" t="s">
        <v>448</v>
      </c>
      <c r="C155" t="s">
        <v>449</v>
      </c>
      <c r="D155" s="3" t="s">
        <v>440</v>
      </c>
      <c r="E155" s="3" t="s">
        <v>450</v>
      </c>
      <c r="F155">
        <v>1</v>
      </c>
      <c r="G155" t="s">
        <v>193</v>
      </c>
      <c r="H155" t="s">
        <v>334</v>
      </c>
      <c r="I155" t="s">
        <v>449</v>
      </c>
      <c r="K155" t="s">
        <v>99</v>
      </c>
      <c r="L155" t="s">
        <v>420</v>
      </c>
      <c r="M155" t="s">
        <v>334</v>
      </c>
      <c r="N155" t="s">
        <v>5</v>
      </c>
      <c r="P155" t="s">
        <v>946</v>
      </c>
      <c r="Q155">
        <f>ROW(Guide[[#This Row],[Row]])</f>
        <v>155</v>
      </c>
      <c r="R155" cm="1">
        <f t="array" ref="R155">_xlfn.XLOOKUP(
Guide[[#This Row],[Dataset]]&amp;Guide[[#This Row],[Category_1]]&amp;Guide[[#This Row],[Category_2]]&amp;Guide[[#This Row],[Dim_Group]],_xlfn.ANCHORARRAY( Sheet1!$N$2),_xlfn.CHOOSECOLS(_xlfn.ANCHORARRAY(Sheet1!$I$2),5),0)</f>
        <v>155</v>
      </c>
    </row>
    <row r="156" spans="1:18" hidden="1" x14ac:dyDescent="0.3">
      <c r="A156" t="s">
        <v>414</v>
      </c>
      <c r="B156" t="s">
        <v>451</v>
      </c>
      <c r="C156" t="s">
        <v>449</v>
      </c>
      <c r="D156" s="3" t="s">
        <v>442</v>
      </c>
      <c r="E156" s="3" t="s">
        <v>450</v>
      </c>
      <c r="F156">
        <v>1</v>
      </c>
      <c r="G156" t="s">
        <v>193</v>
      </c>
      <c r="H156" t="s">
        <v>224</v>
      </c>
      <c r="I156" t="s">
        <v>449</v>
      </c>
      <c r="K156" t="s">
        <v>99</v>
      </c>
      <c r="L156" t="s">
        <v>423</v>
      </c>
      <c r="M156" t="s">
        <v>224</v>
      </c>
      <c r="N156" t="s">
        <v>5</v>
      </c>
      <c r="P156" t="s">
        <v>946</v>
      </c>
      <c r="Q156">
        <f>ROW(Guide[[#This Row],[Row]])</f>
        <v>156</v>
      </c>
      <c r="R156" cm="1">
        <f t="array" ref="R156">_xlfn.XLOOKUP(
Guide[[#This Row],[Dataset]]&amp;Guide[[#This Row],[Category_1]]&amp;Guide[[#This Row],[Category_2]]&amp;Guide[[#This Row],[Dim_Group]],_xlfn.ANCHORARRAY( Sheet1!$N$2),_xlfn.CHOOSECOLS(_xlfn.ANCHORARRAY(Sheet1!$I$2),5),0)</f>
        <v>156</v>
      </c>
    </row>
    <row r="157" spans="1:18" hidden="1" x14ac:dyDescent="0.3">
      <c r="A157" t="s">
        <v>414</v>
      </c>
      <c r="B157" t="s">
        <v>452</v>
      </c>
      <c r="C157" t="s">
        <v>449</v>
      </c>
      <c r="D157" s="3" t="s">
        <v>443</v>
      </c>
      <c r="E157" s="3" t="s">
        <v>450</v>
      </c>
      <c r="F157">
        <v>1</v>
      </c>
      <c r="G157" t="s">
        <v>193</v>
      </c>
      <c r="H157" t="s">
        <v>337</v>
      </c>
      <c r="I157" t="s">
        <v>449</v>
      </c>
      <c r="K157" t="s">
        <v>99</v>
      </c>
      <c r="L157" t="s">
        <v>426</v>
      </c>
      <c r="M157" t="s">
        <v>337</v>
      </c>
      <c r="N157" t="s">
        <v>107</v>
      </c>
      <c r="P157" t="s">
        <v>946</v>
      </c>
      <c r="Q157">
        <f>ROW(Guide[[#This Row],[Row]])</f>
        <v>157</v>
      </c>
      <c r="R157" cm="1">
        <f t="array" ref="R157">_xlfn.XLOOKUP(
Guide[[#This Row],[Dataset]]&amp;Guide[[#This Row],[Category_1]]&amp;Guide[[#This Row],[Category_2]]&amp;Guide[[#This Row],[Dim_Group]],_xlfn.ANCHORARRAY( Sheet1!$N$2),_xlfn.CHOOSECOLS(_xlfn.ANCHORARRAY(Sheet1!$I$2),5),0)</f>
        <v>157</v>
      </c>
    </row>
    <row r="158" spans="1:18" hidden="1" x14ac:dyDescent="0.3">
      <c r="A158" t="s">
        <v>414</v>
      </c>
      <c r="B158" t="s">
        <v>453</v>
      </c>
      <c r="C158" t="s">
        <v>449</v>
      </c>
      <c r="D158" s="3" t="s">
        <v>444</v>
      </c>
      <c r="E158" s="3" t="s">
        <v>450</v>
      </c>
      <c r="F158">
        <v>1</v>
      </c>
      <c r="G158" t="s">
        <v>193</v>
      </c>
      <c r="H158" t="s">
        <v>19</v>
      </c>
      <c r="I158" t="s">
        <v>449</v>
      </c>
      <c r="K158" t="s">
        <v>99</v>
      </c>
      <c r="L158" t="s">
        <v>269</v>
      </c>
      <c r="M158" t="s">
        <v>19</v>
      </c>
      <c r="N158" t="s">
        <v>107</v>
      </c>
      <c r="P158" t="s">
        <v>946</v>
      </c>
      <c r="Q158">
        <f>ROW(Guide[[#This Row],[Row]])</f>
        <v>158</v>
      </c>
      <c r="R158" cm="1">
        <f t="array" ref="R158">_xlfn.XLOOKUP(
Guide[[#This Row],[Dataset]]&amp;Guide[[#This Row],[Category_1]]&amp;Guide[[#This Row],[Category_2]]&amp;Guide[[#This Row],[Dim_Group]],_xlfn.ANCHORARRAY( Sheet1!$N$2),_xlfn.CHOOSECOLS(_xlfn.ANCHORARRAY(Sheet1!$I$2),5),0)</f>
        <v>158</v>
      </c>
    </row>
    <row r="159" spans="1:18" hidden="1" x14ac:dyDescent="0.3">
      <c r="A159" t="s">
        <v>414</v>
      </c>
      <c r="B159" t="s">
        <v>454</v>
      </c>
      <c r="C159" t="s">
        <v>455</v>
      </c>
      <c r="D159" s="3" t="s">
        <v>431</v>
      </c>
      <c r="E159" s="3" t="s">
        <v>450</v>
      </c>
      <c r="F159">
        <v>1</v>
      </c>
      <c r="G159" t="s">
        <v>193</v>
      </c>
      <c r="H159" t="s">
        <v>224</v>
      </c>
      <c r="I159" t="s">
        <v>455</v>
      </c>
      <c r="K159" t="s">
        <v>99</v>
      </c>
      <c r="L159" t="s">
        <v>423</v>
      </c>
      <c r="M159" t="s">
        <v>224</v>
      </c>
      <c r="N159" t="s">
        <v>5</v>
      </c>
      <c r="P159" t="s">
        <v>946</v>
      </c>
      <c r="Q159">
        <f>ROW(Guide[[#This Row],[Row]])</f>
        <v>159</v>
      </c>
      <c r="R159" cm="1">
        <f t="array" ref="R159">_xlfn.XLOOKUP(
Guide[[#This Row],[Dataset]]&amp;Guide[[#This Row],[Category_1]]&amp;Guide[[#This Row],[Category_2]]&amp;Guide[[#This Row],[Dim_Group]],_xlfn.ANCHORARRAY( Sheet1!$N$2),_xlfn.CHOOSECOLS(_xlfn.ANCHORARRAY(Sheet1!$I$2),5),0)</f>
        <v>159</v>
      </c>
    </row>
    <row r="160" spans="1:18" hidden="1" x14ac:dyDescent="0.3">
      <c r="A160" t="s">
        <v>414</v>
      </c>
      <c r="B160" t="s">
        <v>456</v>
      </c>
      <c r="C160" t="s">
        <v>455</v>
      </c>
      <c r="D160" s="3" t="s">
        <v>433</v>
      </c>
      <c r="E160" s="3" t="s">
        <v>450</v>
      </c>
      <c r="F160">
        <v>1</v>
      </c>
      <c r="G160" t="s">
        <v>193</v>
      </c>
      <c r="H160" t="s">
        <v>19</v>
      </c>
      <c r="I160" t="s">
        <v>455</v>
      </c>
      <c r="K160" t="s">
        <v>99</v>
      </c>
      <c r="L160" t="s">
        <v>269</v>
      </c>
      <c r="M160" t="s">
        <v>19</v>
      </c>
      <c r="N160" t="s">
        <v>107</v>
      </c>
      <c r="P160" t="s">
        <v>946</v>
      </c>
      <c r="Q160">
        <f>ROW(Guide[[#This Row],[Row]])</f>
        <v>160</v>
      </c>
      <c r="R160" cm="1">
        <f t="array" ref="R160">_xlfn.XLOOKUP(
Guide[[#This Row],[Dataset]]&amp;Guide[[#This Row],[Category_1]]&amp;Guide[[#This Row],[Category_2]]&amp;Guide[[#This Row],[Dim_Group]],_xlfn.ANCHORARRAY( Sheet1!$N$2),_xlfn.CHOOSECOLS(_xlfn.ANCHORARRAY(Sheet1!$I$2),5),0)</f>
        <v>160</v>
      </c>
    </row>
    <row r="161" spans="1:18" hidden="1" x14ac:dyDescent="0.3">
      <c r="A161" t="s">
        <v>457</v>
      </c>
      <c r="B161" t="s">
        <v>458</v>
      </c>
      <c r="C161" t="s">
        <v>459</v>
      </c>
      <c r="D161" s="3" t="s">
        <v>460</v>
      </c>
      <c r="E161" s="3" t="s">
        <v>461</v>
      </c>
      <c r="F161">
        <v>1</v>
      </c>
      <c r="G161" t="s">
        <v>462</v>
      </c>
      <c r="H161" t="s">
        <v>343</v>
      </c>
      <c r="I161" t="s">
        <v>459</v>
      </c>
      <c r="K161" t="s">
        <v>99</v>
      </c>
      <c r="L161" t="s">
        <v>423</v>
      </c>
      <c r="M161" t="s">
        <v>343</v>
      </c>
      <c r="N161" t="s">
        <v>5</v>
      </c>
      <c r="P161" t="s">
        <v>946</v>
      </c>
      <c r="Q161">
        <f>ROW(Guide[[#This Row],[Row]])</f>
        <v>161</v>
      </c>
      <c r="R161" cm="1">
        <f t="array" ref="R161">_xlfn.XLOOKUP(
Guide[[#This Row],[Dataset]]&amp;Guide[[#This Row],[Category_1]]&amp;Guide[[#This Row],[Category_2]]&amp;Guide[[#This Row],[Dim_Group]],_xlfn.ANCHORARRAY( Sheet1!$N$2),_xlfn.CHOOSECOLS(_xlfn.ANCHORARRAY(Sheet1!$I$2),5),0)</f>
        <v>169</v>
      </c>
    </row>
    <row r="162" spans="1:18" hidden="1" x14ac:dyDescent="0.3">
      <c r="A162" t="s">
        <v>457</v>
      </c>
      <c r="B162" t="s">
        <v>463</v>
      </c>
      <c r="C162" t="s">
        <v>464</v>
      </c>
      <c r="D162" s="3" t="s">
        <v>465</v>
      </c>
      <c r="E162" s="3" t="s">
        <v>461</v>
      </c>
      <c r="F162">
        <v>1</v>
      </c>
      <c r="G162" t="s">
        <v>466</v>
      </c>
      <c r="H162" t="s">
        <v>346</v>
      </c>
      <c r="I162" t="s">
        <v>464</v>
      </c>
      <c r="K162" t="s">
        <v>99</v>
      </c>
      <c r="L162" t="s">
        <v>423</v>
      </c>
      <c r="M162" t="s">
        <v>346</v>
      </c>
      <c r="N162" t="s">
        <v>5</v>
      </c>
      <c r="P162" t="s">
        <v>946</v>
      </c>
      <c r="Q162">
        <f>ROW(Guide[[#This Row],[Row]])</f>
        <v>162</v>
      </c>
      <c r="R162" cm="1">
        <f t="array" ref="R162">_xlfn.XLOOKUP(
Guide[[#This Row],[Dataset]]&amp;Guide[[#This Row],[Category_1]]&amp;Guide[[#This Row],[Category_2]]&amp;Guide[[#This Row],[Dim_Group]],_xlfn.ANCHORARRAY( Sheet1!$N$2),_xlfn.CHOOSECOLS(_xlfn.ANCHORARRAY(Sheet1!$I$2),5),0)</f>
        <v>170</v>
      </c>
    </row>
    <row r="163" spans="1:18" hidden="1" x14ac:dyDescent="0.3">
      <c r="A163" t="s">
        <v>457</v>
      </c>
      <c r="B163" t="s">
        <v>467</v>
      </c>
      <c r="C163" t="s">
        <v>468</v>
      </c>
      <c r="D163" s="3" t="s">
        <v>469</v>
      </c>
      <c r="E163" s="3" t="s">
        <v>461</v>
      </c>
      <c r="F163">
        <v>1</v>
      </c>
      <c r="G163" t="s">
        <v>470</v>
      </c>
      <c r="H163" t="s">
        <v>349</v>
      </c>
      <c r="I163" t="s">
        <v>468</v>
      </c>
      <c r="K163" t="s">
        <v>99</v>
      </c>
      <c r="L163" t="s">
        <v>267</v>
      </c>
      <c r="M163" t="s">
        <v>349</v>
      </c>
      <c r="N163" t="s">
        <v>21</v>
      </c>
      <c r="P163" t="s">
        <v>946</v>
      </c>
      <c r="Q163">
        <f>ROW(Guide[[#This Row],[Row]])</f>
        <v>163</v>
      </c>
      <c r="R163" cm="1">
        <f t="array" ref="R163">_xlfn.XLOOKUP(
Guide[[#This Row],[Dataset]]&amp;Guide[[#This Row],[Category_1]]&amp;Guide[[#This Row],[Category_2]]&amp;Guide[[#This Row],[Dim_Group]],_xlfn.ANCHORARRAY( Sheet1!$N$2),_xlfn.CHOOSECOLS(_xlfn.ANCHORARRAY(Sheet1!$I$2),5),0)</f>
        <v>171</v>
      </c>
    </row>
    <row r="164" spans="1:18" hidden="1" x14ac:dyDescent="0.3">
      <c r="A164" t="s">
        <v>457</v>
      </c>
      <c r="B164" t="s">
        <v>471</v>
      </c>
      <c r="C164" t="s">
        <v>472</v>
      </c>
      <c r="D164" s="3" t="s">
        <v>473</v>
      </c>
      <c r="E164" s="3" t="s">
        <v>461</v>
      </c>
      <c r="F164">
        <v>1</v>
      </c>
      <c r="G164" t="s">
        <v>474</v>
      </c>
      <c r="H164" t="s">
        <v>352</v>
      </c>
      <c r="I164" t="s">
        <v>472</v>
      </c>
      <c r="K164" t="s">
        <v>99</v>
      </c>
      <c r="L164" t="s">
        <v>269</v>
      </c>
      <c r="M164" t="s">
        <v>352</v>
      </c>
      <c r="N164" t="s">
        <v>21</v>
      </c>
      <c r="P164" t="s">
        <v>946</v>
      </c>
      <c r="Q164">
        <f>ROW(Guide[[#This Row],[Row]])</f>
        <v>164</v>
      </c>
      <c r="R164" cm="1">
        <f t="array" ref="R164">_xlfn.XLOOKUP(
Guide[[#This Row],[Dataset]]&amp;Guide[[#This Row],[Category_1]]&amp;Guide[[#This Row],[Category_2]]&amp;Guide[[#This Row],[Dim_Group]],_xlfn.ANCHORARRAY( Sheet1!$N$2),_xlfn.CHOOSECOLS(_xlfn.ANCHORARRAY(Sheet1!$I$2),5),0)</f>
        <v>172</v>
      </c>
    </row>
    <row r="165" spans="1:18" hidden="1" x14ac:dyDescent="0.3">
      <c r="A165" t="s">
        <v>457</v>
      </c>
      <c r="B165" t="s">
        <v>475</v>
      </c>
      <c r="C165" t="s">
        <v>476</v>
      </c>
      <c r="D165" s="3" t="s">
        <v>477</v>
      </c>
      <c r="E165" s="3" t="s">
        <v>461</v>
      </c>
      <c r="F165">
        <v>1</v>
      </c>
      <c r="G165" t="s">
        <v>478</v>
      </c>
      <c r="H165" t="s">
        <v>224</v>
      </c>
      <c r="I165" t="s">
        <v>476</v>
      </c>
      <c r="K165" t="s">
        <v>99</v>
      </c>
      <c r="L165" t="s">
        <v>423</v>
      </c>
      <c r="M165" t="s">
        <v>224</v>
      </c>
      <c r="N165" t="s">
        <v>5</v>
      </c>
      <c r="P165" t="s">
        <v>946</v>
      </c>
      <c r="Q165">
        <f>ROW(Guide[[#This Row],[Row]])</f>
        <v>165</v>
      </c>
      <c r="R165" cm="1">
        <f t="array" ref="R165">_xlfn.XLOOKUP(
Guide[[#This Row],[Dataset]]&amp;Guide[[#This Row],[Category_1]]&amp;Guide[[#This Row],[Category_2]]&amp;Guide[[#This Row],[Dim_Group]],_xlfn.ANCHORARRAY( Sheet1!$N$2),_xlfn.CHOOSECOLS(_xlfn.ANCHORARRAY(Sheet1!$I$2),5),0)</f>
        <v>165</v>
      </c>
    </row>
    <row r="166" spans="1:18" hidden="1" x14ac:dyDescent="0.3">
      <c r="A166" t="s">
        <v>457</v>
      </c>
      <c r="B166" t="s">
        <v>479</v>
      </c>
      <c r="C166" t="s">
        <v>480</v>
      </c>
      <c r="D166" s="3" t="s">
        <v>481</v>
      </c>
      <c r="E166" s="3" t="s">
        <v>461</v>
      </c>
      <c r="F166">
        <v>1</v>
      </c>
      <c r="G166" t="s">
        <v>482</v>
      </c>
      <c r="H166" t="s">
        <v>334</v>
      </c>
      <c r="I166" t="s">
        <v>480</v>
      </c>
      <c r="K166" t="s">
        <v>99</v>
      </c>
      <c r="L166" t="s">
        <v>423</v>
      </c>
      <c r="M166" t="s">
        <v>334</v>
      </c>
      <c r="N166" t="s">
        <v>5</v>
      </c>
      <c r="P166" t="s">
        <v>946</v>
      </c>
      <c r="Q166">
        <f>ROW(Guide[[#This Row],[Row]])</f>
        <v>166</v>
      </c>
      <c r="R166" cm="1">
        <f t="array" ref="R166">_xlfn.XLOOKUP(
Guide[[#This Row],[Dataset]]&amp;Guide[[#This Row],[Category_1]]&amp;Guide[[#This Row],[Category_2]]&amp;Guide[[#This Row],[Dim_Group]],_xlfn.ANCHORARRAY( Sheet1!$N$2),_xlfn.CHOOSECOLS(_xlfn.ANCHORARRAY(Sheet1!$I$2),5),0)</f>
        <v>166</v>
      </c>
    </row>
    <row r="167" spans="1:18" hidden="1" x14ac:dyDescent="0.3">
      <c r="A167" t="s">
        <v>457</v>
      </c>
      <c r="B167" t="s">
        <v>483</v>
      </c>
      <c r="C167" t="s">
        <v>484</v>
      </c>
      <c r="D167" s="3" t="s">
        <v>485</v>
      </c>
      <c r="E167" s="3" t="s">
        <v>461</v>
      </c>
      <c r="F167">
        <v>1</v>
      </c>
      <c r="G167" t="s">
        <v>486</v>
      </c>
      <c r="H167" t="s">
        <v>337</v>
      </c>
      <c r="I167" t="s">
        <v>484</v>
      </c>
      <c r="K167" t="s">
        <v>99</v>
      </c>
      <c r="L167" t="s">
        <v>267</v>
      </c>
      <c r="M167" t="s">
        <v>337</v>
      </c>
      <c r="N167" t="s">
        <v>21</v>
      </c>
      <c r="P167" t="s">
        <v>946</v>
      </c>
      <c r="Q167">
        <f>ROW(Guide[[#This Row],[Row]])</f>
        <v>167</v>
      </c>
      <c r="R167" cm="1">
        <f t="array" ref="R167">_xlfn.XLOOKUP(
Guide[[#This Row],[Dataset]]&amp;Guide[[#This Row],[Category_1]]&amp;Guide[[#This Row],[Category_2]]&amp;Guide[[#This Row],[Dim_Group]],_xlfn.ANCHORARRAY( Sheet1!$N$2),_xlfn.CHOOSECOLS(_xlfn.ANCHORARRAY(Sheet1!$I$2),5),0)</f>
        <v>167</v>
      </c>
    </row>
    <row r="168" spans="1:18" hidden="1" x14ac:dyDescent="0.3">
      <c r="A168" t="s">
        <v>457</v>
      </c>
      <c r="B168" t="s">
        <v>487</v>
      </c>
      <c r="C168" t="s">
        <v>488</v>
      </c>
      <c r="D168" s="3" t="s">
        <v>489</v>
      </c>
      <c r="E168" s="3" t="s">
        <v>461</v>
      </c>
      <c r="F168">
        <v>1</v>
      </c>
      <c r="G168" t="s">
        <v>490</v>
      </c>
      <c r="H168" t="s">
        <v>19</v>
      </c>
      <c r="I168" t="s">
        <v>488</v>
      </c>
      <c r="K168" t="s">
        <v>99</v>
      </c>
      <c r="L168" t="s">
        <v>269</v>
      </c>
      <c r="M168" t="s">
        <v>19</v>
      </c>
      <c r="N168" t="s">
        <v>21</v>
      </c>
      <c r="P168" t="s">
        <v>946</v>
      </c>
      <c r="Q168">
        <f>ROW(Guide[[#This Row],[Row]])</f>
        <v>168</v>
      </c>
      <c r="R168" cm="1">
        <f t="array" ref="R168">_xlfn.XLOOKUP(
Guide[[#This Row],[Dataset]]&amp;Guide[[#This Row],[Category_1]]&amp;Guide[[#This Row],[Category_2]]&amp;Guide[[#This Row],[Dim_Group]],_xlfn.ANCHORARRAY( Sheet1!$N$2),_xlfn.CHOOSECOLS(_xlfn.ANCHORARRAY(Sheet1!$I$2),5),0)</f>
        <v>168</v>
      </c>
    </row>
    <row r="169" spans="1:18" hidden="1" x14ac:dyDescent="0.3">
      <c r="A169" t="s">
        <v>457</v>
      </c>
      <c r="B169" t="s">
        <v>491</v>
      </c>
      <c r="C169" t="s">
        <v>492</v>
      </c>
      <c r="D169" s="3" t="s">
        <v>460</v>
      </c>
      <c r="E169" s="3" t="s">
        <v>461</v>
      </c>
      <c r="F169">
        <v>2</v>
      </c>
      <c r="G169" t="s">
        <v>493</v>
      </c>
      <c r="H169" t="s">
        <v>343</v>
      </c>
      <c r="I169" t="s">
        <v>492</v>
      </c>
      <c r="K169" t="s">
        <v>99</v>
      </c>
      <c r="L169" t="s">
        <v>423</v>
      </c>
      <c r="M169" t="s">
        <v>343</v>
      </c>
      <c r="N169" t="s">
        <v>5</v>
      </c>
      <c r="P169" t="s">
        <v>946</v>
      </c>
      <c r="Q169">
        <f>ROW(Guide[[#This Row],[Row]])</f>
        <v>169</v>
      </c>
      <c r="R169" cm="1">
        <f t="array" ref="R169">_xlfn.XLOOKUP(
Guide[[#This Row],[Dataset]]&amp;Guide[[#This Row],[Category_1]]&amp;Guide[[#This Row],[Category_2]]&amp;Guide[[#This Row],[Dim_Group]],_xlfn.ANCHORARRAY( Sheet1!$N$2),_xlfn.CHOOSECOLS(_xlfn.ANCHORARRAY(Sheet1!$I$2),5),0)</f>
        <v>169</v>
      </c>
    </row>
    <row r="170" spans="1:18" hidden="1" x14ac:dyDescent="0.3">
      <c r="A170" t="s">
        <v>457</v>
      </c>
      <c r="B170" t="s">
        <v>494</v>
      </c>
      <c r="C170" t="s">
        <v>495</v>
      </c>
      <c r="D170" s="3" t="s">
        <v>465</v>
      </c>
      <c r="E170" s="3" t="s">
        <v>461</v>
      </c>
      <c r="F170">
        <v>2</v>
      </c>
      <c r="G170" t="s">
        <v>496</v>
      </c>
      <c r="H170" t="s">
        <v>346</v>
      </c>
      <c r="I170" t="s">
        <v>495</v>
      </c>
      <c r="K170" t="s">
        <v>99</v>
      </c>
      <c r="L170" t="s">
        <v>423</v>
      </c>
      <c r="M170" t="s">
        <v>346</v>
      </c>
      <c r="N170" t="s">
        <v>5</v>
      </c>
      <c r="P170" t="s">
        <v>946</v>
      </c>
      <c r="Q170">
        <f>ROW(Guide[[#This Row],[Row]])</f>
        <v>170</v>
      </c>
      <c r="R170" cm="1">
        <f t="array" ref="R170">_xlfn.XLOOKUP(
Guide[[#This Row],[Dataset]]&amp;Guide[[#This Row],[Category_1]]&amp;Guide[[#This Row],[Category_2]]&amp;Guide[[#This Row],[Dim_Group]],_xlfn.ANCHORARRAY( Sheet1!$N$2),_xlfn.CHOOSECOLS(_xlfn.ANCHORARRAY(Sheet1!$I$2),5),0)</f>
        <v>170</v>
      </c>
    </row>
    <row r="171" spans="1:18" hidden="1" x14ac:dyDescent="0.3">
      <c r="A171" t="s">
        <v>457</v>
      </c>
      <c r="B171" t="s">
        <v>497</v>
      </c>
      <c r="C171" t="s">
        <v>498</v>
      </c>
      <c r="D171" s="3" t="s">
        <v>469</v>
      </c>
      <c r="E171" s="3" t="s">
        <v>461</v>
      </c>
      <c r="F171">
        <v>2</v>
      </c>
      <c r="G171" t="s">
        <v>499</v>
      </c>
      <c r="H171" t="s">
        <v>349</v>
      </c>
      <c r="I171" t="s">
        <v>498</v>
      </c>
      <c r="K171" t="s">
        <v>99</v>
      </c>
      <c r="L171" t="s">
        <v>267</v>
      </c>
      <c r="M171" t="s">
        <v>349</v>
      </c>
      <c r="N171" t="s">
        <v>21</v>
      </c>
      <c r="P171" t="s">
        <v>946</v>
      </c>
      <c r="Q171">
        <f>ROW(Guide[[#This Row],[Row]])</f>
        <v>171</v>
      </c>
      <c r="R171" cm="1">
        <f t="array" ref="R171">_xlfn.XLOOKUP(
Guide[[#This Row],[Dataset]]&amp;Guide[[#This Row],[Category_1]]&amp;Guide[[#This Row],[Category_2]]&amp;Guide[[#This Row],[Dim_Group]],_xlfn.ANCHORARRAY( Sheet1!$N$2),_xlfn.CHOOSECOLS(_xlfn.ANCHORARRAY(Sheet1!$I$2),5),0)</f>
        <v>171</v>
      </c>
    </row>
    <row r="172" spans="1:18" hidden="1" x14ac:dyDescent="0.3">
      <c r="A172" t="s">
        <v>457</v>
      </c>
      <c r="B172" t="s">
        <v>500</v>
      </c>
      <c r="C172" t="s">
        <v>501</v>
      </c>
      <c r="D172" s="3" t="s">
        <v>473</v>
      </c>
      <c r="E172" s="3" t="s">
        <v>461</v>
      </c>
      <c r="F172">
        <v>2</v>
      </c>
      <c r="G172" t="s">
        <v>502</v>
      </c>
      <c r="H172" t="s">
        <v>352</v>
      </c>
      <c r="I172" t="s">
        <v>501</v>
      </c>
      <c r="K172" t="s">
        <v>99</v>
      </c>
      <c r="L172" t="s">
        <v>269</v>
      </c>
      <c r="M172" t="s">
        <v>352</v>
      </c>
      <c r="N172" t="s">
        <v>21</v>
      </c>
      <c r="P172" t="s">
        <v>946</v>
      </c>
      <c r="Q172">
        <f>ROW(Guide[[#This Row],[Row]])</f>
        <v>172</v>
      </c>
      <c r="R172" cm="1">
        <f t="array" ref="R172">_xlfn.XLOOKUP(
Guide[[#This Row],[Dataset]]&amp;Guide[[#This Row],[Category_1]]&amp;Guide[[#This Row],[Category_2]]&amp;Guide[[#This Row],[Dim_Group]],_xlfn.ANCHORARRAY( Sheet1!$N$2),_xlfn.CHOOSECOLS(_xlfn.ANCHORARRAY(Sheet1!$I$2),5),0)</f>
        <v>172</v>
      </c>
    </row>
    <row r="173" spans="1:18" hidden="1" x14ac:dyDescent="0.3">
      <c r="A173" t="s">
        <v>457</v>
      </c>
      <c r="B173" t="s">
        <v>503</v>
      </c>
      <c r="C173" t="s">
        <v>504</v>
      </c>
      <c r="D173" s="3" t="s">
        <v>505</v>
      </c>
      <c r="E173" s="3" t="s">
        <v>506</v>
      </c>
      <c r="F173">
        <v>1</v>
      </c>
      <c r="G173" t="s">
        <v>507</v>
      </c>
      <c r="H173" t="s">
        <v>224</v>
      </c>
      <c r="I173" t="s">
        <v>504</v>
      </c>
      <c r="K173" t="s">
        <v>99</v>
      </c>
      <c r="L173" t="s">
        <v>423</v>
      </c>
      <c r="M173" t="s">
        <v>224</v>
      </c>
      <c r="N173" t="s">
        <v>5</v>
      </c>
      <c r="P173" t="s">
        <v>946</v>
      </c>
      <c r="Q173">
        <f>ROW(Guide[[#This Row],[Row]])</f>
        <v>173</v>
      </c>
      <c r="R173" cm="1">
        <f t="array" ref="R173">_xlfn.XLOOKUP(
Guide[[#This Row],[Dataset]]&amp;Guide[[#This Row],[Category_1]]&amp;Guide[[#This Row],[Category_2]]&amp;Guide[[#This Row],[Dim_Group]],_xlfn.ANCHORARRAY( Sheet1!$N$2),_xlfn.CHOOSECOLS(_xlfn.ANCHORARRAY(Sheet1!$I$2),5),0)</f>
        <v>173</v>
      </c>
    </row>
    <row r="174" spans="1:18" hidden="1" x14ac:dyDescent="0.3">
      <c r="A174" t="s">
        <v>457</v>
      </c>
      <c r="B174" t="s">
        <v>508</v>
      </c>
      <c r="C174" t="s">
        <v>509</v>
      </c>
      <c r="D174" s="3" t="s">
        <v>510</v>
      </c>
      <c r="E174" s="3" t="s">
        <v>506</v>
      </c>
      <c r="F174">
        <v>1</v>
      </c>
      <c r="G174" t="s">
        <v>509</v>
      </c>
      <c r="H174" t="s">
        <v>334</v>
      </c>
      <c r="I174" t="s">
        <v>509</v>
      </c>
      <c r="K174" t="s">
        <v>99</v>
      </c>
      <c r="L174" t="s">
        <v>423</v>
      </c>
      <c r="M174" t="s">
        <v>334</v>
      </c>
      <c r="N174" t="s">
        <v>5</v>
      </c>
      <c r="P174" t="s">
        <v>946</v>
      </c>
      <c r="Q174">
        <f>ROW(Guide[[#This Row],[Row]])</f>
        <v>174</v>
      </c>
      <c r="R174" cm="1">
        <f t="array" ref="R174">_xlfn.XLOOKUP(
Guide[[#This Row],[Dataset]]&amp;Guide[[#This Row],[Category_1]]&amp;Guide[[#This Row],[Category_2]]&amp;Guide[[#This Row],[Dim_Group]],_xlfn.ANCHORARRAY( Sheet1!$N$2),_xlfn.CHOOSECOLS(_xlfn.ANCHORARRAY(Sheet1!$I$2),5),0)</f>
        <v>210</v>
      </c>
    </row>
    <row r="175" spans="1:18" hidden="1" x14ac:dyDescent="0.3">
      <c r="A175" t="s">
        <v>457</v>
      </c>
      <c r="B175" t="s">
        <v>511</v>
      </c>
      <c r="C175" t="s">
        <v>512</v>
      </c>
      <c r="D175" s="3" t="s">
        <v>513</v>
      </c>
      <c r="E175" s="3" t="s">
        <v>506</v>
      </c>
      <c r="F175">
        <v>1</v>
      </c>
      <c r="G175" t="s">
        <v>512</v>
      </c>
      <c r="H175" t="s">
        <v>337</v>
      </c>
      <c r="I175" t="s">
        <v>512</v>
      </c>
      <c r="K175" t="s">
        <v>99</v>
      </c>
      <c r="L175" t="s">
        <v>267</v>
      </c>
      <c r="M175" t="s">
        <v>337</v>
      </c>
      <c r="N175" t="s">
        <v>21</v>
      </c>
      <c r="P175" t="s">
        <v>946</v>
      </c>
      <c r="Q175">
        <f>ROW(Guide[[#This Row],[Row]])</f>
        <v>175</v>
      </c>
      <c r="R175" cm="1">
        <f t="array" ref="R175">_xlfn.XLOOKUP(
Guide[[#This Row],[Dataset]]&amp;Guide[[#This Row],[Category_1]]&amp;Guide[[#This Row],[Category_2]]&amp;Guide[[#This Row],[Dim_Group]],_xlfn.ANCHORARRAY( Sheet1!$N$2),_xlfn.CHOOSECOLS(_xlfn.ANCHORARRAY(Sheet1!$I$2),5),0)</f>
        <v>211</v>
      </c>
    </row>
    <row r="176" spans="1:18" hidden="1" x14ac:dyDescent="0.3">
      <c r="A176" t="s">
        <v>457</v>
      </c>
      <c r="B176" t="s">
        <v>514</v>
      </c>
      <c r="C176" t="s">
        <v>515</v>
      </c>
      <c r="D176" s="3" t="s">
        <v>516</v>
      </c>
      <c r="E176" s="3" t="s">
        <v>506</v>
      </c>
      <c r="F176">
        <v>1</v>
      </c>
      <c r="G176" t="s">
        <v>515</v>
      </c>
      <c r="H176" t="s">
        <v>19</v>
      </c>
      <c r="I176" t="s">
        <v>515</v>
      </c>
      <c r="K176" t="s">
        <v>99</v>
      </c>
      <c r="L176" t="s">
        <v>269</v>
      </c>
      <c r="M176" t="s">
        <v>19</v>
      </c>
      <c r="N176" t="s">
        <v>21</v>
      </c>
      <c r="P176" t="s">
        <v>946</v>
      </c>
      <c r="Q176">
        <f>ROW(Guide[[#This Row],[Row]])</f>
        <v>176</v>
      </c>
      <c r="R176" cm="1">
        <f t="array" ref="R176">_xlfn.XLOOKUP(
Guide[[#This Row],[Dataset]]&amp;Guide[[#This Row],[Category_1]]&amp;Guide[[#This Row],[Category_2]]&amp;Guide[[#This Row],[Dim_Group]],_xlfn.ANCHORARRAY( Sheet1!$N$2),_xlfn.CHOOSECOLS(_xlfn.ANCHORARRAY(Sheet1!$I$2),5),0)</f>
        <v>212</v>
      </c>
    </row>
    <row r="177" spans="1:18" hidden="1" x14ac:dyDescent="0.3">
      <c r="A177" t="s">
        <v>457</v>
      </c>
      <c r="B177" t="s">
        <v>353</v>
      </c>
      <c r="C177" t="s">
        <v>517</v>
      </c>
      <c r="D177" s="3" t="s">
        <v>518</v>
      </c>
      <c r="E177" s="3" t="s">
        <v>506</v>
      </c>
      <c r="F177">
        <v>1</v>
      </c>
      <c r="G177" t="s">
        <v>517</v>
      </c>
      <c r="H177" t="s">
        <v>343</v>
      </c>
      <c r="I177" t="s">
        <v>517</v>
      </c>
      <c r="K177" t="s">
        <v>99</v>
      </c>
      <c r="L177" t="s">
        <v>423</v>
      </c>
      <c r="M177" t="s">
        <v>343</v>
      </c>
      <c r="N177" t="s">
        <v>5</v>
      </c>
      <c r="P177" t="s">
        <v>946</v>
      </c>
      <c r="Q177">
        <f>ROW(Guide[[#This Row],[Row]])</f>
        <v>177</v>
      </c>
      <c r="R177" cm="1">
        <f t="array" ref="R177">_xlfn.XLOOKUP(
Guide[[#This Row],[Dataset]]&amp;Guide[[#This Row],[Category_1]]&amp;Guide[[#This Row],[Category_2]]&amp;Guide[[#This Row],[Dim_Group]],_xlfn.ANCHORARRAY( Sheet1!$N$2),_xlfn.CHOOSECOLS(_xlfn.ANCHORARRAY(Sheet1!$I$2),5),0)</f>
        <v>213</v>
      </c>
    </row>
    <row r="178" spans="1:18" hidden="1" x14ac:dyDescent="0.3">
      <c r="A178" t="s">
        <v>457</v>
      </c>
      <c r="B178" t="s">
        <v>356</v>
      </c>
      <c r="C178" t="s">
        <v>519</v>
      </c>
      <c r="D178" s="3" t="s">
        <v>520</v>
      </c>
      <c r="E178" s="3" t="s">
        <v>506</v>
      </c>
      <c r="F178">
        <v>1</v>
      </c>
      <c r="G178" t="s">
        <v>519</v>
      </c>
      <c r="H178" t="s">
        <v>346</v>
      </c>
      <c r="I178" t="s">
        <v>519</v>
      </c>
      <c r="K178" t="s">
        <v>99</v>
      </c>
      <c r="L178" t="s">
        <v>423</v>
      </c>
      <c r="M178" t="s">
        <v>346</v>
      </c>
      <c r="N178" t="s">
        <v>5</v>
      </c>
      <c r="P178" t="s">
        <v>946</v>
      </c>
      <c r="Q178">
        <f>ROW(Guide[[#This Row],[Row]])</f>
        <v>178</v>
      </c>
      <c r="R178" cm="1">
        <f t="array" ref="R178">_xlfn.XLOOKUP(
Guide[[#This Row],[Dataset]]&amp;Guide[[#This Row],[Category_1]]&amp;Guide[[#This Row],[Category_2]]&amp;Guide[[#This Row],[Dim_Group]],_xlfn.ANCHORARRAY( Sheet1!$N$2),_xlfn.CHOOSECOLS(_xlfn.ANCHORARRAY(Sheet1!$I$2),5),0)</f>
        <v>214</v>
      </c>
    </row>
    <row r="179" spans="1:18" hidden="1" x14ac:dyDescent="0.3">
      <c r="A179" t="s">
        <v>457</v>
      </c>
      <c r="B179" t="s">
        <v>358</v>
      </c>
      <c r="C179" t="s">
        <v>521</v>
      </c>
      <c r="D179" s="3" t="s">
        <v>522</v>
      </c>
      <c r="E179" s="3" t="s">
        <v>506</v>
      </c>
      <c r="F179">
        <v>1</v>
      </c>
      <c r="G179" t="s">
        <v>521</v>
      </c>
      <c r="H179" t="s">
        <v>349</v>
      </c>
      <c r="I179" t="s">
        <v>521</v>
      </c>
      <c r="K179" t="s">
        <v>99</v>
      </c>
      <c r="L179" t="s">
        <v>267</v>
      </c>
      <c r="M179" t="s">
        <v>349</v>
      </c>
      <c r="N179" t="s">
        <v>21</v>
      </c>
      <c r="P179" t="s">
        <v>946</v>
      </c>
      <c r="Q179">
        <f>ROW(Guide[[#This Row],[Row]])</f>
        <v>179</v>
      </c>
      <c r="R179" cm="1">
        <f t="array" ref="R179">_xlfn.XLOOKUP(
Guide[[#This Row],[Dataset]]&amp;Guide[[#This Row],[Category_1]]&amp;Guide[[#This Row],[Category_2]]&amp;Guide[[#This Row],[Dim_Group]],_xlfn.ANCHORARRAY( Sheet1!$N$2),_xlfn.CHOOSECOLS(_xlfn.ANCHORARRAY(Sheet1!$I$2),5),0)</f>
        <v>215</v>
      </c>
    </row>
    <row r="180" spans="1:18" hidden="1" x14ac:dyDescent="0.3">
      <c r="A180" t="s">
        <v>457</v>
      </c>
      <c r="B180" t="s">
        <v>360</v>
      </c>
      <c r="C180" t="s">
        <v>523</v>
      </c>
      <c r="D180" s="3" t="s">
        <v>524</v>
      </c>
      <c r="E180" s="3" t="s">
        <v>506</v>
      </c>
      <c r="F180">
        <v>1</v>
      </c>
      <c r="G180" t="s">
        <v>523</v>
      </c>
      <c r="H180" t="s">
        <v>352</v>
      </c>
      <c r="I180" t="s">
        <v>523</v>
      </c>
      <c r="K180" t="s">
        <v>99</v>
      </c>
      <c r="L180" t="s">
        <v>269</v>
      </c>
      <c r="M180" t="s">
        <v>352</v>
      </c>
      <c r="N180" t="s">
        <v>21</v>
      </c>
      <c r="P180" t="s">
        <v>946</v>
      </c>
      <c r="Q180">
        <f>ROW(Guide[[#This Row],[Row]])</f>
        <v>180</v>
      </c>
      <c r="R180" cm="1">
        <f t="array" ref="R180">_xlfn.XLOOKUP(
Guide[[#This Row],[Dataset]]&amp;Guide[[#This Row],[Category_1]]&amp;Guide[[#This Row],[Category_2]]&amp;Guide[[#This Row],[Dim_Group]],_xlfn.ANCHORARRAY( Sheet1!$N$2),_xlfn.CHOOSECOLS(_xlfn.ANCHORARRAY(Sheet1!$I$2),5),0)</f>
        <v>216</v>
      </c>
    </row>
    <row r="181" spans="1:18" hidden="1" x14ac:dyDescent="0.3">
      <c r="A181" t="s">
        <v>457</v>
      </c>
      <c r="B181" t="s">
        <v>525</v>
      </c>
      <c r="C181" t="s">
        <v>526</v>
      </c>
      <c r="D181" s="3" t="s">
        <v>527</v>
      </c>
      <c r="E181" s="3" t="s">
        <v>506</v>
      </c>
      <c r="F181">
        <v>1</v>
      </c>
      <c r="G181" t="s">
        <v>526</v>
      </c>
      <c r="H181" t="s">
        <v>224</v>
      </c>
      <c r="I181" t="s">
        <v>526</v>
      </c>
      <c r="K181" t="s">
        <v>99</v>
      </c>
      <c r="L181" t="s">
        <v>423</v>
      </c>
      <c r="M181" t="s">
        <v>224</v>
      </c>
      <c r="N181" t="s">
        <v>5</v>
      </c>
      <c r="P181" t="s">
        <v>946</v>
      </c>
      <c r="Q181">
        <f>ROW(Guide[[#This Row],[Row]])</f>
        <v>181</v>
      </c>
      <c r="R181" cm="1">
        <f t="array" ref="R181">_xlfn.XLOOKUP(
Guide[[#This Row],[Dataset]]&amp;Guide[[#This Row],[Category_1]]&amp;Guide[[#This Row],[Category_2]]&amp;Guide[[#This Row],[Dim_Group]],_xlfn.ANCHORARRAY( Sheet1!$N$2),_xlfn.CHOOSECOLS(_xlfn.ANCHORARRAY(Sheet1!$I$2),5),0)</f>
        <v>209</v>
      </c>
    </row>
    <row r="182" spans="1:18" hidden="1" x14ac:dyDescent="0.3">
      <c r="A182" t="s">
        <v>457</v>
      </c>
      <c r="B182" t="s">
        <v>528</v>
      </c>
      <c r="C182" t="s">
        <v>529</v>
      </c>
      <c r="D182" s="3" t="s">
        <v>510</v>
      </c>
      <c r="E182" s="3" t="s">
        <v>506</v>
      </c>
      <c r="F182">
        <v>2</v>
      </c>
      <c r="G182" t="s">
        <v>529</v>
      </c>
      <c r="H182" t="s">
        <v>334</v>
      </c>
      <c r="I182" t="s">
        <v>529</v>
      </c>
      <c r="K182" t="s">
        <v>99</v>
      </c>
      <c r="L182" t="s">
        <v>423</v>
      </c>
      <c r="M182" t="s">
        <v>334</v>
      </c>
      <c r="N182" t="s">
        <v>5</v>
      </c>
      <c r="P182" t="s">
        <v>946</v>
      </c>
      <c r="Q182">
        <f>ROW(Guide[[#This Row],[Row]])</f>
        <v>182</v>
      </c>
      <c r="R182" cm="1">
        <f t="array" ref="R182">_xlfn.XLOOKUP(
Guide[[#This Row],[Dataset]]&amp;Guide[[#This Row],[Category_1]]&amp;Guide[[#This Row],[Category_2]]&amp;Guide[[#This Row],[Dim_Group]],_xlfn.ANCHORARRAY( Sheet1!$N$2),_xlfn.CHOOSECOLS(_xlfn.ANCHORARRAY(Sheet1!$I$2),5),0)</f>
        <v>210</v>
      </c>
    </row>
    <row r="183" spans="1:18" hidden="1" x14ac:dyDescent="0.3">
      <c r="A183" t="s">
        <v>457</v>
      </c>
      <c r="B183" t="s">
        <v>530</v>
      </c>
      <c r="C183" t="s">
        <v>531</v>
      </c>
      <c r="D183" s="3" t="s">
        <v>513</v>
      </c>
      <c r="E183" s="3" t="s">
        <v>506</v>
      </c>
      <c r="F183">
        <v>2</v>
      </c>
      <c r="G183" t="s">
        <v>531</v>
      </c>
      <c r="H183" t="s">
        <v>337</v>
      </c>
      <c r="I183" t="s">
        <v>531</v>
      </c>
      <c r="K183" t="s">
        <v>99</v>
      </c>
      <c r="L183" t="s">
        <v>267</v>
      </c>
      <c r="M183" t="s">
        <v>337</v>
      </c>
      <c r="N183" t="s">
        <v>21</v>
      </c>
      <c r="P183" t="s">
        <v>946</v>
      </c>
      <c r="Q183">
        <f>ROW(Guide[[#This Row],[Row]])</f>
        <v>183</v>
      </c>
      <c r="R183" cm="1">
        <f t="array" ref="R183">_xlfn.XLOOKUP(
Guide[[#This Row],[Dataset]]&amp;Guide[[#This Row],[Category_1]]&amp;Guide[[#This Row],[Category_2]]&amp;Guide[[#This Row],[Dim_Group]],_xlfn.ANCHORARRAY( Sheet1!$N$2),_xlfn.CHOOSECOLS(_xlfn.ANCHORARRAY(Sheet1!$I$2),5),0)</f>
        <v>211</v>
      </c>
    </row>
    <row r="184" spans="1:18" hidden="1" x14ac:dyDescent="0.3">
      <c r="A184" t="s">
        <v>457</v>
      </c>
      <c r="B184" t="s">
        <v>532</v>
      </c>
      <c r="C184" t="s">
        <v>533</v>
      </c>
      <c r="D184" s="3" t="s">
        <v>516</v>
      </c>
      <c r="E184" s="3" t="s">
        <v>506</v>
      </c>
      <c r="F184">
        <v>2</v>
      </c>
      <c r="G184" t="s">
        <v>533</v>
      </c>
      <c r="H184" t="s">
        <v>19</v>
      </c>
      <c r="I184" t="s">
        <v>533</v>
      </c>
      <c r="K184" t="s">
        <v>99</v>
      </c>
      <c r="L184" t="s">
        <v>269</v>
      </c>
      <c r="M184" t="s">
        <v>19</v>
      </c>
      <c r="N184" t="s">
        <v>21</v>
      </c>
      <c r="P184" t="s">
        <v>946</v>
      </c>
      <c r="Q184">
        <f>ROW(Guide[[#This Row],[Row]])</f>
        <v>184</v>
      </c>
      <c r="R184" cm="1">
        <f t="array" ref="R184">_xlfn.XLOOKUP(
Guide[[#This Row],[Dataset]]&amp;Guide[[#This Row],[Category_1]]&amp;Guide[[#This Row],[Category_2]]&amp;Guide[[#This Row],[Dim_Group]],_xlfn.ANCHORARRAY( Sheet1!$N$2),_xlfn.CHOOSECOLS(_xlfn.ANCHORARRAY(Sheet1!$I$2),5),0)</f>
        <v>212</v>
      </c>
    </row>
    <row r="185" spans="1:18" hidden="1" x14ac:dyDescent="0.3">
      <c r="A185" t="s">
        <v>457</v>
      </c>
      <c r="B185" t="s">
        <v>362</v>
      </c>
      <c r="C185" t="s">
        <v>534</v>
      </c>
      <c r="D185" s="3" t="s">
        <v>518</v>
      </c>
      <c r="E185" s="3" t="s">
        <v>506</v>
      </c>
      <c r="F185">
        <v>2</v>
      </c>
      <c r="G185" t="s">
        <v>534</v>
      </c>
      <c r="H185" t="s">
        <v>343</v>
      </c>
      <c r="I185" t="s">
        <v>534</v>
      </c>
      <c r="K185" t="s">
        <v>99</v>
      </c>
      <c r="L185" t="s">
        <v>423</v>
      </c>
      <c r="M185" t="s">
        <v>343</v>
      </c>
      <c r="N185" t="s">
        <v>5</v>
      </c>
      <c r="P185" t="s">
        <v>946</v>
      </c>
      <c r="Q185">
        <f>ROW(Guide[[#This Row],[Row]])</f>
        <v>185</v>
      </c>
      <c r="R185" cm="1">
        <f t="array" ref="R185">_xlfn.XLOOKUP(
Guide[[#This Row],[Dataset]]&amp;Guide[[#This Row],[Category_1]]&amp;Guide[[#This Row],[Category_2]]&amp;Guide[[#This Row],[Dim_Group]],_xlfn.ANCHORARRAY( Sheet1!$N$2),_xlfn.CHOOSECOLS(_xlfn.ANCHORARRAY(Sheet1!$I$2),5),0)</f>
        <v>213</v>
      </c>
    </row>
    <row r="186" spans="1:18" hidden="1" x14ac:dyDescent="0.3">
      <c r="A186" t="s">
        <v>457</v>
      </c>
      <c r="B186" t="s">
        <v>365</v>
      </c>
      <c r="C186" t="s">
        <v>535</v>
      </c>
      <c r="D186" s="3" t="s">
        <v>520</v>
      </c>
      <c r="E186" s="3" t="s">
        <v>506</v>
      </c>
      <c r="F186">
        <v>2</v>
      </c>
      <c r="G186" t="s">
        <v>535</v>
      </c>
      <c r="H186" t="s">
        <v>346</v>
      </c>
      <c r="I186" t="s">
        <v>535</v>
      </c>
      <c r="K186" t="s">
        <v>99</v>
      </c>
      <c r="L186" t="s">
        <v>423</v>
      </c>
      <c r="M186" t="s">
        <v>346</v>
      </c>
      <c r="N186" t="s">
        <v>5</v>
      </c>
      <c r="P186" t="s">
        <v>946</v>
      </c>
      <c r="Q186">
        <f>ROW(Guide[[#This Row],[Row]])</f>
        <v>186</v>
      </c>
      <c r="R186" cm="1">
        <f t="array" ref="R186">_xlfn.XLOOKUP(
Guide[[#This Row],[Dataset]]&amp;Guide[[#This Row],[Category_1]]&amp;Guide[[#This Row],[Category_2]]&amp;Guide[[#This Row],[Dim_Group]],_xlfn.ANCHORARRAY( Sheet1!$N$2),_xlfn.CHOOSECOLS(_xlfn.ANCHORARRAY(Sheet1!$I$2),5),0)</f>
        <v>214</v>
      </c>
    </row>
    <row r="187" spans="1:18" hidden="1" x14ac:dyDescent="0.3">
      <c r="A187" t="s">
        <v>457</v>
      </c>
      <c r="B187" t="s">
        <v>367</v>
      </c>
      <c r="C187" t="s">
        <v>536</v>
      </c>
      <c r="D187" s="3" t="s">
        <v>522</v>
      </c>
      <c r="E187" s="3" t="s">
        <v>506</v>
      </c>
      <c r="F187">
        <v>2</v>
      </c>
      <c r="G187" t="s">
        <v>536</v>
      </c>
      <c r="H187" t="s">
        <v>349</v>
      </c>
      <c r="I187" t="s">
        <v>536</v>
      </c>
      <c r="K187" t="s">
        <v>99</v>
      </c>
      <c r="L187" t="s">
        <v>267</v>
      </c>
      <c r="M187" t="s">
        <v>349</v>
      </c>
      <c r="N187" t="s">
        <v>21</v>
      </c>
      <c r="P187" t="s">
        <v>946</v>
      </c>
      <c r="Q187">
        <f>ROW(Guide[[#This Row],[Row]])</f>
        <v>187</v>
      </c>
      <c r="R187" cm="1">
        <f t="array" ref="R187">_xlfn.XLOOKUP(
Guide[[#This Row],[Dataset]]&amp;Guide[[#This Row],[Category_1]]&amp;Guide[[#This Row],[Category_2]]&amp;Guide[[#This Row],[Dim_Group]],_xlfn.ANCHORARRAY( Sheet1!$N$2),_xlfn.CHOOSECOLS(_xlfn.ANCHORARRAY(Sheet1!$I$2),5),0)</f>
        <v>215</v>
      </c>
    </row>
    <row r="188" spans="1:18" hidden="1" x14ac:dyDescent="0.3">
      <c r="A188" t="s">
        <v>457</v>
      </c>
      <c r="B188" t="s">
        <v>369</v>
      </c>
      <c r="C188" t="s">
        <v>537</v>
      </c>
      <c r="D188" s="3" t="s">
        <v>524</v>
      </c>
      <c r="E188" s="3" t="s">
        <v>506</v>
      </c>
      <c r="F188">
        <v>2</v>
      </c>
      <c r="G188" t="s">
        <v>537</v>
      </c>
      <c r="H188" t="s">
        <v>352</v>
      </c>
      <c r="I188" t="s">
        <v>537</v>
      </c>
      <c r="K188" t="s">
        <v>99</v>
      </c>
      <c r="L188" t="s">
        <v>269</v>
      </c>
      <c r="M188" t="s">
        <v>352</v>
      </c>
      <c r="N188" t="s">
        <v>21</v>
      </c>
      <c r="P188" t="s">
        <v>946</v>
      </c>
      <c r="Q188">
        <f>ROW(Guide[[#This Row],[Row]])</f>
        <v>188</v>
      </c>
      <c r="R188" cm="1">
        <f t="array" ref="R188">_xlfn.XLOOKUP(
Guide[[#This Row],[Dataset]]&amp;Guide[[#This Row],[Category_1]]&amp;Guide[[#This Row],[Category_2]]&amp;Guide[[#This Row],[Dim_Group]],_xlfn.ANCHORARRAY( Sheet1!$N$2),_xlfn.CHOOSECOLS(_xlfn.ANCHORARRAY(Sheet1!$I$2),5),0)</f>
        <v>216</v>
      </c>
    </row>
    <row r="189" spans="1:18" hidden="1" x14ac:dyDescent="0.3">
      <c r="A189" t="s">
        <v>457</v>
      </c>
      <c r="B189" t="s">
        <v>538</v>
      </c>
      <c r="C189" t="s">
        <v>539</v>
      </c>
      <c r="D189" s="3" t="s">
        <v>540</v>
      </c>
      <c r="E189" s="3" t="s">
        <v>411</v>
      </c>
      <c r="F189">
        <v>1</v>
      </c>
      <c r="G189" t="s">
        <v>539</v>
      </c>
      <c r="H189" t="s">
        <v>224</v>
      </c>
      <c r="I189" t="s">
        <v>539</v>
      </c>
      <c r="K189" t="s">
        <v>99</v>
      </c>
      <c r="L189" t="s">
        <v>423</v>
      </c>
      <c r="M189" t="s">
        <v>224</v>
      </c>
      <c r="N189" t="s">
        <v>5</v>
      </c>
      <c r="P189" t="s">
        <v>946</v>
      </c>
      <c r="Q189">
        <f>ROW(Guide[[#This Row],[Row]])</f>
        <v>189</v>
      </c>
      <c r="R189" cm="1">
        <f t="array" ref="R189">_xlfn.XLOOKUP(
Guide[[#This Row],[Dataset]]&amp;Guide[[#This Row],[Category_1]]&amp;Guide[[#This Row],[Category_2]]&amp;Guide[[#This Row],[Dim_Group]],_xlfn.ANCHORARRAY( Sheet1!$N$2),_xlfn.CHOOSECOLS(_xlfn.ANCHORARRAY(Sheet1!$I$2),5),0)</f>
        <v>189</v>
      </c>
    </row>
    <row r="190" spans="1:18" hidden="1" x14ac:dyDescent="0.3">
      <c r="A190" t="s">
        <v>457</v>
      </c>
      <c r="B190" t="s">
        <v>541</v>
      </c>
      <c r="C190" t="s">
        <v>542</v>
      </c>
      <c r="D190" s="3" t="s">
        <v>543</v>
      </c>
      <c r="E190" s="3" t="s">
        <v>411</v>
      </c>
      <c r="F190">
        <v>1</v>
      </c>
      <c r="G190" t="s">
        <v>542</v>
      </c>
      <c r="H190" t="s">
        <v>334</v>
      </c>
      <c r="I190" t="s">
        <v>542</v>
      </c>
      <c r="K190" t="s">
        <v>99</v>
      </c>
      <c r="L190" t="s">
        <v>423</v>
      </c>
      <c r="M190" t="s">
        <v>334</v>
      </c>
      <c r="N190" t="s">
        <v>5</v>
      </c>
      <c r="P190" t="s">
        <v>946</v>
      </c>
      <c r="Q190">
        <f>ROW(Guide[[#This Row],[Row]])</f>
        <v>190</v>
      </c>
      <c r="R190" cm="1">
        <f t="array" ref="R190">_xlfn.XLOOKUP(
Guide[[#This Row],[Dataset]]&amp;Guide[[#This Row],[Category_1]]&amp;Guide[[#This Row],[Category_2]]&amp;Guide[[#This Row],[Dim_Group]],_xlfn.ANCHORARRAY( Sheet1!$N$2),_xlfn.CHOOSECOLS(_xlfn.ANCHORARRAY(Sheet1!$I$2),5),0)</f>
        <v>190</v>
      </c>
    </row>
    <row r="191" spans="1:18" hidden="1" x14ac:dyDescent="0.3">
      <c r="A191" t="s">
        <v>457</v>
      </c>
      <c r="B191" t="s">
        <v>409</v>
      </c>
      <c r="C191" t="s">
        <v>544</v>
      </c>
      <c r="D191" s="3" t="s">
        <v>545</v>
      </c>
      <c r="E191" s="3" t="s">
        <v>411</v>
      </c>
      <c r="F191">
        <v>1</v>
      </c>
      <c r="G191" t="s">
        <v>544</v>
      </c>
      <c r="H191" t="s">
        <v>343</v>
      </c>
      <c r="I191" t="s">
        <v>544</v>
      </c>
      <c r="K191" t="s">
        <v>99</v>
      </c>
      <c r="L191" t="s">
        <v>423</v>
      </c>
      <c r="M191" t="s">
        <v>343</v>
      </c>
      <c r="N191" t="s">
        <v>5</v>
      </c>
      <c r="P191" t="s">
        <v>946</v>
      </c>
      <c r="Q191">
        <f>ROW(Guide[[#This Row],[Row]])</f>
        <v>191</v>
      </c>
      <c r="R191" cm="1">
        <f t="array" ref="R191">_xlfn.XLOOKUP(
Guide[[#This Row],[Dataset]]&amp;Guide[[#This Row],[Category_1]]&amp;Guide[[#This Row],[Category_2]]&amp;Guide[[#This Row],[Dim_Group]],_xlfn.ANCHORARRAY( Sheet1!$N$2),_xlfn.CHOOSECOLS(_xlfn.ANCHORARRAY(Sheet1!$I$2),5),0)</f>
        <v>191</v>
      </c>
    </row>
    <row r="192" spans="1:18" hidden="1" x14ac:dyDescent="0.3">
      <c r="A192" t="s">
        <v>457</v>
      </c>
      <c r="B192" t="s">
        <v>412</v>
      </c>
      <c r="C192" t="s">
        <v>546</v>
      </c>
      <c r="D192" s="3" t="s">
        <v>547</v>
      </c>
      <c r="E192" s="3" t="s">
        <v>411</v>
      </c>
      <c r="F192">
        <v>1</v>
      </c>
      <c r="G192" t="s">
        <v>546</v>
      </c>
      <c r="H192" t="s">
        <v>346</v>
      </c>
      <c r="I192" t="s">
        <v>546</v>
      </c>
      <c r="K192" t="s">
        <v>99</v>
      </c>
      <c r="L192" t="s">
        <v>423</v>
      </c>
      <c r="M192" t="s">
        <v>346</v>
      </c>
      <c r="N192" t="s">
        <v>5</v>
      </c>
      <c r="P192" t="s">
        <v>946</v>
      </c>
      <c r="Q192">
        <f>ROW(Guide[[#This Row],[Row]])</f>
        <v>192</v>
      </c>
      <c r="R192" cm="1">
        <f t="array" ref="R192">_xlfn.XLOOKUP(
Guide[[#This Row],[Dataset]]&amp;Guide[[#This Row],[Category_1]]&amp;Guide[[#This Row],[Category_2]]&amp;Guide[[#This Row],[Dim_Group]],_xlfn.ANCHORARRAY( Sheet1!$N$2),_xlfn.CHOOSECOLS(_xlfn.ANCHORARRAY(Sheet1!$I$2),5),0)</f>
        <v>192</v>
      </c>
    </row>
    <row r="193" spans="1:18" hidden="1" x14ac:dyDescent="0.3">
      <c r="A193" t="s">
        <v>457</v>
      </c>
      <c r="B193" t="s">
        <v>548</v>
      </c>
      <c r="C193" t="s">
        <v>549</v>
      </c>
      <c r="D193" s="3" t="s">
        <v>550</v>
      </c>
      <c r="E193" s="3" t="s">
        <v>383</v>
      </c>
      <c r="F193">
        <v>1</v>
      </c>
      <c r="G193" t="s">
        <v>549</v>
      </c>
      <c r="H193" t="s">
        <v>224</v>
      </c>
      <c r="I193" t="s">
        <v>549</v>
      </c>
      <c r="K193" t="s">
        <v>99</v>
      </c>
      <c r="L193" t="s">
        <v>423</v>
      </c>
      <c r="M193" t="s">
        <v>224</v>
      </c>
      <c r="N193" t="s">
        <v>5</v>
      </c>
      <c r="P193" t="s">
        <v>946</v>
      </c>
      <c r="Q193">
        <f>ROW(Guide[[#This Row],[Row]])</f>
        <v>193</v>
      </c>
      <c r="R193" cm="1">
        <f t="array" ref="R193">_xlfn.XLOOKUP(
Guide[[#This Row],[Dataset]]&amp;Guide[[#This Row],[Category_1]]&amp;Guide[[#This Row],[Category_2]]&amp;Guide[[#This Row],[Dim_Group]],_xlfn.ANCHORARRAY( Sheet1!$N$2),_xlfn.CHOOSECOLS(_xlfn.ANCHORARRAY(Sheet1!$I$2),5),0)</f>
        <v>201</v>
      </c>
    </row>
    <row r="194" spans="1:18" hidden="1" x14ac:dyDescent="0.3">
      <c r="A194" t="s">
        <v>457</v>
      </c>
      <c r="B194" t="s">
        <v>551</v>
      </c>
      <c r="C194" t="s">
        <v>552</v>
      </c>
      <c r="D194" s="3" t="s">
        <v>553</v>
      </c>
      <c r="E194" s="3" t="s">
        <v>383</v>
      </c>
      <c r="F194">
        <v>1</v>
      </c>
      <c r="G194" t="s">
        <v>552</v>
      </c>
      <c r="H194" t="s">
        <v>334</v>
      </c>
      <c r="I194" t="s">
        <v>552</v>
      </c>
      <c r="K194" t="s">
        <v>99</v>
      </c>
      <c r="L194" t="s">
        <v>423</v>
      </c>
      <c r="M194" t="s">
        <v>334</v>
      </c>
      <c r="N194" t="s">
        <v>5</v>
      </c>
      <c r="P194" t="s">
        <v>946</v>
      </c>
      <c r="Q194">
        <f>ROW(Guide[[#This Row],[Row]])</f>
        <v>194</v>
      </c>
      <c r="R194" cm="1">
        <f t="array" ref="R194">_xlfn.XLOOKUP(
Guide[[#This Row],[Dataset]]&amp;Guide[[#This Row],[Category_1]]&amp;Guide[[#This Row],[Category_2]]&amp;Guide[[#This Row],[Dim_Group]],_xlfn.ANCHORARRAY( Sheet1!$N$2),_xlfn.CHOOSECOLS(_xlfn.ANCHORARRAY(Sheet1!$I$2),5),0)</f>
        <v>202</v>
      </c>
    </row>
    <row r="195" spans="1:18" hidden="1" x14ac:dyDescent="0.3">
      <c r="A195" t="s">
        <v>457</v>
      </c>
      <c r="B195" t="s">
        <v>554</v>
      </c>
      <c r="C195" t="s">
        <v>555</v>
      </c>
      <c r="D195" s="3" t="s">
        <v>556</v>
      </c>
      <c r="E195" s="3" t="s">
        <v>383</v>
      </c>
      <c r="F195">
        <v>1</v>
      </c>
      <c r="G195" t="s">
        <v>555</v>
      </c>
      <c r="H195" t="s">
        <v>337</v>
      </c>
      <c r="I195" t="s">
        <v>555</v>
      </c>
      <c r="K195" t="s">
        <v>99</v>
      </c>
      <c r="L195" t="s">
        <v>267</v>
      </c>
      <c r="M195" t="s">
        <v>337</v>
      </c>
      <c r="N195" t="s">
        <v>21</v>
      </c>
      <c r="P195" t="s">
        <v>946</v>
      </c>
      <c r="Q195">
        <f>ROW(Guide[[#This Row],[Row]])</f>
        <v>195</v>
      </c>
      <c r="R195" cm="1">
        <f t="array" ref="R195">_xlfn.XLOOKUP(
Guide[[#This Row],[Dataset]]&amp;Guide[[#This Row],[Category_1]]&amp;Guide[[#This Row],[Category_2]]&amp;Guide[[#This Row],[Dim_Group]],_xlfn.ANCHORARRAY( Sheet1!$N$2),_xlfn.CHOOSECOLS(_xlfn.ANCHORARRAY(Sheet1!$I$2),5),0)</f>
        <v>203</v>
      </c>
    </row>
    <row r="196" spans="1:18" hidden="1" x14ac:dyDescent="0.3">
      <c r="A196" t="s">
        <v>457</v>
      </c>
      <c r="B196" t="s">
        <v>557</v>
      </c>
      <c r="C196" t="s">
        <v>558</v>
      </c>
      <c r="D196" s="3" t="s">
        <v>559</v>
      </c>
      <c r="E196" s="3" t="s">
        <v>383</v>
      </c>
      <c r="F196">
        <v>1</v>
      </c>
      <c r="G196" t="s">
        <v>558</v>
      </c>
      <c r="H196" t="s">
        <v>19</v>
      </c>
      <c r="I196" t="s">
        <v>558</v>
      </c>
      <c r="K196" t="s">
        <v>99</v>
      </c>
      <c r="L196" t="s">
        <v>269</v>
      </c>
      <c r="M196" t="s">
        <v>19</v>
      </c>
      <c r="N196" t="s">
        <v>21</v>
      </c>
      <c r="P196" t="s">
        <v>946</v>
      </c>
      <c r="Q196">
        <f>ROW(Guide[[#This Row],[Row]])</f>
        <v>196</v>
      </c>
      <c r="R196" cm="1">
        <f t="array" ref="R196">_xlfn.XLOOKUP(
Guide[[#This Row],[Dataset]]&amp;Guide[[#This Row],[Category_1]]&amp;Guide[[#This Row],[Category_2]]&amp;Guide[[#This Row],[Dim_Group]],_xlfn.ANCHORARRAY( Sheet1!$N$2),_xlfn.CHOOSECOLS(_xlfn.ANCHORARRAY(Sheet1!$I$2),5),0)</f>
        <v>204</v>
      </c>
    </row>
    <row r="197" spans="1:18" hidden="1" x14ac:dyDescent="0.3">
      <c r="A197" t="s">
        <v>457</v>
      </c>
      <c r="B197" t="s">
        <v>381</v>
      </c>
      <c r="C197" t="s">
        <v>560</v>
      </c>
      <c r="D197" s="3" t="s">
        <v>561</v>
      </c>
      <c r="E197" s="3" t="s">
        <v>383</v>
      </c>
      <c r="F197">
        <v>1</v>
      </c>
      <c r="G197" t="s">
        <v>560</v>
      </c>
      <c r="H197" t="s">
        <v>343</v>
      </c>
      <c r="I197" t="s">
        <v>560</v>
      </c>
      <c r="K197" t="s">
        <v>99</v>
      </c>
      <c r="L197" t="s">
        <v>423</v>
      </c>
      <c r="M197" t="s">
        <v>343</v>
      </c>
      <c r="N197" t="s">
        <v>5</v>
      </c>
      <c r="P197" t="s">
        <v>946</v>
      </c>
      <c r="Q197">
        <f>ROW(Guide[[#This Row],[Row]])</f>
        <v>197</v>
      </c>
      <c r="R197" cm="1">
        <f t="array" ref="R197">_xlfn.XLOOKUP(
Guide[[#This Row],[Dataset]]&amp;Guide[[#This Row],[Category_1]]&amp;Guide[[#This Row],[Category_2]]&amp;Guide[[#This Row],[Dim_Group]],_xlfn.ANCHORARRAY( Sheet1!$N$2),_xlfn.CHOOSECOLS(_xlfn.ANCHORARRAY(Sheet1!$I$2),5),0)</f>
        <v>205</v>
      </c>
    </row>
    <row r="198" spans="1:18" hidden="1" x14ac:dyDescent="0.3">
      <c r="A198" t="s">
        <v>457</v>
      </c>
      <c r="B198" t="s">
        <v>386</v>
      </c>
      <c r="C198" t="s">
        <v>562</v>
      </c>
      <c r="D198" s="3" t="s">
        <v>563</v>
      </c>
      <c r="E198" s="3" t="s">
        <v>383</v>
      </c>
      <c r="F198">
        <v>1</v>
      </c>
      <c r="G198" t="s">
        <v>562</v>
      </c>
      <c r="H198" t="s">
        <v>346</v>
      </c>
      <c r="I198" t="s">
        <v>562</v>
      </c>
      <c r="K198" t="s">
        <v>99</v>
      </c>
      <c r="L198" t="s">
        <v>423</v>
      </c>
      <c r="M198" t="s">
        <v>346</v>
      </c>
      <c r="N198" t="s">
        <v>5</v>
      </c>
      <c r="P198" t="s">
        <v>946</v>
      </c>
      <c r="Q198">
        <f>ROW(Guide[[#This Row],[Row]])</f>
        <v>198</v>
      </c>
      <c r="R198" cm="1">
        <f t="array" ref="R198">_xlfn.XLOOKUP(
Guide[[#This Row],[Dataset]]&amp;Guide[[#This Row],[Category_1]]&amp;Guide[[#This Row],[Category_2]]&amp;Guide[[#This Row],[Dim_Group]],_xlfn.ANCHORARRAY( Sheet1!$N$2),_xlfn.CHOOSECOLS(_xlfn.ANCHORARRAY(Sheet1!$I$2),5),0)</f>
        <v>206</v>
      </c>
    </row>
    <row r="199" spans="1:18" hidden="1" x14ac:dyDescent="0.3">
      <c r="A199" t="s">
        <v>457</v>
      </c>
      <c r="B199" t="s">
        <v>389</v>
      </c>
      <c r="C199" t="s">
        <v>564</v>
      </c>
      <c r="D199" s="3" t="s">
        <v>565</v>
      </c>
      <c r="E199" s="3" t="s">
        <v>383</v>
      </c>
      <c r="F199">
        <v>1</v>
      </c>
      <c r="G199" t="s">
        <v>564</v>
      </c>
      <c r="H199" t="s">
        <v>349</v>
      </c>
      <c r="I199" t="s">
        <v>564</v>
      </c>
      <c r="K199" t="s">
        <v>99</v>
      </c>
      <c r="L199" t="s">
        <v>267</v>
      </c>
      <c r="M199" t="s">
        <v>349</v>
      </c>
      <c r="N199" t="s">
        <v>21</v>
      </c>
      <c r="P199" t="s">
        <v>946</v>
      </c>
      <c r="Q199">
        <f>ROW(Guide[[#This Row],[Row]])</f>
        <v>199</v>
      </c>
      <c r="R199" cm="1">
        <f t="array" ref="R199">_xlfn.XLOOKUP(
Guide[[#This Row],[Dataset]]&amp;Guide[[#This Row],[Category_1]]&amp;Guide[[#This Row],[Category_2]]&amp;Guide[[#This Row],[Dim_Group]],_xlfn.ANCHORARRAY( Sheet1!$N$2),_xlfn.CHOOSECOLS(_xlfn.ANCHORARRAY(Sheet1!$I$2),5),0)</f>
        <v>207</v>
      </c>
    </row>
    <row r="200" spans="1:18" hidden="1" x14ac:dyDescent="0.3">
      <c r="A200" t="s">
        <v>457</v>
      </c>
      <c r="B200" t="s">
        <v>393</v>
      </c>
      <c r="C200" t="s">
        <v>566</v>
      </c>
      <c r="D200" s="3" t="s">
        <v>567</v>
      </c>
      <c r="E200" s="3" t="s">
        <v>383</v>
      </c>
      <c r="F200">
        <v>1</v>
      </c>
      <c r="G200" t="s">
        <v>566</v>
      </c>
      <c r="H200" t="s">
        <v>352</v>
      </c>
      <c r="I200" t="s">
        <v>566</v>
      </c>
      <c r="K200" t="s">
        <v>99</v>
      </c>
      <c r="L200" t="s">
        <v>269</v>
      </c>
      <c r="M200" t="s">
        <v>352</v>
      </c>
      <c r="N200" t="s">
        <v>21</v>
      </c>
      <c r="P200" t="s">
        <v>946</v>
      </c>
      <c r="Q200">
        <f>ROW(Guide[[#This Row],[Row]])</f>
        <v>200</v>
      </c>
      <c r="R200" cm="1">
        <f t="array" ref="R200">_xlfn.XLOOKUP(
Guide[[#This Row],[Dataset]]&amp;Guide[[#This Row],[Category_1]]&amp;Guide[[#This Row],[Category_2]]&amp;Guide[[#This Row],[Dim_Group]],_xlfn.ANCHORARRAY( Sheet1!$N$2),_xlfn.CHOOSECOLS(_xlfn.ANCHORARRAY(Sheet1!$I$2),5),0)</f>
        <v>208</v>
      </c>
    </row>
    <row r="201" spans="1:18" hidden="1" x14ac:dyDescent="0.3">
      <c r="A201" t="s">
        <v>457</v>
      </c>
      <c r="B201" t="s">
        <v>568</v>
      </c>
      <c r="C201" t="s">
        <v>569</v>
      </c>
      <c r="D201" s="3" t="s">
        <v>550</v>
      </c>
      <c r="E201" s="3" t="s">
        <v>383</v>
      </c>
      <c r="F201">
        <v>2</v>
      </c>
      <c r="G201" t="s">
        <v>570</v>
      </c>
      <c r="H201" t="s">
        <v>224</v>
      </c>
      <c r="I201" t="s">
        <v>569</v>
      </c>
      <c r="K201" t="s">
        <v>99</v>
      </c>
      <c r="L201" t="s">
        <v>423</v>
      </c>
      <c r="M201" t="s">
        <v>224</v>
      </c>
      <c r="N201" t="s">
        <v>5</v>
      </c>
      <c r="P201" t="s">
        <v>946</v>
      </c>
      <c r="Q201">
        <f>ROW(Guide[[#This Row],[Row]])</f>
        <v>201</v>
      </c>
      <c r="R201" cm="1">
        <f t="array" ref="R201">_xlfn.XLOOKUP(
Guide[[#This Row],[Dataset]]&amp;Guide[[#This Row],[Category_1]]&amp;Guide[[#This Row],[Category_2]]&amp;Guide[[#This Row],[Dim_Group]],_xlfn.ANCHORARRAY( Sheet1!$N$2),_xlfn.CHOOSECOLS(_xlfn.ANCHORARRAY(Sheet1!$I$2),5),0)</f>
        <v>201</v>
      </c>
    </row>
    <row r="202" spans="1:18" hidden="1" x14ac:dyDescent="0.3">
      <c r="A202" t="s">
        <v>457</v>
      </c>
      <c r="B202" t="s">
        <v>571</v>
      </c>
      <c r="C202" t="s">
        <v>572</v>
      </c>
      <c r="D202" s="3" t="s">
        <v>553</v>
      </c>
      <c r="E202" s="3" t="s">
        <v>383</v>
      </c>
      <c r="F202">
        <v>2</v>
      </c>
      <c r="G202" t="s">
        <v>573</v>
      </c>
      <c r="H202" t="s">
        <v>334</v>
      </c>
      <c r="I202" t="s">
        <v>572</v>
      </c>
      <c r="K202" t="s">
        <v>99</v>
      </c>
      <c r="L202" t="s">
        <v>423</v>
      </c>
      <c r="M202" t="s">
        <v>334</v>
      </c>
      <c r="N202" t="s">
        <v>5</v>
      </c>
      <c r="P202" t="s">
        <v>946</v>
      </c>
      <c r="Q202">
        <f>ROW(Guide[[#This Row],[Row]])</f>
        <v>202</v>
      </c>
      <c r="R202" cm="1">
        <f t="array" ref="R202">_xlfn.XLOOKUP(
Guide[[#This Row],[Dataset]]&amp;Guide[[#This Row],[Category_1]]&amp;Guide[[#This Row],[Category_2]]&amp;Guide[[#This Row],[Dim_Group]],_xlfn.ANCHORARRAY( Sheet1!$N$2),_xlfn.CHOOSECOLS(_xlfn.ANCHORARRAY(Sheet1!$I$2),5),0)</f>
        <v>202</v>
      </c>
    </row>
    <row r="203" spans="1:18" hidden="1" x14ac:dyDescent="0.3">
      <c r="A203" t="s">
        <v>457</v>
      </c>
      <c r="B203" t="s">
        <v>574</v>
      </c>
      <c r="C203" t="s">
        <v>575</v>
      </c>
      <c r="D203" s="3" t="s">
        <v>556</v>
      </c>
      <c r="E203" s="3" t="s">
        <v>383</v>
      </c>
      <c r="F203">
        <v>2</v>
      </c>
      <c r="G203" t="s">
        <v>576</v>
      </c>
      <c r="H203" t="s">
        <v>337</v>
      </c>
      <c r="I203" t="s">
        <v>575</v>
      </c>
      <c r="K203" t="s">
        <v>99</v>
      </c>
      <c r="L203" t="s">
        <v>267</v>
      </c>
      <c r="M203" t="s">
        <v>337</v>
      </c>
      <c r="N203" t="s">
        <v>21</v>
      </c>
      <c r="P203" t="s">
        <v>946</v>
      </c>
      <c r="Q203">
        <f>ROW(Guide[[#This Row],[Row]])</f>
        <v>203</v>
      </c>
      <c r="R203" cm="1">
        <f t="array" ref="R203">_xlfn.XLOOKUP(
Guide[[#This Row],[Dataset]]&amp;Guide[[#This Row],[Category_1]]&amp;Guide[[#This Row],[Category_2]]&amp;Guide[[#This Row],[Dim_Group]],_xlfn.ANCHORARRAY( Sheet1!$N$2),_xlfn.CHOOSECOLS(_xlfn.ANCHORARRAY(Sheet1!$I$2),5),0)</f>
        <v>203</v>
      </c>
    </row>
    <row r="204" spans="1:18" hidden="1" x14ac:dyDescent="0.3">
      <c r="A204" t="s">
        <v>457</v>
      </c>
      <c r="B204" t="s">
        <v>577</v>
      </c>
      <c r="C204" t="s">
        <v>578</v>
      </c>
      <c r="D204" s="3" t="s">
        <v>559</v>
      </c>
      <c r="E204" s="3" t="s">
        <v>383</v>
      </c>
      <c r="F204">
        <v>2</v>
      </c>
      <c r="G204" t="s">
        <v>579</v>
      </c>
      <c r="H204" t="s">
        <v>19</v>
      </c>
      <c r="I204" t="s">
        <v>578</v>
      </c>
      <c r="K204" t="s">
        <v>99</v>
      </c>
      <c r="L204" t="s">
        <v>269</v>
      </c>
      <c r="M204" t="s">
        <v>19</v>
      </c>
      <c r="N204" t="s">
        <v>21</v>
      </c>
      <c r="P204" t="s">
        <v>946</v>
      </c>
      <c r="Q204">
        <f>ROW(Guide[[#This Row],[Row]])</f>
        <v>204</v>
      </c>
      <c r="R204" cm="1">
        <f t="array" ref="R204">_xlfn.XLOOKUP(
Guide[[#This Row],[Dataset]]&amp;Guide[[#This Row],[Category_1]]&amp;Guide[[#This Row],[Category_2]]&amp;Guide[[#This Row],[Dim_Group]],_xlfn.ANCHORARRAY( Sheet1!$N$2),_xlfn.CHOOSECOLS(_xlfn.ANCHORARRAY(Sheet1!$I$2),5),0)</f>
        <v>204</v>
      </c>
    </row>
    <row r="205" spans="1:18" hidden="1" x14ac:dyDescent="0.3">
      <c r="A205" t="s">
        <v>457</v>
      </c>
      <c r="B205" t="s">
        <v>397</v>
      </c>
      <c r="C205" t="s">
        <v>580</v>
      </c>
      <c r="D205" s="3" t="s">
        <v>561</v>
      </c>
      <c r="E205" s="3" t="s">
        <v>383</v>
      </c>
      <c r="F205">
        <v>2</v>
      </c>
      <c r="G205" t="s">
        <v>581</v>
      </c>
      <c r="H205" t="s">
        <v>343</v>
      </c>
      <c r="I205" t="s">
        <v>580</v>
      </c>
      <c r="K205" t="s">
        <v>99</v>
      </c>
      <c r="L205" t="s">
        <v>423</v>
      </c>
      <c r="M205" t="s">
        <v>343</v>
      </c>
      <c r="N205" t="s">
        <v>5</v>
      </c>
      <c r="P205" t="s">
        <v>946</v>
      </c>
      <c r="Q205">
        <f>ROW(Guide[[#This Row],[Row]])</f>
        <v>205</v>
      </c>
      <c r="R205" cm="1">
        <f t="array" ref="R205">_xlfn.XLOOKUP(
Guide[[#This Row],[Dataset]]&amp;Guide[[#This Row],[Category_1]]&amp;Guide[[#This Row],[Category_2]]&amp;Guide[[#This Row],[Dim_Group]],_xlfn.ANCHORARRAY( Sheet1!$N$2),_xlfn.CHOOSECOLS(_xlfn.ANCHORARRAY(Sheet1!$I$2),5),0)</f>
        <v>205</v>
      </c>
    </row>
    <row r="206" spans="1:18" hidden="1" x14ac:dyDescent="0.3">
      <c r="A206" t="s">
        <v>457</v>
      </c>
      <c r="B206" t="s">
        <v>400</v>
      </c>
      <c r="C206" t="s">
        <v>582</v>
      </c>
      <c r="D206" s="3" t="s">
        <v>563</v>
      </c>
      <c r="E206" s="3" t="s">
        <v>383</v>
      </c>
      <c r="F206">
        <v>2</v>
      </c>
      <c r="G206" t="s">
        <v>583</v>
      </c>
      <c r="H206" t="s">
        <v>346</v>
      </c>
      <c r="I206" t="s">
        <v>582</v>
      </c>
      <c r="K206" t="s">
        <v>99</v>
      </c>
      <c r="L206" t="s">
        <v>423</v>
      </c>
      <c r="M206" t="s">
        <v>346</v>
      </c>
      <c r="N206" t="s">
        <v>5</v>
      </c>
      <c r="P206" t="s">
        <v>946</v>
      </c>
      <c r="Q206">
        <f>ROW(Guide[[#This Row],[Row]])</f>
        <v>206</v>
      </c>
      <c r="R206" cm="1">
        <f t="array" ref="R206">_xlfn.XLOOKUP(
Guide[[#This Row],[Dataset]]&amp;Guide[[#This Row],[Category_1]]&amp;Guide[[#This Row],[Category_2]]&amp;Guide[[#This Row],[Dim_Group]],_xlfn.ANCHORARRAY( Sheet1!$N$2),_xlfn.CHOOSECOLS(_xlfn.ANCHORARRAY(Sheet1!$I$2),5),0)</f>
        <v>206</v>
      </c>
    </row>
    <row r="207" spans="1:18" hidden="1" x14ac:dyDescent="0.3">
      <c r="A207" t="s">
        <v>457</v>
      </c>
      <c r="B207" t="s">
        <v>403</v>
      </c>
      <c r="C207" t="s">
        <v>584</v>
      </c>
      <c r="D207" s="3" t="s">
        <v>565</v>
      </c>
      <c r="E207" s="3" t="s">
        <v>383</v>
      </c>
      <c r="F207">
        <v>2</v>
      </c>
      <c r="G207" t="s">
        <v>585</v>
      </c>
      <c r="H207" t="s">
        <v>349</v>
      </c>
      <c r="I207" t="s">
        <v>584</v>
      </c>
      <c r="K207" t="s">
        <v>99</v>
      </c>
      <c r="L207" t="s">
        <v>267</v>
      </c>
      <c r="M207" t="s">
        <v>349</v>
      </c>
      <c r="N207" t="s">
        <v>21</v>
      </c>
      <c r="P207" t="s">
        <v>946</v>
      </c>
      <c r="Q207">
        <f>ROW(Guide[[#This Row],[Row]])</f>
        <v>207</v>
      </c>
      <c r="R207" cm="1">
        <f t="array" ref="R207">_xlfn.XLOOKUP(
Guide[[#This Row],[Dataset]]&amp;Guide[[#This Row],[Category_1]]&amp;Guide[[#This Row],[Category_2]]&amp;Guide[[#This Row],[Dim_Group]],_xlfn.ANCHORARRAY( Sheet1!$N$2),_xlfn.CHOOSECOLS(_xlfn.ANCHORARRAY(Sheet1!$I$2),5),0)</f>
        <v>207</v>
      </c>
    </row>
    <row r="208" spans="1:18" hidden="1" x14ac:dyDescent="0.3">
      <c r="A208" t="s">
        <v>457</v>
      </c>
      <c r="B208" t="s">
        <v>406</v>
      </c>
      <c r="C208" t="s">
        <v>586</v>
      </c>
      <c r="D208" s="3" t="s">
        <v>567</v>
      </c>
      <c r="E208" s="3" t="s">
        <v>383</v>
      </c>
      <c r="F208">
        <v>2</v>
      </c>
      <c r="G208" t="s">
        <v>587</v>
      </c>
      <c r="H208" t="s">
        <v>352</v>
      </c>
      <c r="I208" t="s">
        <v>586</v>
      </c>
      <c r="K208" t="s">
        <v>99</v>
      </c>
      <c r="L208" t="s">
        <v>269</v>
      </c>
      <c r="M208" t="s">
        <v>352</v>
      </c>
      <c r="N208" t="s">
        <v>21</v>
      </c>
      <c r="P208" t="s">
        <v>946</v>
      </c>
      <c r="Q208">
        <f>ROW(Guide[[#This Row],[Row]])</f>
        <v>208</v>
      </c>
      <c r="R208" cm="1">
        <f t="array" ref="R208">_xlfn.XLOOKUP(
Guide[[#This Row],[Dataset]]&amp;Guide[[#This Row],[Category_1]]&amp;Guide[[#This Row],[Category_2]]&amp;Guide[[#This Row],[Dim_Group]],_xlfn.ANCHORARRAY( Sheet1!$N$2),_xlfn.CHOOSECOLS(_xlfn.ANCHORARRAY(Sheet1!$I$2),5),0)</f>
        <v>208</v>
      </c>
    </row>
    <row r="209" spans="1:18" hidden="1" x14ac:dyDescent="0.3">
      <c r="A209" t="s">
        <v>457</v>
      </c>
      <c r="B209" t="s">
        <v>588</v>
      </c>
      <c r="C209" t="s">
        <v>589</v>
      </c>
      <c r="D209" s="3" t="s">
        <v>527</v>
      </c>
      <c r="E209" s="3" t="s">
        <v>506</v>
      </c>
      <c r="F209">
        <v>2</v>
      </c>
      <c r="G209" t="s">
        <v>590</v>
      </c>
      <c r="H209" t="s">
        <v>224</v>
      </c>
      <c r="I209" t="s">
        <v>589</v>
      </c>
      <c r="K209" t="s">
        <v>99</v>
      </c>
      <c r="L209" t="s">
        <v>423</v>
      </c>
      <c r="M209" t="s">
        <v>224</v>
      </c>
      <c r="N209" t="s">
        <v>5</v>
      </c>
      <c r="P209" t="s">
        <v>946</v>
      </c>
      <c r="Q209">
        <f>ROW(Guide[[#This Row],[Row]])</f>
        <v>209</v>
      </c>
      <c r="R209" cm="1">
        <f t="array" ref="R209">_xlfn.XLOOKUP(
Guide[[#This Row],[Dataset]]&amp;Guide[[#This Row],[Category_1]]&amp;Guide[[#This Row],[Category_2]]&amp;Guide[[#This Row],[Dim_Group]],_xlfn.ANCHORARRAY( Sheet1!$N$2),_xlfn.CHOOSECOLS(_xlfn.ANCHORARRAY(Sheet1!$I$2),5),0)</f>
        <v>209</v>
      </c>
    </row>
    <row r="210" spans="1:18" hidden="1" x14ac:dyDescent="0.3">
      <c r="A210" t="s">
        <v>457</v>
      </c>
      <c r="B210" t="s">
        <v>591</v>
      </c>
      <c r="C210" t="s">
        <v>592</v>
      </c>
      <c r="D210" s="3" t="s">
        <v>510</v>
      </c>
      <c r="E210" s="3" t="s">
        <v>506</v>
      </c>
      <c r="F210">
        <v>3</v>
      </c>
      <c r="G210" t="s">
        <v>593</v>
      </c>
      <c r="H210" t="s">
        <v>334</v>
      </c>
      <c r="I210" t="s">
        <v>592</v>
      </c>
      <c r="K210" t="s">
        <v>99</v>
      </c>
      <c r="L210" t="s">
        <v>423</v>
      </c>
      <c r="M210" t="s">
        <v>334</v>
      </c>
      <c r="N210" t="s">
        <v>5</v>
      </c>
      <c r="P210" t="s">
        <v>946</v>
      </c>
      <c r="Q210">
        <f>ROW(Guide[[#This Row],[Row]])</f>
        <v>210</v>
      </c>
      <c r="R210" cm="1">
        <f t="array" ref="R210">_xlfn.XLOOKUP(
Guide[[#This Row],[Dataset]]&amp;Guide[[#This Row],[Category_1]]&amp;Guide[[#This Row],[Category_2]]&amp;Guide[[#This Row],[Dim_Group]],_xlfn.ANCHORARRAY( Sheet1!$N$2),_xlfn.CHOOSECOLS(_xlfn.ANCHORARRAY(Sheet1!$I$2),5),0)</f>
        <v>210</v>
      </c>
    </row>
    <row r="211" spans="1:18" hidden="1" x14ac:dyDescent="0.3">
      <c r="A211" t="s">
        <v>457</v>
      </c>
      <c r="B211" t="s">
        <v>594</v>
      </c>
      <c r="C211" t="s">
        <v>595</v>
      </c>
      <c r="D211" s="3" t="s">
        <v>513</v>
      </c>
      <c r="E211" s="3" t="s">
        <v>506</v>
      </c>
      <c r="F211">
        <v>3</v>
      </c>
      <c r="G211" t="s">
        <v>596</v>
      </c>
      <c r="H211" t="s">
        <v>337</v>
      </c>
      <c r="I211" t="s">
        <v>595</v>
      </c>
      <c r="K211" t="s">
        <v>99</v>
      </c>
      <c r="L211" t="s">
        <v>267</v>
      </c>
      <c r="M211" t="s">
        <v>337</v>
      </c>
      <c r="N211" t="s">
        <v>21</v>
      </c>
      <c r="P211" t="s">
        <v>946</v>
      </c>
      <c r="Q211">
        <f>ROW(Guide[[#This Row],[Row]])</f>
        <v>211</v>
      </c>
      <c r="R211" cm="1">
        <f t="array" ref="R211">_xlfn.XLOOKUP(
Guide[[#This Row],[Dataset]]&amp;Guide[[#This Row],[Category_1]]&amp;Guide[[#This Row],[Category_2]]&amp;Guide[[#This Row],[Dim_Group]],_xlfn.ANCHORARRAY( Sheet1!$N$2),_xlfn.CHOOSECOLS(_xlfn.ANCHORARRAY(Sheet1!$I$2),5),0)</f>
        <v>211</v>
      </c>
    </row>
    <row r="212" spans="1:18" hidden="1" x14ac:dyDescent="0.3">
      <c r="A212" t="s">
        <v>457</v>
      </c>
      <c r="B212" t="s">
        <v>597</v>
      </c>
      <c r="C212" t="s">
        <v>598</v>
      </c>
      <c r="D212" s="3" t="s">
        <v>516</v>
      </c>
      <c r="E212" s="3" t="s">
        <v>506</v>
      </c>
      <c r="F212">
        <v>3</v>
      </c>
      <c r="G212" t="s">
        <v>599</v>
      </c>
      <c r="H212" t="s">
        <v>19</v>
      </c>
      <c r="I212" t="s">
        <v>598</v>
      </c>
      <c r="K212" t="s">
        <v>99</v>
      </c>
      <c r="L212" t="s">
        <v>269</v>
      </c>
      <c r="M212" t="s">
        <v>19</v>
      </c>
      <c r="N212" t="s">
        <v>21</v>
      </c>
      <c r="P212" t="s">
        <v>946</v>
      </c>
      <c r="Q212">
        <f>ROW(Guide[[#This Row],[Row]])</f>
        <v>212</v>
      </c>
      <c r="R212" cm="1">
        <f t="array" ref="R212">_xlfn.XLOOKUP(
Guide[[#This Row],[Dataset]]&amp;Guide[[#This Row],[Category_1]]&amp;Guide[[#This Row],[Category_2]]&amp;Guide[[#This Row],[Dim_Group]],_xlfn.ANCHORARRAY( Sheet1!$N$2),_xlfn.CHOOSECOLS(_xlfn.ANCHORARRAY(Sheet1!$I$2),5),0)</f>
        <v>212</v>
      </c>
    </row>
    <row r="213" spans="1:18" hidden="1" x14ac:dyDescent="0.3">
      <c r="A213" t="s">
        <v>457</v>
      </c>
      <c r="B213" t="s">
        <v>600</v>
      </c>
      <c r="C213" t="s">
        <v>601</v>
      </c>
      <c r="D213" s="3" t="s">
        <v>518</v>
      </c>
      <c r="E213" s="3" t="s">
        <v>506</v>
      </c>
      <c r="F213">
        <v>3</v>
      </c>
      <c r="G213" t="s">
        <v>602</v>
      </c>
      <c r="H213" t="s">
        <v>343</v>
      </c>
      <c r="I213" t="s">
        <v>601</v>
      </c>
      <c r="K213" t="s">
        <v>99</v>
      </c>
      <c r="L213" t="s">
        <v>423</v>
      </c>
      <c r="M213" t="s">
        <v>343</v>
      </c>
      <c r="N213" t="s">
        <v>5</v>
      </c>
      <c r="P213" t="s">
        <v>946</v>
      </c>
      <c r="Q213">
        <f>ROW(Guide[[#This Row],[Row]])</f>
        <v>213</v>
      </c>
      <c r="R213" cm="1">
        <f t="array" ref="R213">_xlfn.XLOOKUP(
Guide[[#This Row],[Dataset]]&amp;Guide[[#This Row],[Category_1]]&amp;Guide[[#This Row],[Category_2]]&amp;Guide[[#This Row],[Dim_Group]],_xlfn.ANCHORARRAY( Sheet1!$N$2),_xlfn.CHOOSECOLS(_xlfn.ANCHORARRAY(Sheet1!$I$2),5),0)</f>
        <v>213</v>
      </c>
    </row>
    <row r="214" spans="1:18" hidden="1" x14ac:dyDescent="0.3">
      <c r="A214" t="s">
        <v>457</v>
      </c>
      <c r="B214" t="s">
        <v>603</v>
      </c>
      <c r="C214" t="s">
        <v>604</v>
      </c>
      <c r="D214" s="3" t="s">
        <v>520</v>
      </c>
      <c r="E214" s="3" t="s">
        <v>506</v>
      </c>
      <c r="F214">
        <v>3</v>
      </c>
      <c r="G214" t="s">
        <v>605</v>
      </c>
      <c r="H214" t="s">
        <v>346</v>
      </c>
      <c r="I214" t="s">
        <v>604</v>
      </c>
      <c r="K214" t="s">
        <v>99</v>
      </c>
      <c r="L214" t="s">
        <v>423</v>
      </c>
      <c r="M214" t="s">
        <v>346</v>
      </c>
      <c r="N214" t="s">
        <v>5</v>
      </c>
      <c r="P214" t="s">
        <v>946</v>
      </c>
      <c r="Q214">
        <f>ROW(Guide[[#This Row],[Row]])</f>
        <v>214</v>
      </c>
      <c r="R214" cm="1">
        <f t="array" ref="R214">_xlfn.XLOOKUP(
Guide[[#This Row],[Dataset]]&amp;Guide[[#This Row],[Category_1]]&amp;Guide[[#This Row],[Category_2]]&amp;Guide[[#This Row],[Dim_Group]],_xlfn.ANCHORARRAY( Sheet1!$N$2),_xlfn.CHOOSECOLS(_xlfn.ANCHORARRAY(Sheet1!$I$2),5),0)</f>
        <v>214</v>
      </c>
    </row>
    <row r="215" spans="1:18" hidden="1" x14ac:dyDescent="0.3">
      <c r="A215" t="s">
        <v>457</v>
      </c>
      <c r="B215" t="s">
        <v>606</v>
      </c>
      <c r="C215" t="s">
        <v>607</v>
      </c>
      <c r="D215" s="3" t="s">
        <v>522</v>
      </c>
      <c r="E215" s="3" t="s">
        <v>506</v>
      </c>
      <c r="F215">
        <v>3</v>
      </c>
      <c r="G215" t="s">
        <v>608</v>
      </c>
      <c r="H215" t="s">
        <v>349</v>
      </c>
      <c r="I215" t="s">
        <v>607</v>
      </c>
      <c r="K215" t="s">
        <v>99</v>
      </c>
      <c r="L215" t="s">
        <v>267</v>
      </c>
      <c r="M215" t="s">
        <v>349</v>
      </c>
      <c r="N215" t="s">
        <v>21</v>
      </c>
      <c r="P215" t="s">
        <v>946</v>
      </c>
      <c r="Q215">
        <f>ROW(Guide[[#This Row],[Row]])</f>
        <v>215</v>
      </c>
      <c r="R215" cm="1">
        <f t="array" ref="R215">_xlfn.XLOOKUP(
Guide[[#This Row],[Dataset]]&amp;Guide[[#This Row],[Category_1]]&amp;Guide[[#This Row],[Category_2]]&amp;Guide[[#This Row],[Dim_Group]],_xlfn.ANCHORARRAY( Sheet1!$N$2),_xlfn.CHOOSECOLS(_xlfn.ANCHORARRAY(Sheet1!$I$2),5),0)</f>
        <v>215</v>
      </c>
    </row>
    <row r="216" spans="1:18" hidden="1" x14ac:dyDescent="0.3">
      <c r="A216" t="s">
        <v>457</v>
      </c>
      <c r="B216" t="s">
        <v>609</v>
      </c>
      <c r="C216" t="s">
        <v>610</v>
      </c>
      <c r="D216" s="3" t="s">
        <v>524</v>
      </c>
      <c r="E216" s="3" t="s">
        <v>506</v>
      </c>
      <c r="F216">
        <v>3</v>
      </c>
      <c r="G216" t="s">
        <v>611</v>
      </c>
      <c r="H216" t="s">
        <v>352</v>
      </c>
      <c r="I216" t="s">
        <v>610</v>
      </c>
      <c r="K216" t="s">
        <v>99</v>
      </c>
      <c r="L216" t="s">
        <v>269</v>
      </c>
      <c r="M216" t="s">
        <v>352</v>
      </c>
      <c r="N216" t="s">
        <v>21</v>
      </c>
      <c r="P216" t="s">
        <v>946</v>
      </c>
      <c r="Q216">
        <f>ROW(Guide[[#This Row],[Row]])</f>
        <v>216</v>
      </c>
      <c r="R216" cm="1">
        <f t="array" ref="R216">_xlfn.XLOOKUP(
Guide[[#This Row],[Dataset]]&amp;Guide[[#This Row],[Category_1]]&amp;Guide[[#This Row],[Category_2]]&amp;Guide[[#This Row],[Dim_Group]],_xlfn.ANCHORARRAY( Sheet1!$N$2),_xlfn.CHOOSECOLS(_xlfn.ANCHORARRAY(Sheet1!$I$2),5),0)</f>
        <v>216</v>
      </c>
    </row>
    <row r="217" spans="1:18" hidden="1" x14ac:dyDescent="0.3">
      <c r="A217" t="s">
        <v>457</v>
      </c>
      <c r="B217" t="s">
        <v>612</v>
      </c>
      <c r="C217" t="s">
        <v>613</v>
      </c>
      <c r="D217" s="3" t="s">
        <v>614</v>
      </c>
      <c r="E217" s="3" t="s">
        <v>615</v>
      </c>
      <c r="F217">
        <v>1</v>
      </c>
      <c r="G217" t="s">
        <v>616</v>
      </c>
      <c r="H217" t="s">
        <v>224</v>
      </c>
      <c r="I217" t="s">
        <v>613</v>
      </c>
      <c r="K217" t="s">
        <v>99</v>
      </c>
      <c r="L217" t="s">
        <v>423</v>
      </c>
      <c r="M217" t="s">
        <v>224</v>
      </c>
      <c r="N217" t="s">
        <v>5</v>
      </c>
      <c r="P217" t="s">
        <v>946</v>
      </c>
      <c r="Q217">
        <f>ROW(Guide[[#This Row],[Row]])</f>
        <v>217</v>
      </c>
      <c r="R217" cm="1">
        <f t="array" ref="R217">_xlfn.XLOOKUP(
Guide[[#This Row],[Dataset]]&amp;Guide[[#This Row],[Category_1]]&amp;Guide[[#This Row],[Category_2]]&amp;Guide[[#This Row],[Dim_Group]],_xlfn.ANCHORARRAY( Sheet1!$N$2),_xlfn.CHOOSECOLS(_xlfn.ANCHORARRAY(Sheet1!$I$2),5),0)</f>
        <v>225</v>
      </c>
    </row>
    <row r="218" spans="1:18" hidden="1" x14ac:dyDescent="0.3">
      <c r="A218" t="s">
        <v>457</v>
      </c>
      <c r="B218" t="s">
        <v>617</v>
      </c>
      <c r="C218" t="s">
        <v>618</v>
      </c>
      <c r="D218" s="3" t="s">
        <v>619</v>
      </c>
      <c r="E218" s="3" t="s">
        <v>615</v>
      </c>
      <c r="F218">
        <v>1</v>
      </c>
      <c r="G218" t="s">
        <v>620</v>
      </c>
      <c r="H218" t="s">
        <v>334</v>
      </c>
      <c r="I218" t="s">
        <v>618</v>
      </c>
      <c r="K218" t="s">
        <v>99</v>
      </c>
      <c r="L218" t="s">
        <v>423</v>
      </c>
      <c r="M218" t="s">
        <v>334</v>
      </c>
      <c r="N218" t="s">
        <v>5</v>
      </c>
      <c r="P218" t="s">
        <v>946</v>
      </c>
      <c r="Q218">
        <f>ROW(Guide[[#This Row],[Row]])</f>
        <v>218</v>
      </c>
      <c r="R218" cm="1">
        <f t="array" ref="R218">_xlfn.XLOOKUP(
Guide[[#This Row],[Dataset]]&amp;Guide[[#This Row],[Category_1]]&amp;Guide[[#This Row],[Category_2]]&amp;Guide[[#This Row],[Dim_Group]],_xlfn.ANCHORARRAY( Sheet1!$N$2),_xlfn.CHOOSECOLS(_xlfn.ANCHORARRAY(Sheet1!$I$2),5),0)</f>
        <v>226</v>
      </c>
    </row>
    <row r="219" spans="1:18" hidden="1" x14ac:dyDescent="0.3">
      <c r="A219" t="s">
        <v>457</v>
      </c>
      <c r="B219" t="s">
        <v>621</v>
      </c>
      <c r="C219" t="s">
        <v>622</v>
      </c>
      <c r="D219" s="3" t="s">
        <v>623</v>
      </c>
      <c r="E219" s="3" t="s">
        <v>615</v>
      </c>
      <c r="F219">
        <v>1</v>
      </c>
      <c r="G219" t="s">
        <v>624</v>
      </c>
      <c r="H219" t="s">
        <v>337</v>
      </c>
      <c r="I219" t="s">
        <v>622</v>
      </c>
      <c r="K219" t="s">
        <v>99</v>
      </c>
      <c r="L219" t="s">
        <v>267</v>
      </c>
      <c r="M219" t="s">
        <v>337</v>
      </c>
      <c r="N219" t="s">
        <v>21</v>
      </c>
      <c r="P219" t="s">
        <v>946</v>
      </c>
      <c r="Q219">
        <f>ROW(Guide[[#This Row],[Row]])</f>
        <v>219</v>
      </c>
      <c r="R219" cm="1">
        <f t="array" ref="R219">_xlfn.XLOOKUP(
Guide[[#This Row],[Dataset]]&amp;Guide[[#This Row],[Category_1]]&amp;Guide[[#This Row],[Category_2]]&amp;Guide[[#This Row],[Dim_Group]],_xlfn.ANCHORARRAY( Sheet1!$N$2),_xlfn.CHOOSECOLS(_xlfn.ANCHORARRAY(Sheet1!$I$2),5),0)</f>
        <v>227</v>
      </c>
    </row>
    <row r="220" spans="1:18" hidden="1" x14ac:dyDescent="0.3">
      <c r="A220" t="s">
        <v>457</v>
      </c>
      <c r="B220" t="s">
        <v>625</v>
      </c>
      <c r="C220" t="s">
        <v>626</v>
      </c>
      <c r="D220" s="3" t="s">
        <v>627</v>
      </c>
      <c r="E220" s="3" t="s">
        <v>615</v>
      </c>
      <c r="F220">
        <v>1</v>
      </c>
      <c r="G220" t="s">
        <v>628</v>
      </c>
      <c r="H220" t="s">
        <v>19</v>
      </c>
      <c r="I220" t="s">
        <v>626</v>
      </c>
      <c r="K220" t="s">
        <v>99</v>
      </c>
      <c r="L220" t="s">
        <v>269</v>
      </c>
      <c r="M220" t="s">
        <v>19</v>
      </c>
      <c r="N220" t="s">
        <v>21</v>
      </c>
      <c r="P220" t="s">
        <v>946</v>
      </c>
      <c r="Q220">
        <f>ROW(Guide[[#This Row],[Row]])</f>
        <v>220</v>
      </c>
      <c r="R220" cm="1">
        <f t="array" ref="R220">_xlfn.XLOOKUP(
Guide[[#This Row],[Dataset]]&amp;Guide[[#This Row],[Category_1]]&amp;Guide[[#This Row],[Category_2]]&amp;Guide[[#This Row],[Dim_Group]],_xlfn.ANCHORARRAY( Sheet1!$N$2),_xlfn.CHOOSECOLS(_xlfn.ANCHORARRAY(Sheet1!$I$2),5),0)</f>
        <v>228</v>
      </c>
    </row>
    <row r="221" spans="1:18" hidden="1" x14ac:dyDescent="0.3">
      <c r="A221" t="s">
        <v>457</v>
      </c>
      <c r="B221" t="s">
        <v>629</v>
      </c>
      <c r="C221" t="s">
        <v>630</v>
      </c>
      <c r="D221" s="3" t="s">
        <v>631</v>
      </c>
      <c r="E221" s="3" t="s">
        <v>615</v>
      </c>
      <c r="F221">
        <v>1</v>
      </c>
      <c r="G221" t="s">
        <v>632</v>
      </c>
      <c r="H221" t="s">
        <v>343</v>
      </c>
      <c r="I221" t="s">
        <v>630</v>
      </c>
      <c r="K221" t="s">
        <v>99</v>
      </c>
      <c r="L221" t="s">
        <v>423</v>
      </c>
      <c r="M221" t="s">
        <v>343</v>
      </c>
      <c r="N221" t="s">
        <v>5</v>
      </c>
      <c r="P221" t="s">
        <v>946</v>
      </c>
      <c r="Q221">
        <f>ROW(Guide[[#This Row],[Row]])</f>
        <v>221</v>
      </c>
      <c r="R221" cm="1">
        <f t="array" ref="R221">_xlfn.XLOOKUP(
Guide[[#This Row],[Dataset]]&amp;Guide[[#This Row],[Category_1]]&amp;Guide[[#This Row],[Category_2]]&amp;Guide[[#This Row],[Dim_Group]],_xlfn.ANCHORARRAY( Sheet1!$N$2),_xlfn.CHOOSECOLS(_xlfn.ANCHORARRAY(Sheet1!$I$2),5),0)</f>
        <v>229</v>
      </c>
    </row>
    <row r="222" spans="1:18" hidden="1" x14ac:dyDescent="0.3">
      <c r="A222" t="s">
        <v>457</v>
      </c>
      <c r="B222" t="s">
        <v>633</v>
      </c>
      <c r="C222" t="s">
        <v>634</v>
      </c>
      <c r="D222" s="3" t="s">
        <v>635</v>
      </c>
      <c r="E222" s="3" t="s">
        <v>615</v>
      </c>
      <c r="F222">
        <v>1</v>
      </c>
      <c r="G222" t="s">
        <v>636</v>
      </c>
      <c r="H222" t="s">
        <v>346</v>
      </c>
      <c r="I222" t="s">
        <v>634</v>
      </c>
      <c r="K222" t="s">
        <v>99</v>
      </c>
      <c r="L222" t="s">
        <v>423</v>
      </c>
      <c r="M222" t="s">
        <v>346</v>
      </c>
      <c r="N222" t="s">
        <v>5</v>
      </c>
      <c r="P222" t="s">
        <v>946</v>
      </c>
      <c r="Q222">
        <f>ROW(Guide[[#This Row],[Row]])</f>
        <v>222</v>
      </c>
      <c r="R222" cm="1">
        <f t="array" ref="R222">_xlfn.XLOOKUP(
Guide[[#This Row],[Dataset]]&amp;Guide[[#This Row],[Category_1]]&amp;Guide[[#This Row],[Category_2]]&amp;Guide[[#This Row],[Dim_Group]],_xlfn.ANCHORARRAY( Sheet1!$N$2),_xlfn.CHOOSECOLS(_xlfn.ANCHORARRAY(Sheet1!$I$2),5),0)</f>
        <v>230</v>
      </c>
    </row>
    <row r="223" spans="1:18" hidden="1" x14ac:dyDescent="0.3">
      <c r="A223" t="s">
        <v>457</v>
      </c>
      <c r="B223" t="s">
        <v>637</v>
      </c>
      <c r="C223" t="s">
        <v>638</v>
      </c>
      <c r="D223" s="3" t="s">
        <v>639</v>
      </c>
      <c r="E223" s="3" t="s">
        <v>615</v>
      </c>
      <c r="F223">
        <v>1</v>
      </c>
      <c r="G223" t="s">
        <v>640</v>
      </c>
      <c r="H223" t="s">
        <v>349</v>
      </c>
      <c r="I223" t="s">
        <v>638</v>
      </c>
      <c r="K223" t="s">
        <v>99</v>
      </c>
      <c r="L223" t="s">
        <v>267</v>
      </c>
      <c r="M223" t="s">
        <v>349</v>
      </c>
      <c r="N223" t="s">
        <v>21</v>
      </c>
      <c r="P223" t="s">
        <v>946</v>
      </c>
      <c r="Q223">
        <f>ROW(Guide[[#This Row],[Row]])</f>
        <v>223</v>
      </c>
      <c r="R223" cm="1">
        <f t="array" ref="R223">_xlfn.XLOOKUP(
Guide[[#This Row],[Dataset]]&amp;Guide[[#This Row],[Category_1]]&amp;Guide[[#This Row],[Category_2]]&amp;Guide[[#This Row],[Dim_Group]],_xlfn.ANCHORARRAY( Sheet1!$N$2),_xlfn.CHOOSECOLS(_xlfn.ANCHORARRAY(Sheet1!$I$2),5),0)</f>
        <v>231</v>
      </c>
    </row>
    <row r="224" spans="1:18" hidden="1" x14ac:dyDescent="0.3">
      <c r="A224" t="s">
        <v>457</v>
      </c>
      <c r="B224" t="s">
        <v>641</v>
      </c>
      <c r="C224" t="s">
        <v>642</v>
      </c>
      <c r="D224" s="3" t="s">
        <v>643</v>
      </c>
      <c r="E224" s="3" t="s">
        <v>615</v>
      </c>
      <c r="F224">
        <v>1</v>
      </c>
      <c r="G224" t="s">
        <v>644</v>
      </c>
      <c r="H224" t="s">
        <v>352</v>
      </c>
      <c r="I224" t="s">
        <v>642</v>
      </c>
      <c r="K224" t="s">
        <v>99</v>
      </c>
      <c r="L224" t="s">
        <v>269</v>
      </c>
      <c r="M224" t="s">
        <v>352</v>
      </c>
      <c r="N224" t="s">
        <v>21</v>
      </c>
      <c r="P224" t="s">
        <v>946</v>
      </c>
      <c r="Q224">
        <f>ROW(Guide[[#This Row],[Row]])</f>
        <v>224</v>
      </c>
      <c r="R224" cm="1">
        <f t="array" ref="R224">_xlfn.XLOOKUP(
Guide[[#This Row],[Dataset]]&amp;Guide[[#This Row],[Category_1]]&amp;Guide[[#This Row],[Category_2]]&amp;Guide[[#This Row],[Dim_Group]],_xlfn.ANCHORARRAY( Sheet1!$N$2),_xlfn.CHOOSECOLS(_xlfn.ANCHORARRAY(Sheet1!$I$2),5),0)</f>
        <v>232</v>
      </c>
    </row>
    <row r="225" spans="1:18" hidden="1" x14ac:dyDescent="0.3">
      <c r="A225" t="s">
        <v>457</v>
      </c>
      <c r="B225" t="s">
        <v>645</v>
      </c>
      <c r="C225" t="s">
        <v>646</v>
      </c>
      <c r="D225" s="3" t="s">
        <v>614</v>
      </c>
      <c r="E225" s="3" t="s">
        <v>615</v>
      </c>
      <c r="F225">
        <v>2</v>
      </c>
      <c r="G225" t="s">
        <v>647</v>
      </c>
      <c r="H225" t="s">
        <v>224</v>
      </c>
      <c r="I225" t="s">
        <v>646</v>
      </c>
      <c r="K225" t="s">
        <v>99</v>
      </c>
      <c r="L225" t="s">
        <v>423</v>
      </c>
      <c r="M225" t="s">
        <v>224</v>
      </c>
      <c r="N225" t="s">
        <v>5</v>
      </c>
      <c r="P225" t="s">
        <v>946</v>
      </c>
      <c r="Q225">
        <f>ROW(Guide[[#This Row],[Row]])</f>
        <v>225</v>
      </c>
      <c r="R225" cm="1">
        <f t="array" ref="R225">_xlfn.XLOOKUP(
Guide[[#This Row],[Dataset]]&amp;Guide[[#This Row],[Category_1]]&amp;Guide[[#This Row],[Category_2]]&amp;Guide[[#This Row],[Dim_Group]],_xlfn.ANCHORARRAY( Sheet1!$N$2),_xlfn.CHOOSECOLS(_xlfn.ANCHORARRAY(Sheet1!$I$2),5),0)</f>
        <v>225</v>
      </c>
    </row>
    <row r="226" spans="1:18" hidden="1" x14ac:dyDescent="0.3">
      <c r="A226" t="s">
        <v>457</v>
      </c>
      <c r="B226" t="s">
        <v>648</v>
      </c>
      <c r="C226" t="s">
        <v>649</v>
      </c>
      <c r="D226" s="3" t="s">
        <v>619</v>
      </c>
      <c r="E226" s="3" t="s">
        <v>615</v>
      </c>
      <c r="F226">
        <v>2</v>
      </c>
      <c r="G226" t="s">
        <v>650</v>
      </c>
      <c r="H226" t="s">
        <v>334</v>
      </c>
      <c r="I226" t="s">
        <v>649</v>
      </c>
      <c r="K226" t="s">
        <v>99</v>
      </c>
      <c r="L226" t="s">
        <v>423</v>
      </c>
      <c r="M226" t="s">
        <v>334</v>
      </c>
      <c r="N226" t="s">
        <v>5</v>
      </c>
      <c r="P226" t="s">
        <v>946</v>
      </c>
      <c r="Q226">
        <f>ROW(Guide[[#This Row],[Row]])</f>
        <v>226</v>
      </c>
      <c r="R226" cm="1">
        <f t="array" ref="R226">_xlfn.XLOOKUP(
Guide[[#This Row],[Dataset]]&amp;Guide[[#This Row],[Category_1]]&amp;Guide[[#This Row],[Category_2]]&amp;Guide[[#This Row],[Dim_Group]],_xlfn.ANCHORARRAY( Sheet1!$N$2),_xlfn.CHOOSECOLS(_xlfn.ANCHORARRAY(Sheet1!$I$2),5),0)</f>
        <v>226</v>
      </c>
    </row>
    <row r="227" spans="1:18" hidden="1" x14ac:dyDescent="0.3">
      <c r="A227" t="s">
        <v>457</v>
      </c>
      <c r="B227" t="s">
        <v>651</v>
      </c>
      <c r="C227" t="s">
        <v>652</v>
      </c>
      <c r="D227" s="3" t="s">
        <v>623</v>
      </c>
      <c r="E227" s="3" t="s">
        <v>615</v>
      </c>
      <c r="F227">
        <v>2</v>
      </c>
      <c r="G227" t="s">
        <v>653</v>
      </c>
      <c r="H227" t="s">
        <v>337</v>
      </c>
      <c r="I227" t="s">
        <v>652</v>
      </c>
      <c r="K227" t="s">
        <v>99</v>
      </c>
      <c r="L227" t="s">
        <v>267</v>
      </c>
      <c r="M227" t="s">
        <v>337</v>
      </c>
      <c r="N227" t="s">
        <v>21</v>
      </c>
      <c r="P227" t="s">
        <v>946</v>
      </c>
      <c r="Q227">
        <f>ROW(Guide[[#This Row],[Row]])</f>
        <v>227</v>
      </c>
      <c r="R227" cm="1">
        <f t="array" ref="R227">_xlfn.XLOOKUP(
Guide[[#This Row],[Dataset]]&amp;Guide[[#This Row],[Category_1]]&amp;Guide[[#This Row],[Category_2]]&amp;Guide[[#This Row],[Dim_Group]],_xlfn.ANCHORARRAY( Sheet1!$N$2),_xlfn.CHOOSECOLS(_xlfn.ANCHORARRAY(Sheet1!$I$2),5),0)</f>
        <v>227</v>
      </c>
    </row>
    <row r="228" spans="1:18" hidden="1" x14ac:dyDescent="0.3">
      <c r="A228" t="s">
        <v>457</v>
      </c>
      <c r="B228" t="s">
        <v>654</v>
      </c>
      <c r="C228" t="s">
        <v>655</v>
      </c>
      <c r="D228" s="3" t="s">
        <v>627</v>
      </c>
      <c r="E228" s="3" t="s">
        <v>615</v>
      </c>
      <c r="F228">
        <v>2</v>
      </c>
      <c r="G228" t="s">
        <v>656</v>
      </c>
      <c r="H228" t="s">
        <v>19</v>
      </c>
      <c r="I228" t="s">
        <v>655</v>
      </c>
      <c r="K228" t="s">
        <v>99</v>
      </c>
      <c r="L228" t="s">
        <v>269</v>
      </c>
      <c r="M228" t="s">
        <v>19</v>
      </c>
      <c r="N228" t="s">
        <v>21</v>
      </c>
      <c r="P228" t="s">
        <v>946</v>
      </c>
      <c r="Q228">
        <f>ROW(Guide[[#This Row],[Row]])</f>
        <v>228</v>
      </c>
      <c r="R228" cm="1">
        <f t="array" ref="R228">_xlfn.XLOOKUP(
Guide[[#This Row],[Dataset]]&amp;Guide[[#This Row],[Category_1]]&amp;Guide[[#This Row],[Category_2]]&amp;Guide[[#This Row],[Dim_Group]],_xlfn.ANCHORARRAY( Sheet1!$N$2),_xlfn.CHOOSECOLS(_xlfn.ANCHORARRAY(Sheet1!$I$2),5),0)</f>
        <v>228</v>
      </c>
    </row>
    <row r="229" spans="1:18" hidden="1" x14ac:dyDescent="0.3">
      <c r="A229" t="s">
        <v>457</v>
      </c>
      <c r="B229" t="s">
        <v>657</v>
      </c>
      <c r="C229" t="s">
        <v>658</v>
      </c>
      <c r="D229" s="3" t="s">
        <v>631</v>
      </c>
      <c r="E229" s="3" t="s">
        <v>615</v>
      </c>
      <c r="F229">
        <v>2</v>
      </c>
      <c r="G229" t="s">
        <v>659</v>
      </c>
      <c r="H229" t="s">
        <v>343</v>
      </c>
      <c r="I229" t="s">
        <v>658</v>
      </c>
      <c r="K229" t="s">
        <v>99</v>
      </c>
      <c r="L229" t="s">
        <v>423</v>
      </c>
      <c r="M229" t="s">
        <v>343</v>
      </c>
      <c r="N229" t="s">
        <v>5</v>
      </c>
      <c r="P229" t="s">
        <v>946</v>
      </c>
      <c r="Q229">
        <f>ROW(Guide[[#This Row],[Row]])</f>
        <v>229</v>
      </c>
      <c r="R229" cm="1">
        <f t="array" ref="R229">_xlfn.XLOOKUP(
Guide[[#This Row],[Dataset]]&amp;Guide[[#This Row],[Category_1]]&amp;Guide[[#This Row],[Category_2]]&amp;Guide[[#This Row],[Dim_Group]],_xlfn.ANCHORARRAY( Sheet1!$N$2),_xlfn.CHOOSECOLS(_xlfn.ANCHORARRAY(Sheet1!$I$2),5),0)</f>
        <v>229</v>
      </c>
    </row>
    <row r="230" spans="1:18" hidden="1" x14ac:dyDescent="0.3">
      <c r="A230" t="s">
        <v>457</v>
      </c>
      <c r="B230" t="s">
        <v>660</v>
      </c>
      <c r="C230" t="s">
        <v>661</v>
      </c>
      <c r="D230" s="3" t="s">
        <v>635</v>
      </c>
      <c r="E230" s="3" t="s">
        <v>615</v>
      </c>
      <c r="F230">
        <v>2</v>
      </c>
      <c r="G230" t="s">
        <v>662</v>
      </c>
      <c r="H230" t="s">
        <v>346</v>
      </c>
      <c r="I230" t="s">
        <v>661</v>
      </c>
      <c r="K230" t="s">
        <v>99</v>
      </c>
      <c r="L230" t="s">
        <v>423</v>
      </c>
      <c r="M230" t="s">
        <v>346</v>
      </c>
      <c r="N230" t="s">
        <v>5</v>
      </c>
      <c r="P230" t="s">
        <v>946</v>
      </c>
      <c r="Q230">
        <f>ROW(Guide[[#This Row],[Row]])</f>
        <v>230</v>
      </c>
      <c r="R230" cm="1">
        <f t="array" ref="R230">_xlfn.XLOOKUP(
Guide[[#This Row],[Dataset]]&amp;Guide[[#This Row],[Category_1]]&amp;Guide[[#This Row],[Category_2]]&amp;Guide[[#This Row],[Dim_Group]],_xlfn.ANCHORARRAY( Sheet1!$N$2),_xlfn.CHOOSECOLS(_xlfn.ANCHORARRAY(Sheet1!$I$2),5),0)</f>
        <v>230</v>
      </c>
    </row>
    <row r="231" spans="1:18" hidden="1" x14ac:dyDescent="0.3">
      <c r="A231" t="s">
        <v>457</v>
      </c>
      <c r="B231" t="s">
        <v>663</v>
      </c>
      <c r="C231" t="s">
        <v>664</v>
      </c>
      <c r="D231" s="3" t="s">
        <v>639</v>
      </c>
      <c r="E231" s="3" t="s">
        <v>615</v>
      </c>
      <c r="F231">
        <v>2</v>
      </c>
      <c r="G231" t="s">
        <v>665</v>
      </c>
      <c r="H231" t="s">
        <v>349</v>
      </c>
      <c r="I231" t="s">
        <v>664</v>
      </c>
      <c r="K231" t="s">
        <v>99</v>
      </c>
      <c r="L231" t="s">
        <v>267</v>
      </c>
      <c r="M231" t="s">
        <v>349</v>
      </c>
      <c r="N231" t="s">
        <v>21</v>
      </c>
      <c r="P231" t="s">
        <v>946</v>
      </c>
      <c r="Q231">
        <f>ROW(Guide[[#This Row],[Row]])</f>
        <v>231</v>
      </c>
      <c r="R231" cm="1">
        <f t="array" ref="R231">_xlfn.XLOOKUP(
Guide[[#This Row],[Dataset]]&amp;Guide[[#This Row],[Category_1]]&amp;Guide[[#This Row],[Category_2]]&amp;Guide[[#This Row],[Dim_Group]],_xlfn.ANCHORARRAY( Sheet1!$N$2),_xlfn.CHOOSECOLS(_xlfn.ANCHORARRAY(Sheet1!$I$2),5),0)</f>
        <v>231</v>
      </c>
    </row>
    <row r="232" spans="1:18" hidden="1" x14ac:dyDescent="0.3">
      <c r="A232" t="s">
        <v>457</v>
      </c>
      <c r="B232" t="s">
        <v>666</v>
      </c>
      <c r="C232" t="s">
        <v>667</v>
      </c>
      <c r="D232" s="3" t="s">
        <v>643</v>
      </c>
      <c r="E232" s="3" t="s">
        <v>615</v>
      </c>
      <c r="F232">
        <v>2</v>
      </c>
      <c r="G232" t="s">
        <v>668</v>
      </c>
      <c r="H232" t="s">
        <v>352</v>
      </c>
      <c r="I232" t="s">
        <v>667</v>
      </c>
      <c r="K232" t="s">
        <v>99</v>
      </c>
      <c r="L232" t="s">
        <v>269</v>
      </c>
      <c r="M232" t="s">
        <v>352</v>
      </c>
      <c r="N232" t="s">
        <v>21</v>
      </c>
      <c r="P232" t="s">
        <v>946</v>
      </c>
      <c r="Q232">
        <f>ROW(Guide[[#This Row],[Row]])</f>
        <v>232</v>
      </c>
      <c r="R232" cm="1">
        <f t="array" ref="R232">_xlfn.XLOOKUP(
Guide[[#This Row],[Dataset]]&amp;Guide[[#This Row],[Category_1]]&amp;Guide[[#This Row],[Category_2]]&amp;Guide[[#This Row],[Dim_Group]],_xlfn.ANCHORARRAY( Sheet1!$N$2),_xlfn.CHOOSECOLS(_xlfn.ANCHORARRAY(Sheet1!$I$2),5),0)</f>
        <v>232</v>
      </c>
    </row>
    <row r="233" spans="1:18" hidden="1" x14ac:dyDescent="0.3">
      <c r="A233" t="s">
        <v>669</v>
      </c>
      <c r="B233" t="s">
        <v>670</v>
      </c>
      <c r="C233" t="s">
        <v>671</v>
      </c>
      <c r="D233" s="3" t="s">
        <v>193</v>
      </c>
      <c r="E233" s="3" t="s">
        <v>671</v>
      </c>
      <c r="F233">
        <v>1</v>
      </c>
      <c r="G233" t="s">
        <v>193</v>
      </c>
      <c r="H233" t="s">
        <v>419</v>
      </c>
      <c r="I233" t="s">
        <v>671</v>
      </c>
      <c r="K233" t="s">
        <v>99</v>
      </c>
      <c r="L233" t="s">
        <v>672</v>
      </c>
      <c r="M233" t="s">
        <v>419</v>
      </c>
      <c r="N233" t="s">
        <v>5</v>
      </c>
      <c r="P233" t="s">
        <v>948</v>
      </c>
      <c r="Q233">
        <f>ROW(Guide[[#This Row],[Row]])</f>
        <v>233</v>
      </c>
      <c r="R233" cm="1">
        <f t="array" ref="R233">_xlfn.XLOOKUP(
Guide[[#This Row],[Dataset]]&amp;Guide[[#This Row],[Category_1]]&amp;Guide[[#This Row],[Category_2]]&amp;Guide[[#This Row],[Dim_Group]],_xlfn.ANCHORARRAY( Sheet1!$N$2),_xlfn.CHOOSECOLS(_xlfn.ANCHORARRAY(Sheet1!$I$2),5),0)</f>
        <v>233</v>
      </c>
    </row>
    <row r="234" spans="1:18" hidden="1" x14ac:dyDescent="0.3">
      <c r="A234" t="s">
        <v>669</v>
      </c>
      <c r="B234" t="s">
        <v>673</v>
      </c>
      <c r="C234" t="s">
        <v>674</v>
      </c>
      <c r="D234" s="3" t="s">
        <v>193</v>
      </c>
      <c r="E234" s="3" t="s">
        <v>674</v>
      </c>
      <c r="F234">
        <v>1</v>
      </c>
      <c r="G234" t="s">
        <v>193</v>
      </c>
      <c r="H234" t="s">
        <v>419</v>
      </c>
      <c r="I234" t="s">
        <v>674</v>
      </c>
      <c r="K234" t="s">
        <v>99</v>
      </c>
      <c r="L234" t="s">
        <v>672</v>
      </c>
      <c r="M234" t="s">
        <v>419</v>
      </c>
      <c r="N234" t="s">
        <v>5</v>
      </c>
      <c r="P234" t="s">
        <v>948</v>
      </c>
      <c r="Q234">
        <f>ROW(Guide[[#This Row],[Row]])</f>
        <v>234</v>
      </c>
      <c r="R234" cm="1">
        <f t="array" ref="R234">_xlfn.XLOOKUP(
Guide[[#This Row],[Dataset]]&amp;Guide[[#This Row],[Category_1]]&amp;Guide[[#This Row],[Category_2]]&amp;Guide[[#This Row],[Dim_Group]],_xlfn.ANCHORARRAY( Sheet1!$N$2),_xlfn.CHOOSECOLS(_xlfn.ANCHORARRAY(Sheet1!$I$2),5),0)</f>
        <v>234</v>
      </c>
    </row>
    <row r="235" spans="1:18" hidden="1" x14ac:dyDescent="0.3">
      <c r="A235" t="s">
        <v>669</v>
      </c>
      <c r="B235" t="s">
        <v>675</v>
      </c>
      <c r="C235" t="s">
        <v>676</v>
      </c>
      <c r="D235" s="3" t="s">
        <v>193</v>
      </c>
      <c r="E235" s="3" t="s">
        <v>676</v>
      </c>
      <c r="F235">
        <v>1</v>
      </c>
      <c r="G235" t="s">
        <v>193</v>
      </c>
      <c r="H235" t="s">
        <v>419</v>
      </c>
      <c r="I235" t="s">
        <v>676</v>
      </c>
      <c r="K235" t="s">
        <v>99</v>
      </c>
      <c r="L235" t="s">
        <v>672</v>
      </c>
      <c r="M235" t="s">
        <v>419</v>
      </c>
      <c r="N235" t="s">
        <v>5</v>
      </c>
      <c r="P235" t="s">
        <v>948</v>
      </c>
      <c r="Q235">
        <f>ROW(Guide[[#This Row],[Row]])</f>
        <v>235</v>
      </c>
      <c r="R235" cm="1">
        <f t="array" ref="R235">_xlfn.XLOOKUP(
Guide[[#This Row],[Dataset]]&amp;Guide[[#This Row],[Category_1]]&amp;Guide[[#This Row],[Category_2]]&amp;Guide[[#This Row],[Dim_Group]],_xlfn.ANCHORARRAY( Sheet1!$N$2),_xlfn.CHOOSECOLS(_xlfn.ANCHORARRAY(Sheet1!$I$2),5),0)</f>
        <v>235</v>
      </c>
    </row>
    <row r="236" spans="1:18" hidden="1" x14ac:dyDescent="0.3">
      <c r="A236" t="s">
        <v>669</v>
      </c>
      <c r="B236" t="s">
        <v>677</v>
      </c>
      <c r="C236" t="s">
        <v>678</v>
      </c>
      <c r="D236" s="3" t="s">
        <v>193</v>
      </c>
      <c r="E236" s="3" t="s">
        <v>678</v>
      </c>
      <c r="F236">
        <v>1</v>
      </c>
      <c r="G236" t="s">
        <v>193</v>
      </c>
      <c r="H236" t="s">
        <v>419</v>
      </c>
      <c r="I236" t="s">
        <v>678</v>
      </c>
      <c r="K236" t="s">
        <v>99</v>
      </c>
      <c r="L236" t="s">
        <v>672</v>
      </c>
      <c r="M236" t="s">
        <v>419</v>
      </c>
      <c r="N236" t="s">
        <v>5</v>
      </c>
      <c r="P236" t="s">
        <v>948</v>
      </c>
      <c r="Q236">
        <f>ROW(Guide[[#This Row],[Row]])</f>
        <v>236</v>
      </c>
      <c r="R236" cm="1">
        <f t="array" ref="R236">_xlfn.XLOOKUP(
Guide[[#This Row],[Dataset]]&amp;Guide[[#This Row],[Category_1]]&amp;Guide[[#This Row],[Category_2]]&amp;Guide[[#This Row],[Dim_Group]],_xlfn.ANCHORARRAY( Sheet1!$N$2),_xlfn.CHOOSECOLS(_xlfn.ANCHORARRAY(Sheet1!$I$2),5),0)</f>
        <v>236</v>
      </c>
    </row>
    <row r="237" spans="1:18" hidden="1" x14ac:dyDescent="0.3">
      <c r="A237" t="s">
        <v>669</v>
      </c>
      <c r="B237" t="s">
        <v>679</v>
      </c>
      <c r="C237" t="s">
        <v>680</v>
      </c>
      <c r="D237" s="3" t="s">
        <v>193</v>
      </c>
      <c r="E237" s="3" t="s">
        <v>680</v>
      </c>
      <c r="F237">
        <v>1</v>
      </c>
      <c r="G237" t="s">
        <v>193</v>
      </c>
      <c r="H237" t="s">
        <v>419</v>
      </c>
      <c r="I237" t="s">
        <v>680</v>
      </c>
      <c r="K237" t="s">
        <v>99</v>
      </c>
      <c r="L237" t="s">
        <v>672</v>
      </c>
      <c r="M237" t="s">
        <v>419</v>
      </c>
      <c r="N237" t="s">
        <v>5</v>
      </c>
      <c r="P237" t="s">
        <v>948</v>
      </c>
      <c r="Q237">
        <f>ROW(Guide[[#This Row],[Row]])</f>
        <v>237</v>
      </c>
      <c r="R237" cm="1">
        <f t="array" ref="R237">_xlfn.XLOOKUP(
Guide[[#This Row],[Dataset]]&amp;Guide[[#This Row],[Category_1]]&amp;Guide[[#This Row],[Category_2]]&amp;Guide[[#This Row],[Dim_Group]],_xlfn.ANCHORARRAY( Sheet1!$N$2),_xlfn.CHOOSECOLS(_xlfn.ANCHORARRAY(Sheet1!$I$2),5),0)</f>
        <v>237</v>
      </c>
    </row>
    <row r="238" spans="1:18" hidden="1" x14ac:dyDescent="0.3">
      <c r="A238" t="s">
        <v>669</v>
      </c>
      <c r="B238" t="s">
        <v>681</v>
      </c>
      <c r="C238" t="s">
        <v>682</v>
      </c>
      <c r="D238" s="3" t="s">
        <v>193</v>
      </c>
      <c r="E238" s="3" t="s">
        <v>682</v>
      </c>
      <c r="F238">
        <v>1</v>
      </c>
      <c r="G238" t="s">
        <v>193</v>
      </c>
      <c r="H238" t="s">
        <v>419</v>
      </c>
      <c r="I238" t="s">
        <v>682</v>
      </c>
      <c r="K238" t="s">
        <v>99</v>
      </c>
      <c r="L238" t="s">
        <v>672</v>
      </c>
      <c r="M238" t="s">
        <v>419</v>
      </c>
      <c r="N238" t="s">
        <v>5</v>
      </c>
      <c r="P238" t="s">
        <v>948</v>
      </c>
      <c r="Q238">
        <f>ROW(Guide[[#This Row],[Row]])</f>
        <v>238</v>
      </c>
      <c r="R238" cm="1">
        <f t="array" ref="R238">_xlfn.XLOOKUP(
Guide[[#This Row],[Dataset]]&amp;Guide[[#This Row],[Category_1]]&amp;Guide[[#This Row],[Category_2]]&amp;Guide[[#This Row],[Dim_Group]],_xlfn.ANCHORARRAY( Sheet1!$N$2),_xlfn.CHOOSECOLS(_xlfn.ANCHORARRAY(Sheet1!$I$2),5),0)</f>
        <v>238</v>
      </c>
    </row>
    <row r="239" spans="1:18" hidden="1" x14ac:dyDescent="0.3">
      <c r="A239" t="s">
        <v>669</v>
      </c>
      <c r="B239" t="s">
        <v>683</v>
      </c>
      <c r="C239" t="s">
        <v>684</v>
      </c>
      <c r="D239" s="3" t="s">
        <v>193</v>
      </c>
      <c r="E239" s="3" t="s">
        <v>682</v>
      </c>
      <c r="F239">
        <v>1</v>
      </c>
      <c r="G239" t="s">
        <v>193</v>
      </c>
      <c r="H239" t="s">
        <v>19</v>
      </c>
      <c r="I239" t="s">
        <v>684</v>
      </c>
      <c r="K239" t="s">
        <v>99</v>
      </c>
      <c r="L239" t="s">
        <v>684</v>
      </c>
      <c r="M239" t="s">
        <v>19</v>
      </c>
      <c r="N239" t="s">
        <v>21</v>
      </c>
      <c r="P239" t="s">
        <v>946</v>
      </c>
      <c r="Q239">
        <f>ROW(Guide[[#This Row],[Row]])</f>
        <v>239</v>
      </c>
      <c r="R239" cm="1">
        <f t="array" ref="R239">_xlfn.XLOOKUP(
Guide[[#This Row],[Dataset]]&amp;Guide[[#This Row],[Category_1]]&amp;Guide[[#This Row],[Category_2]]&amp;Guide[[#This Row],[Dim_Group]],_xlfn.ANCHORARRAY( Sheet1!$N$2),_xlfn.CHOOSECOLS(_xlfn.ANCHORARRAY(Sheet1!$I$2),5),0)</f>
        <v>239</v>
      </c>
    </row>
    <row r="240" spans="1:18" hidden="1" x14ac:dyDescent="0.3">
      <c r="A240" t="s">
        <v>685</v>
      </c>
      <c r="B240" t="s">
        <v>686</v>
      </c>
      <c r="C240" t="s">
        <v>687</v>
      </c>
      <c r="D240" s="3" t="s">
        <v>688</v>
      </c>
      <c r="E240" s="3" t="s">
        <v>689</v>
      </c>
      <c r="F240">
        <v>1</v>
      </c>
      <c r="G240" t="s">
        <v>193</v>
      </c>
      <c r="H240" t="s">
        <v>19</v>
      </c>
      <c r="I240" t="s">
        <v>687</v>
      </c>
      <c r="K240" t="s">
        <v>99</v>
      </c>
      <c r="L240" t="s">
        <v>19</v>
      </c>
      <c r="M240" t="s">
        <v>19</v>
      </c>
      <c r="N240" t="s">
        <v>194</v>
      </c>
      <c r="P240" t="s">
        <v>946</v>
      </c>
      <c r="Q240">
        <f>ROW(Guide[[#This Row],[Row]])</f>
        <v>240</v>
      </c>
      <c r="R240" cm="1">
        <f t="array" ref="R240">_xlfn.XLOOKUP(
Guide[[#This Row],[Dataset]]&amp;Guide[[#This Row],[Category_1]]&amp;Guide[[#This Row],[Category_2]]&amp;Guide[[#This Row],[Dim_Group]],_xlfn.ANCHORARRAY( Sheet1!$N$2),_xlfn.CHOOSECOLS(_xlfn.ANCHORARRAY(Sheet1!$I$2),5),0)</f>
        <v>240</v>
      </c>
    </row>
    <row r="241" spans="1:18" hidden="1" x14ac:dyDescent="0.3">
      <c r="A241" t="s">
        <v>685</v>
      </c>
      <c r="B241" t="s">
        <v>690</v>
      </c>
      <c r="C241" t="s">
        <v>687</v>
      </c>
      <c r="D241" s="3" t="s">
        <v>691</v>
      </c>
      <c r="E241" s="3" t="s">
        <v>692</v>
      </c>
      <c r="F241">
        <v>1</v>
      </c>
      <c r="G241" t="s">
        <v>193</v>
      </c>
      <c r="H241" t="s">
        <v>19</v>
      </c>
      <c r="I241" t="s">
        <v>687</v>
      </c>
      <c r="K241" t="s">
        <v>99</v>
      </c>
      <c r="L241" t="s">
        <v>19</v>
      </c>
      <c r="M241" t="s">
        <v>19</v>
      </c>
      <c r="N241" t="s">
        <v>194</v>
      </c>
      <c r="P241" t="s">
        <v>946</v>
      </c>
      <c r="Q241">
        <f>ROW(Guide[[#This Row],[Row]])</f>
        <v>241</v>
      </c>
      <c r="R241" cm="1">
        <f t="array" ref="R241">_xlfn.XLOOKUP(
Guide[[#This Row],[Dataset]]&amp;Guide[[#This Row],[Category_1]]&amp;Guide[[#This Row],[Category_2]]&amp;Guide[[#This Row],[Dim_Group]],_xlfn.ANCHORARRAY( Sheet1!$N$2),_xlfn.CHOOSECOLS(_xlfn.ANCHORARRAY(Sheet1!$I$2),5),0)</f>
        <v>241</v>
      </c>
    </row>
    <row r="242" spans="1:18" hidden="1" x14ac:dyDescent="0.3">
      <c r="A242" t="s">
        <v>685</v>
      </c>
      <c r="B242" t="s">
        <v>693</v>
      </c>
      <c r="C242" t="s">
        <v>694</v>
      </c>
      <c r="D242" s="3" t="s">
        <v>694</v>
      </c>
      <c r="E242" s="3" t="s">
        <v>694</v>
      </c>
      <c r="F242">
        <v>1</v>
      </c>
      <c r="G242" t="s">
        <v>193</v>
      </c>
      <c r="H242" t="s">
        <v>19</v>
      </c>
      <c r="I242" t="s">
        <v>694</v>
      </c>
      <c r="K242" t="s">
        <v>99</v>
      </c>
      <c r="L242" t="s">
        <v>19</v>
      </c>
      <c r="M242" t="s">
        <v>19</v>
      </c>
      <c r="N242" t="s">
        <v>194</v>
      </c>
      <c r="P242" t="s">
        <v>946</v>
      </c>
      <c r="Q242">
        <f>ROW(Guide[[#This Row],[Row]])</f>
        <v>242</v>
      </c>
      <c r="R242" cm="1">
        <f t="array" ref="R242">_xlfn.XLOOKUP(
Guide[[#This Row],[Dataset]]&amp;Guide[[#This Row],[Category_1]]&amp;Guide[[#This Row],[Category_2]]&amp;Guide[[#This Row],[Dim_Group]],_xlfn.ANCHORARRAY( Sheet1!$N$2),_xlfn.CHOOSECOLS(_xlfn.ANCHORARRAY(Sheet1!$I$2),5),0)</f>
        <v>242</v>
      </c>
    </row>
    <row r="243" spans="1:18" hidden="1" x14ac:dyDescent="0.3">
      <c r="A243" t="s">
        <v>685</v>
      </c>
      <c r="B243" t="s">
        <v>695</v>
      </c>
      <c r="C243" t="s">
        <v>696</v>
      </c>
      <c r="D243" s="3" t="s">
        <v>696</v>
      </c>
      <c r="E243" s="3" t="s">
        <v>697</v>
      </c>
      <c r="F243">
        <v>1</v>
      </c>
      <c r="G243" t="s">
        <v>193</v>
      </c>
      <c r="H243" t="s">
        <v>19</v>
      </c>
      <c r="I243" t="s">
        <v>696</v>
      </c>
      <c r="K243" t="s">
        <v>99</v>
      </c>
      <c r="L243" t="s">
        <v>19</v>
      </c>
      <c r="M243" t="s">
        <v>19</v>
      </c>
      <c r="N243" t="s">
        <v>194</v>
      </c>
      <c r="P243" t="s">
        <v>946</v>
      </c>
      <c r="Q243">
        <f>ROW(Guide[[#This Row],[Row]])</f>
        <v>243</v>
      </c>
      <c r="R243" cm="1">
        <f t="array" ref="R243">_xlfn.XLOOKUP(
Guide[[#This Row],[Dataset]]&amp;Guide[[#This Row],[Category_1]]&amp;Guide[[#This Row],[Category_2]]&amp;Guide[[#This Row],[Dim_Group]],_xlfn.ANCHORARRAY( Sheet1!$N$2),_xlfn.CHOOSECOLS(_xlfn.ANCHORARRAY(Sheet1!$I$2),5),0)</f>
        <v>243</v>
      </c>
    </row>
    <row r="244" spans="1:18" hidden="1" x14ac:dyDescent="0.3">
      <c r="A244" t="s">
        <v>685</v>
      </c>
      <c r="B244" t="s">
        <v>698</v>
      </c>
      <c r="C244" t="s">
        <v>699</v>
      </c>
      <c r="D244" s="3" t="s">
        <v>700</v>
      </c>
      <c r="E244" s="3" t="s">
        <v>699</v>
      </c>
      <c r="F244">
        <v>1</v>
      </c>
      <c r="G244" t="s">
        <v>193</v>
      </c>
      <c r="H244" t="s">
        <v>224</v>
      </c>
      <c r="I244" t="s">
        <v>699</v>
      </c>
      <c r="K244" t="s">
        <v>99</v>
      </c>
      <c r="L244" t="s">
        <v>224</v>
      </c>
      <c r="M244" t="s">
        <v>224</v>
      </c>
      <c r="N244" t="s">
        <v>5</v>
      </c>
      <c r="P244" t="s">
        <v>948</v>
      </c>
      <c r="Q244">
        <f>ROW(Guide[[#This Row],[Row]])</f>
        <v>244</v>
      </c>
      <c r="R244" cm="1">
        <f t="array" ref="R244">_xlfn.XLOOKUP(
Guide[[#This Row],[Dataset]]&amp;Guide[[#This Row],[Category_1]]&amp;Guide[[#This Row],[Category_2]]&amp;Guide[[#This Row],[Dim_Group]],_xlfn.ANCHORARRAY( Sheet1!$N$2),_xlfn.CHOOSECOLS(_xlfn.ANCHORARRAY(Sheet1!$I$2),5),0)</f>
        <v>244</v>
      </c>
    </row>
    <row r="245" spans="1:18" hidden="1" x14ac:dyDescent="0.3">
      <c r="A245" t="s">
        <v>685</v>
      </c>
      <c r="B245" t="s">
        <v>701</v>
      </c>
      <c r="C245" t="s">
        <v>702</v>
      </c>
      <c r="D245" s="3" t="s">
        <v>700</v>
      </c>
      <c r="E245" s="3" t="s">
        <v>702</v>
      </c>
      <c r="F245">
        <v>1</v>
      </c>
      <c r="G245" t="s">
        <v>193</v>
      </c>
      <c r="H245" t="s">
        <v>224</v>
      </c>
      <c r="I245" t="s">
        <v>702</v>
      </c>
      <c r="K245" t="s">
        <v>99</v>
      </c>
      <c r="L245" t="s">
        <v>224</v>
      </c>
      <c r="M245" t="s">
        <v>224</v>
      </c>
      <c r="N245" t="s">
        <v>5</v>
      </c>
      <c r="P245" t="s">
        <v>948</v>
      </c>
      <c r="Q245">
        <f>ROW(Guide[[#This Row],[Row]])</f>
        <v>245</v>
      </c>
      <c r="R245" cm="1">
        <f t="array" ref="R245">_xlfn.XLOOKUP(
Guide[[#This Row],[Dataset]]&amp;Guide[[#This Row],[Category_1]]&amp;Guide[[#This Row],[Category_2]]&amp;Guide[[#This Row],[Dim_Group]],_xlfn.ANCHORARRAY( Sheet1!$N$2),_xlfn.CHOOSECOLS(_xlfn.ANCHORARRAY(Sheet1!$I$2),5),0)</f>
        <v>245</v>
      </c>
    </row>
    <row r="246" spans="1:18" hidden="1" x14ac:dyDescent="0.3">
      <c r="A246" t="s">
        <v>685</v>
      </c>
      <c r="B246" t="s">
        <v>703</v>
      </c>
      <c r="C246" t="s">
        <v>704</v>
      </c>
      <c r="D246" s="3" t="s">
        <v>700</v>
      </c>
      <c r="E246" s="3" t="s">
        <v>704</v>
      </c>
      <c r="F246">
        <v>1</v>
      </c>
      <c r="G246" t="s">
        <v>193</v>
      </c>
      <c r="H246" t="s">
        <v>224</v>
      </c>
      <c r="I246" t="s">
        <v>704</v>
      </c>
      <c r="K246" t="s">
        <v>99</v>
      </c>
      <c r="L246" t="s">
        <v>224</v>
      </c>
      <c r="M246" t="s">
        <v>224</v>
      </c>
      <c r="N246" t="s">
        <v>5</v>
      </c>
      <c r="P246" t="s">
        <v>948</v>
      </c>
      <c r="Q246">
        <f>ROW(Guide[[#This Row],[Row]])</f>
        <v>246</v>
      </c>
      <c r="R246" cm="1">
        <f t="array" ref="R246">_xlfn.XLOOKUP(
Guide[[#This Row],[Dataset]]&amp;Guide[[#This Row],[Category_1]]&amp;Guide[[#This Row],[Category_2]]&amp;Guide[[#This Row],[Dim_Group]],_xlfn.ANCHORARRAY( Sheet1!$N$2),_xlfn.CHOOSECOLS(_xlfn.ANCHORARRAY(Sheet1!$I$2),5),0)</f>
        <v>246</v>
      </c>
    </row>
    <row r="247" spans="1:18" hidden="1" x14ac:dyDescent="0.3">
      <c r="A247" t="s">
        <v>685</v>
      </c>
      <c r="B247" t="s">
        <v>705</v>
      </c>
      <c r="C247" t="s">
        <v>706</v>
      </c>
      <c r="D247" s="3" t="s">
        <v>700</v>
      </c>
      <c r="E247" s="3" t="s">
        <v>706</v>
      </c>
      <c r="F247">
        <v>1</v>
      </c>
      <c r="G247" t="s">
        <v>193</v>
      </c>
      <c r="H247" t="s">
        <v>224</v>
      </c>
      <c r="I247" t="s">
        <v>706</v>
      </c>
      <c r="K247" t="s">
        <v>99</v>
      </c>
      <c r="L247" t="s">
        <v>224</v>
      </c>
      <c r="M247" t="s">
        <v>224</v>
      </c>
      <c r="N247" t="s">
        <v>5</v>
      </c>
      <c r="P247" t="s">
        <v>948</v>
      </c>
      <c r="Q247">
        <f>ROW(Guide[[#This Row],[Row]])</f>
        <v>247</v>
      </c>
      <c r="R247" cm="1">
        <f t="array" ref="R247">_xlfn.XLOOKUP(
Guide[[#This Row],[Dataset]]&amp;Guide[[#This Row],[Category_1]]&amp;Guide[[#This Row],[Category_2]]&amp;Guide[[#This Row],[Dim_Group]],_xlfn.ANCHORARRAY( Sheet1!$N$2),_xlfn.CHOOSECOLS(_xlfn.ANCHORARRAY(Sheet1!$I$2),5),0)</f>
        <v>247</v>
      </c>
    </row>
    <row r="248" spans="1:18" hidden="1" x14ac:dyDescent="0.3">
      <c r="A248" t="s">
        <v>685</v>
      </c>
      <c r="B248" t="s">
        <v>707</v>
      </c>
      <c r="C248" t="s">
        <v>708</v>
      </c>
      <c r="D248" s="3" t="s">
        <v>709</v>
      </c>
      <c r="E248" s="3" t="s">
        <v>708</v>
      </c>
      <c r="F248">
        <v>1</v>
      </c>
      <c r="G248" t="s">
        <v>193</v>
      </c>
      <c r="H248" t="s">
        <v>224</v>
      </c>
      <c r="I248" t="s">
        <v>708</v>
      </c>
      <c r="K248" t="s">
        <v>99</v>
      </c>
      <c r="L248" t="s">
        <v>224</v>
      </c>
      <c r="M248" t="s">
        <v>224</v>
      </c>
      <c r="N248" t="s">
        <v>5</v>
      </c>
      <c r="P248" t="s">
        <v>948</v>
      </c>
      <c r="Q248">
        <f>ROW(Guide[[#This Row],[Row]])</f>
        <v>248</v>
      </c>
      <c r="R248" cm="1">
        <f t="array" ref="R248">_xlfn.XLOOKUP(
Guide[[#This Row],[Dataset]]&amp;Guide[[#This Row],[Category_1]]&amp;Guide[[#This Row],[Category_2]]&amp;Guide[[#This Row],[Dim_Group]],_xlfn.ANCHORARRAY( Sheet1!$N$2),_xlfn.CHOOSECOLS(_xlfn.ANCHORARRAY(Sheet1!$I$2),5),0)</f>
        <v>248</v>
      </c>
    </row>
    <row r="249" spans="1:18" hidden="1" x14ac:dyDescent="0.3">
      <c r="A249" t="s">
        <v>685</v>
      </c>
      <c r="B249" t="s">
        <v>710</v>
      </c>
      <c r="C249" t="s">
        <v>711</v>
      </c>
      <c r="D249" s="3" t="s">
        <v>712</v>
      </c>
      <c r="E249" s="3" t="s">
        <v>711</v>
      </c>
      <c r="F249">
        <v>1</v>
      </c>
      <c r="G249" t="s">
        <v>193</v>
      </c>
      <c r="H249" t="s">
        <v>224</v>
      </c>
      <c r="I249" t="s">
        <v>711</v>
      </c>
      <c r="K249" t="s">
        <v>99</v>
      </c>
      <c r="L249" t="s">
        <v>224</v>
      </c>
      <c r="M249" t="s">
        <v>224</v>
      </c>
      <c r="N249" t="s">
        <v>5</v>
      </c>
      <c r="P249" t="s">
        <v>946</v>
      </c>
      <c r="Q249">
        <f>ROW(Guide[[#This Row],[Row]])</f>
        <v>249</v>
      </c>
      <c r="R249" cm="1">
        <f t="array" ref="R249">_xlfn.XLOOKUP(
Guide[[#This Row],[Dataset]]&amp;Guide[[#This Row],[Category_1]]&amp;Guide[[#This Row],[Category_2]]&amp;Guide[[#This Row],[Dim_Group]],_xlfn.ANCHORARRAY( Sheet1!$N$2),_xlfn.CHOOSECOLS(_xlfn.ANCHORARRAY(Sheet1!$I$2),5),0)</f>
        <v>249</v>
      </c>
    </row>
    <row r="250" spans="1:18" hidden="1" x14ac:dyDescent="0.3">
      <c r="A250" t="s">
        <v>685</v>
      </c>
      <c r="B250" t="s">
        <v>713</v>
      </c>
      <c r="C250" t="s">
        <v>714</v>
      </c>
      <c r="D250" s="3" t="s">
        <v>712</v>
      </c>
      <c r="E250" s="3" t="s">
        <v>714</v>
      </c>
      <c r="F250">
        <v>1</v>
      </c>
      <c r="G250" t="s">
        <v>193</v>
      </c>
      <c r="H250" t="s">
        <v>224</v>
      </c>
      <c r="I250" t="s">
        <v>714</v>
      </c>
      <c r="K250" t="s">
        <v>99</v>
      </c>
      <c r="L250" t="s">
        <v>224</v>
      </c>
      <c r="M250" t="s">
        <v>224</v>
      </c>
      <c r="N250" t="s">
        <v>5</v>
      </c>
      <c r="P250" t="s">
        <v>946</v>
      </c>
      <c r="Q250">
        <f>ROW(Guide[[#This Row],[Row]])</f>
        <v>250</v>
      </c>
      <c r="R250" cm="1">
        <f t="array" ref="R250">_xlfn.XLOOKUP(
Guide[[#This Row],[Dataset]]&amp;Guide[[#This Row],[Category_1]]&amp;Guide[[#This Row],[Category_2]]&amp;Guide[[#This Row],[Dim_Group]],_xlfn.ANCHORARRAY( Sheet1!$N$2),_xlfn.CHOOSECOLS(_xlfn.ANCHORARRAY(Sheet1!$I$2),5),0)</f>
        <v>250</v>
      </c>
    </row>
    <row r="251" spans="1:18" hidden="1" x14ac:dyDescent="0.3">
      <c r="A251" t="s">
        <v>685</v>
      </c>
      <c r="B251" t="s">
        <v>715</v>
      </c>
      <c r="C251" t="s">
        <v>716</v>
      </c>
      <c r="D251" s="3" t="s">
        <v>716</v>
      </c>
      <c r="E251" s="3" t="s">
        <v>193</v>
      </c>
      <c r="F251">
        <v>1</v>
      </c>
      <c r="G251" t="s">
        <v>193</v>
      </c>
      <c r="H251" t="s">
        <v>224</v>
      </c>
      <c r="I251" t="s">
        <v>716</v>
      </c>
      <c r="K251" t="s">
        <v>99</v>
      </c>
      <c r="L251" t="s">
        <v>224</v>
      </c>
      <c r="M251" t="s">
        <v>224</v>
      </c>
      <c r="N251" t="s">
        <v>5</v>
      </c>
      <c r="P251" t="s">
        <v>946</v>
      </c>
      <c r="Q251">
        <f>ROW(Guide[[#This Row],[Row]])</f>
        <v>251</v>
      </c>
      <c r="R251" cm="1">
        <f t="array" ref="R251">_xlfn.XLOOKUP(
Guide[[#This Row],[Dataset]]&amp;Guide[[#This Row],[Category_1]]&amp;Guide[[#This Row],[Category_2]]&amp;Guide[[#This Row],[Dim_Group]],_xlfn.ANCHORARRAY( Sheet1!$N$2),_xlfn.CHOOSECOLS(_xlfn.ANCHORARRAY(Sheet1!$I$2),5),0)</f>
        <v>251</v>
      </c>
    </row>
    <row r="252" spans="1:18" hidden="1" x14ac:dyDescent="0.3">
      <c r="A252" t="s">
        <v>685</v>
      </c>
      <c r="B252" t="s">
        <v>717</v>
      </c>
      <c r="C252" t="s">
        <v>687</v>
      </c>
      <c r="D252" s="3" t="s">
        <v>718</v>
      </c>
      <c r="E252" s="3" t="s">
        <v>719</v>
      </c>
      <c r="F252">
        <v>1</v>
      </c>
      <c r="G252" t="s">
        <v>193</v>
      </c>
      <c r="H252" t="s">
        <v>193</v>
      </c>
      <c r="I252" t="s">
        <v>687</v>
      </c>
      <c r="K252" t="s">
        <v>99</v>
      </c>
      <c r="L252" t="s">
        <v>105</v>
      </c>
      <c r="M252" t="s">
        <v>193</v>
      </c>
      <c r="N252" t="s">
        <v>5</v>
      </c>
      <c r="P252" t="s">
        <v>946</v>
      </c>
      <c r="Q252">
        <f>ROW(Guide[[#This Row],[Row]])</f>
        <v>252</v>
      </c>
      <c r="R252" cm="1">
        <f t="array" ref="R252">_xlfn.XLOOKUP(
Guide[[#This Row],[Dataset]]&amp;Guide[[#This Row],[Category_1]]&amp;Guide[[#This Row],[Category_2]]&amp;Guide[[#This Row],[Dim_Group]],_xlfn.ANCHORARRAY( Sheet1!$N$2),_xlfn.CHOOSECOLS(_xlfn.ANCHORARRAY(Sheet1!$I$2),5),0)</f>
        <v>252</v>
      </c>
    </row>
    <row r="253" spans="1:18" hidden="1" x14ac:dyDescent="0.3">
      <c r="A253" t="s">
        <v>720</v>
      </c>
      <c r="B253" t="s">
        <v>721</v>
      </c>
      <c r="C253" t="s">
        <v>722</v>
      </c>
      <c r="D253" s="3" t="s">
        <v>723</v>
      </c>
      <c r="E253" s="3" t="s">
        <v>724</v>
      </c>
      <c r="F253">
        <v>1</v>
      </c>
      <c r="G253" t="s">
        <v>420</v>
      </c>
      <c r="H253" t="s">
        <v>419</v>
      </c>
      <c r="I253" t="s">
        <v>722</v>
      </c>
      <c r="K253" t="s">
        <v>99</v>
      </c>
      <c r="L253" t="s">
        <v>423</v>
      </c>
      <c r="M253" t="s">
        <v>419</v>
      </c>
      <c r="N253" t="s">
        <v>5</v>
      </c>
      <c r="P253" t="s">
        <v>946</v>
      </c>
      <c r="Q253">
        <f>ROW(Guide[[#This Row],[Row]])</f>
        <v>253</v>
      </c>
      <c r="R253" cm="1">
        <f t="array" ref="R253">_xlfn.XLOOKUP(
Guide[[#This Row],[Dataset]]&amp;Guide[[#This Row],[Category_1]]&amp;Guide[[#This Row],[Category_2]]&amp;Guide[[#This Row],[Dim_Group]],_xlfn.ANCHORARRAY( Sheet1!$N$2),_xlfn.CHOOSECOLS(_xlfn.ANCHORARRAY(Sheet1!$I$2),5),0)</f>
        <v>253</v>
      </c>
    </row>
    <row r="254" spans="1:18" hidden="1" x14ac:dyDescent="0.3">
      <c r="A254" t="s">
        <v>720</v>
      </c>
      <c r="B254" t="s">
        <v>725</v>
      </c>
      <c r="C254" t="s">
        <v>726</v>
      </c>
      <c r="D254" s="3" t="s">
        <v>723</v>
      </c>
      <c r="E254" s="3" t="s">
        <v>727</v>
      </c>
      <c r="F254">
        <v>1</v>
      </c>
      <c r="G254" t="s">
        <v>420</v>
      </c>
      <c r="H254" t="s">
        <v>419</v>
      </c>
      <c r="I254" t="s">
        <v>726</v>
      </c>
      <c r="K254" t="s">
        <v>99</v>
      </c>
      <c r="L254" t="s">
        <v>423</v>
      </c>
      <c r="M254" t="s">
        <v>419</v>
      </c>
      <c r="N254" t="s">
        <v>5</v>
      </c>
      <c r="P254" t="s">
        <v>946</v>
      </c>
      <c r="Q254">
        <f>ROW(Guide[[#This Row],[Row]])</f>
        <v>254</v>
      </c>
      <c r="R254" cm="1">
        <f t="array" ref="R254">_xlfn.XLOOKUP(
Guide[[#This Row],[Dataset]]&amp;Guide[[#This Row],[Category_1]]&amp;Guide[[#This Row],[Category_2]]&amp;Guide[[#This Row],[Dim_Group]],_xlfn.ANCHORARRAY( Sheet1!$N$2),_xlfn.CHOOSECOLS(_xlfn.ANCHORARRAY(Sheet1!$I$2),5),0)</f>
        <v>254</v>
      </c>
    </row>
    <row r="255" spans="1:18" hidden="1" x14ac:dyDescent="0.3">
      <c r="A255" t="s">
        <v>720</v>
      </c>
      <c r="B255" t="s">
        <v>728</v>
      </c>
      <c r="C255" t="s">
        <v>729</v>
      </c>
      <c r="D255" s="3" t="s">
        <v>730</v>
      </c>
      <c r="E255" s="3" t="s">
        <v>724</v>
      </c>
      <c r="F255">
        <v>1</v>
      </c>
      <c r="G255" t="s">
        <v>423</v>
      </c>
      <c r="H255" t="s">
        <v>419</v>
      </c>
      <c r="I255" t="s">
        <v>729</v>
      </c>
      <c r="K255" t="s">
        <v>99</v>
      </c>
      <c r="L255" t="s">
        <v>423</v>
      </c>
      <c r="M255" t="s">
        <v>419</v>
      </c>
      <c r="N255" t="s">
        <v>5</v>
      </c>
      <c r="P255" t="s">
        <v>946</v>
      </c>
      <c r="Q255">
        <f>ROW(Guide[[#This Row],[Row]])</f>
        <v>255</v>
      </c>
      <c r="R255" cm="1">
        <f t="array" ref="R255">_xlfn.XLOOKUP(
Guide[[#This Row],[Dataset]]&amp;Guide[[#This Row],[Category_1]]&amp;Guide[[#This Row],[Category_2]]&amp;Guide[[#This Row],[Dim_Group]],_xlfn.ANCHORARRAY( Sheet1!$N$2),_xlfn.CHOOSECOLS(_xlfn.ANCHORARRAY(Sheet1!$I$2),5),0)</f>
        <v>255</v>
      </c>
    </row>
    <row r="256" spans="1:18" hidden="1" x14ac:dyDescent="0.3">
      <c r="A256" t="s">
        <v>720</v>
      </c>
      <c r="B256" t="s">
        <v>731</v>
      </c>
      <c r="C256" t="s">
        <v>732</v>
      </c>
      <c r="D256" s="3" t="s">
        <v>730</v>
      </c>
      <c r="E256" s="3" t="s">
        <v>727</v>
      </c>
      <c r="F256">
        <v>1</v>
      </c>
      <c r="G256" t="s">
        <v>423</v>
      </c>
      <c r="H256" t="s">
        <v>419</v>
      </c>
      <c r="I256" t="s">
        <v>732</v>
      </c>
      <c r="K256" t="s">
        <v>99</v>
      </c>
      <c r="L256" t="s">
        <v>423</v>
      </c>
      <c r="M256" t="s">
        <v>419</v>
      </c>
      <c r="N256" t="s">
        <v>5</v>
      </c>
      <c r="P256" t="s">
        <v>946</v>
      </c>
      <c r="Q256">
        <f>ROW(Guide[[#This Row],[Row]])</f>
        <v>256</v>
      </c>
      <c r="R256" cm="1">
        <f t="array" ref="R256">_xlfn.XLOOKUP(
Guide[[#This Row],[Dataset]]&amp;Guide[[#This Row],[Category_1]]&amp;Guide[[#This Row],[Category_2]]&amp;Guide[[#This Row],[Dim_Group]],_xlfn.ANCHORARRAY( Sheet1!$N$2),_xlfn.CHOOSECOLS(_xlfn.ANCHORARRAY(Sheet1!$I$2),5),0)</f>
        <v>256</v>
      </c>
    </row>
    <row r="257" spans="1:18" hidden="1" x14ac:dyDescent="0.3">
      <c r="A257" t="s">
        <v>720</v>
      </c>
      <c r="B257" t="s">
        <v>733</v>
      </c>
      <c r="C257" t="s">
        <v>734</v>
      </c>
      <c r="D257" s="3" t="s">
        <v>735</v>
      </c>
      <c r="E257" s="3" t="s">
        <v>724</v>
      </c>
      <c r="F257">
        <v>1</v>
      </c>
      <c r="G257" t="s">
        <v>426</v>
      </c>
      <c r="H257" t="s">
        <v>19</v>
      </c>
      <c r="I257" t="s">
        <v>734</v>
      </c>
      <c r="K257" t="s">
        <v>99</v>
      </c>
      <c r="L257" t="s">
        <v>19</v>
      </c>
      <c r="M257" t="s">
        <v>19</v>
      </c>
      <c r="N257" t="s">
        <v>194</v>
      </c>
      <c r="P257" t="s">
        <v>946</v>
      </c>
      <c r="Q257">
        <f>ROW(Guide[[#This Row],[Row]])</f>
        <v>257</v>
      </c>
      <c r="R257" cm="1">
        <f t="array" ref="R257">_xlfn.XLOOKUP(
Guide[[#This Row],[Dataset]]&amp;Guide[[#This Row],[Category_1]]&amp;Guide[[#This Row],[Category_2]]&amp;Guide[[#This Row],[Dim_Group]],_xlfn.ANCHORARRAY( Sheet1!$N$2),_xlfn.CHOOSECOLS(_xlfn.ANCHORARRAY(Sheet1!$I$2),5),0)</f>
        <v>257</v>
      </c>
    </row>
    <row r="258" spans="1:18" hidden="1" x14ac:dyDescent="0.3">
      <c r="A258" t="s">
        <v>720</v>
      </c>
      <c r="B258" t="s">
        <v>736</v>
      </c>
      <c r="C258" t="s">
        <v>737</v>
      </c>
      <c r="D258" s="3" t="s">
        <v>735</v>
      </c>
      <c r="E258" s="3" t="s">
        <v>727</v>
      </c>
      <c r="F258">
        <v>1</v>
      </c>
      <c r="G258" t="s">
        <v>426</v>
      </c>
      <c r="H258" t="s">
        <v>19</v>
      </c>
      <c r="I258" t="s">
        <v>737</v>
      </c>
      <c r="K258" t="s">
        <v>99</v>
      </c>
      <c r="L258" t="s">
        <v>19</v>
      </c>
      <c r="M258" t="s">
        <v>19</v>
      </c>
      <c r="N258" t="s">
        <v>194</v>
      </c>
      <c r="P258" t="s">
        <v>946</v>
      </c>
      <c r="Q258">
        <f>ROW(Guide[[#This Row],[Row]])</f>
        <v>258</v>
      </c>
      <c r="R258" cm="1">
        <f t="array" ref="R258">_xlfn.XLOOKUP(
Guide[[#This Row],[Dataset]]&amp;Guide[[#This Row],[Category_1]]&amp;Guide[[#This Row],[Category_2]]&amp;Guide[[#This Row],[Dim_Group]],_xlfn.ANCHORARRAY( Sheet1!$N$2),_xlfn.CHOOSECOLS(_xlfn.ANCHORARRAY(Sheet1!$I$2),5),0)</f>
        <v>258</v>
      </c>
    </row>
    <row r="259" spans="1:18" hidden="1" x14ac:dyDescent="0.3">
      <c r="A259" t="s">
        <v>720</v>
      </c>
      <c r="B259" t="s">
        <v>738</v>
      </c>
      <c r="C259" t="s">
        <v>739</v>
      </c>
      <c r="D259" s="3" t="s">
        <v>740</v>
      </c>
      <c r="E259" s="3" t="s">
        <v>724</v>
      </c>
      <c r="F259">
        <v>1</v>
      </c>
      <c r="G259" t="s">
        <v>269</v>
      </c>
      <c r="H259" t="s">
        <v>19</v>
      </c>
      <c r="I259" t="s">
        <v>739</v>
      </c>
      <c r="K259" t="s">
        <v>99</v>
      </c>
      <c r="L259" t="s">
        <v>19</v>
      </c>
      <c r="M259" t="s">
        <v>19</v>
      </c>
      <c r="N259" t="s">
        <v>194</v>
      </c>
      <c r="P259" t="s">
        <v>946</v>
      </c>
      <c r="Q259">
        <f>ROW(Guide[[#This Row],[Row]])</f>
        <v>259</v>
      </c>
      <c r="R259" cm="1">
        <f t="array" ref="R259">_xlfn.XLOOKUP(
Guide[[#This Row],[Dataset]]&amp;Guide[[#This Row],[Category_1]]&amp;Guide[[#This Row],[Category_2]]&amp;Guide[[#This Row],[Dim_Group]],_xlfn.ANCHORARRAY( Sheet1!$N$2),_xlfn.CHOOSECOLS(_xlfn.ANCHORARRAY(Sheet1!$I$2),5),0)</f>
        <v>259</v>
      </c>
    </row>
    <row r="260" spans="1:18" hidden="1" x14ac:dyDescent="0.3">
      <c r="A260" t="s">
        <v>720</v>
      </c>
      <c r="B260" t="s">
        <v>741</v>
      </c>
      <c r="C260" t="s">
        <v>742</v>
      </c>
      <c r="D260" s="3" t="s">
        <v>740</v>
      </c>
      <c r="E260" s="3" t="s">
        <v>727</v>
      </c>
      <c r="F260">
        <v>1</v>
      </c>
      <c r="G260" t="s">
        <v>269</v>
      </c>
      <c r="H260" t="s">
        <v>19</v>
      </c>
      <c r="I260" t="s">
        <v>742</v>
      </c>
      <c r="K260" t="s">
        <v>99</v>
      </c>
      <c r="L260" t="s">
        <v>19</v>
      </c>
      <c r="M260" t="s">
        <v>19</v>
      </c>
      <c r="N260" t="s">
        <v>194</v>
      </c>
      <c r="P260" t="s">
        <v>946</v>
      </c>
      <c r="Q260">
        <f>ROW(Guide[[#This Row],[Row]])</f>
        <v>260</v>
      </c>
      <c r="R260" cm="1">
        <f t="array" ref="R260">_xlfn.XLOOKUP(
Guide[[#This Row],[Dataset]]&amp;Guide[[#This Row],[Category_1]]&amp;Guide[[#This Row],[Category_2]]&amp;Guide[[#This Row],[Dim_Group]],_xlfn.ANCHORARRAY( Sheet1!$N$2),_xlfn.CHOOSECOLS(_xlfn.ANCHORARRAY(Sheet1!$I$2),5),0)</f>
        <v>260</v>
      </c>
    </row>
    <row r="261" spans="1:18" hidden="1" x14ac:dyDescent="0.3">
      <c r="A261" t="s">
        <v>720</v>
      </c>
      <c r="B261" t="s">
        <v>743</v>
      </c>
      <c r="C261" t="s">
        <v>744</v>
      </c>
      <c r="D261" s="3" t="s">
        <v>745</v>
      </c>
      <c r="E261" s="3" t="s">
        <v>724</v>
      </c>
      <c r="F261">
        <v>1</v>
      </c>
      <c r="G261" t="s">
        <v>105</v>
      </c>
      <c r="H261" t="s">
        <v>193</v>
      </c>
      <c r="I261" t="s">
        <v>744</v>
      </c>
      <c r="K261" t="s">
        <v>99</v>
      </c>
      <c r="L261" t="s">
        <v>105</v>
      </c>
      <c r="M261" t="s">
        <v>193</v>
      </c>
      <c r="N261" t="s">
        <v>5</v>
      </c>
      <c r="P261" t="s">
        <v>946</v>
      </c>
      <c r="Q261">
        <f>ROW(Guide[[#This Row],[Row]])</f>
        <v>261</v>
      </c>
      <c r="R261" cm="1">
        <f t="array" ref="R261">_xlfn.XLOOKUP(
Guide[[#This Row],[Dataset]]&amp;Guide[[#This Row],[Category_1]]&amp;Guide[[#This Row],[Category_2]]&amp;Guide[[#This Row],[Dim_Group]],_xlfn.ANCHORARRAY( Sheet1!$N$2),_xlfn.CHOOSECOLS(_xlfn.ANCHORARRAY(Sheet1!$I$2),5),0)</f>
        <v>261</v>
      </c>
    </row>
    <row r="262" spans="1:18" hidden="1" x14ac:dyDescent="0.3">
      <c r="A262" t="s">
        <v>720</v>
      </c>
      <c r="B262" t="s">
        <v>746</v>
      </c>
      <c r="C262" t="s">
        <v>747</v>
      </c>
      <c r="D262" s="3" t="s">
        <v>745</v>
      </c>
      <c r="E262" s="3" t="s">
        <v>727</v>
      </c>
      <c r="F262">
        <v>1</v>
      </c>
      <c r="G262" t="s">
        <v>105</v>
      </c>
      <c r="H262" t="s">
        <v>193</v>
      </c>
      <c r="I262" t="s">
        <v>747</v>
      </c>
      <c r="K262" t="s">
        <v>99</v>
      </c>
      <c r="L262" t="s">
        <v>105</v>
      </c>
      <c r="M262" t="s">
        <v>193</v>
      </c>
      <c r="N262" t="s">
        <v>5</v>
      </c>
      <c r="P262" t="s">
        <v>946</v>
      </c>
      <c r="Q262">
        <f>ROW(Guide[[#This Row],[Row]])</f>
        <v>262</v>
      </c>
      <c r="R262" cm="1">
        <f t="array" ref="R262">_xlfn.XLOOKUP(
Guide[[#This Row],[Dataset]]&amp;Guide[[#This Row],[Category_1]]&amp;Guide[[#This Row],[Category_2]]&amp;Guide[[#This Row],[Dim_Group]],_xlfn.ANCHORARRAY( Sheet1!$N$2),_xlfn.CHOOSECOLS(_xlfn.ANCHORARRAY(Sheet1!$I$2),5),0)</f>
        <v>262</v>
      </c>
    </row>
    <row r="263" spans="1:18" hidden="1" x14ac:dyDescent="0.3">
      <c r="A263" t="s">
        <v>720</v>
      </c>
      <c r="B263" t="s">
        <v>748</v>
      </c>
      <c r="C263" t="s">
        <v>749</v>
      </c>
      <c r="D263" s="3" t="s">
        <v>750</v>
      </c>
      <c r="E263" s="3" t="s">
        <v>724</v>
      </c>
      <c r="F263">
        <v>1</v>
      </c>
      <c r="G263" t="s">
        <v>267</v>
      </c>
      <c r="H263" t="s">
        <v>19</v>
      </c>
      <c r="I263" t="s">
        <v>749</v>
      </c>
      <c r="K263" t="s">
        <v>99</v>
      </c>
      <c r="L263" t="s">
        <v>19</v>
      </c>
      <c r="M263" t="s">
        <v>19</v>
      </c>
      <c r="N263" t="s">
        <v>194</v>
      </c>
      <c r="P263" t="s">
        <v>946</v>
      </c>
      <c r="Q263">
        <f>ROW(Guide[[#This Row],[Row]])</f>
        <v>263</v>
      </c>
      <c r="R263" cm="1">
        <f t="array" ref="R263">_xlfn.XLOOKUP(
Guide[[#This Row],[Dataset]]&amp;Guide[[#This Row],[Category_1]]&amp;Guide[[#This Row],[Category_2]]&amp;Guide[[#This Row],[Dim_Group]],_xlfn.ANCHORARRAY( Sheet1!$N$2),_xlfn.CHOOSECOLS(_xlfn.ANCHORARRAY(Sheet1!$I$2),5),0)</f>
        <v>263</v>
      </c>
    </row>
    <row r="264" spans="1:18" hidden="1" x14ac:dyDescent="0.3">
      <c r="A264" t="s">
        <v>720</v>
      </c>
      <c r="B264" t="s">
        <v>751</v>
      </c>
      <c r="C264" t="s">
        <v>752</v>
      </c>
      <c r="D264" s="3" t="s">
        <v>750</v>
      </c>
      <c r="E264" s="3" t="s">
        <v>727</v>
      </c>
      <c r="F264">
        <v>1</v>
      </c>
      <c r="G264" t="s">
        <v>267</v>
      </c>
      <c r="H264" t="s">
        <v>19</v>
      </c>
      <c r="I264" t="s">
        <v>752</v>
      </c>
      <c r="K264" t="s">
        <v>99</v>
      </c>
      <c r="L264" t="s">
        <v>19</v>
      </c>
      <c r="M264" t="s">
        <v>19</v>
      </c>
      <c r="N264" t="s">
        <v>194</v>
      </c>
      <c r="P264" t="s">
        <v>946</v>
      </c>
      <c r="Q264">
        <f>ROW(Guide[[#This Row],[Row]])</f>
        <v>264</v>
      </c>
      <c r="R264" cm="1">
        <f t="array" ref="R264">_xlfn.XLOOKUP(
Guide[[#This Row],[Dataset]]&amp;Guide[[#This Row],[Category_1]]&amp;Guide[[#This Row],[Category_2]]&amp;Guide[[#This Row],[Dim_Group]],_xlfn.ANCHORARRAY( Sheet1!$N$2),_xlfn.CHOOSECOLS(_xlfn.ANCHORARRAY(Sheet1!$I$2),5),0)</f>
        <v>264</v>
      </c>
    </row>
    <row r="265" spans="1:18" hidden="1" x14ac:dyDescent="0.3">
      <c r="A265" t="s">
        <v>720</v>
      </c>
      <c r="B265" t="s">
        <v>753</v>
      </c>
      <c r="C265" t="s">
        <v>754</v>
      </c>
      <c r="D265" s="3" t="s">
        <v>755</v>
      </c>
      <c r="E265" s="3" t="s">
        <v>724</v>
      </c>
      <c r="F265">
        <v>1</v>
      </c>
      <c r="G265" t="s">
        <v>269</v>
      </c>
      <c r="H265" t="s">
        <v>19</v>
      </c>
      <c r="I265" t="s">
        <v>754</v>
      </c>
      <c r="K265" t="s">
        <v>99</v>
      </c>
      <c r="L265" t="s">
        <v>19</v>
      </c>
      <c r="M265" t="s">
        <v>19</v>
      </c>
      <c r="N265" t="s">
        <v>194</v>
      </c>
      <c r="P265" t="s">
        <v>946</v>
      </c>
      <c r="Q265">
        <f>ROW(Guide[[#This Row],[Row]])</f>
        <v>265</v>
      </c>
      <c r="R265" cm="1">
        <f t="array" ref="R265">_xlfn.XLOOKUP(
Guide[[#This Row],[Dataset]]&amp;Guide[[#This Row],[Category_1]]&amp;Guide[[#This Row],[Category_2]]&amp;Guide[[#This Row],[Dim_Group]],_xlfn.ANCHORARRAY( Sheet1!$N$2),_xlfn.CHOOSECOLS(_xlfn.ANCHORARRAY(Sheet1!$I$2),5),0)</f>
        <v>265</v>
      </c>
    </row>
    <row r="266" spans="1:18" hidden="1" x14ac:dyDescent="0.3">
      <c r="A266" t="s">
        <v>720</v>
      </c>
      <c r="B266" t="s">
        <v>756</v>
      </c>
      <c r="C266" t="s">
        <v>757</v>
      </c>
      <c r="D266" s="3" t="s">
        <v>755</v>
      </c>
      <c r="E266" s="3" t="s">
        <v>727</v>
      </c>
      <c r="F266">
        <v>1</v>
      </c>
      <c r="G266" t="s">
        <v>269</v>
      </c>
      <c r="H266" t="s">
        <v>19</v>
      </c>
      <c r="I266" t="s">
        <v>757</v>
      </c>
      <c r="K266" t="s">
        <v>99</v>
      </c>
      <c r="L266" t="s">
        <v>19</v>
      </c>
      <c r="M266" t="s">
        <v>19</v>
      </c>
      <c r="N266" t="s">
        <v>194</v>
      </c>
      <c r="P266" t="s">
        <v>946</v>
      </c>
      <c r="Q266">
        <f>ROW(Guide[[#This Row],[Row]])</f>
        <v>266</v>
      </c>
      <c r="R266" cm="1">
        <f t="array" ref="R266">_xlfn.XLOOKUP(
Guide[[#This Row],[Dataset]]&amp;Guide[[#This Row],[Category_1]]&amp;Guide[[#This Row],[Category_2]]&amp;Guide[[#This Row],[Dim_Group]],_xlfn.ANCHORARRAY( Sheet1!$N$2),_xlfn.CHOOSECOLS(_xlfn.ANCHORARRAY(Sheet1!$I$2),5),0)</f>
        <v>266</v>
      </c>
    </row>
    <row r="267" spans="1:18" hidden="1" x14ac:dyDescent="0.3">
      <c r="A267" t="s">
        <v>720</v>
      </c>
      <c r="B267" t="s">
        <v>758</v>
      </c>
      <c r="C267" t="s">
        <v>759</v>
      </c>
      <c r="D267" s="3" t="s">
        <v>760</v>
      </c>
      <c r="E267" s="3" t="s">
        <v>724</v>
      </c>
      <c r="F267">
        <v>1</v>
      </c>
      <c r="G267" t="s">
        <v>105</v>
      </c>
      <c r="H267" t="s">
        <v>193</v>
      </c>
      <c r="I267" t="s">
        <v>759</v>
      </c>
      <c r="K267" t="s">
        <v>99</v>
      </c>
      <c r="L267" t="s">
        <v>105</v>
      </c>
      <c r="M267" t="s">
        <v>193</v>
      </c>
      <c r="N267" t="s">
        <v>5</v>
      </c>
      <c r="P267" t="s">
        <v>946</v>
      </c>
      <c r="Q267">
        <f>ROW(Guide[[#This Row],[Row]])</f>
        <v>267</v>
      </c>
      <c r="R267" cm="1">
        <f t="array" ref="R267">_xlfn.XLOOKUP(
Guide[[#This Row],[Dataset]]&amp;Guide[[#This Row],[Category_1]]&amp;Guide[[#This Row],[Category_2]]&amp;Guide[[#This Row],[Dim_Group]],_xlfn.ANCHORARRAY( Sheet1!$N$2),_xlfn.CHOOSECOLS(_xlfn.ANCHORARRAY(Sheet1!$I$2),5),0)</f>
        <v>267</v>
      </c>
    </row>
    <row r="268" spans="1:18" hidden="1" x14ac:dyDescent="0.3">
      <c r="A268" t="s">
        <v>720</v>
      </c>
      <c r="B268" t="s">
        <v>761</v>
      </c>
      <c r="C268" t="s">
        <v>762</v>
      </c>
      <c r="D268" s="3" t="s">
        <v>760</v>
      </c>
      <c r="E268" s="3" t="s">
        <v>727</v>
      </c>
      <c r="F268">
        <v>1</v>
      </c>
      <c r="G268" t="s">
        <v>105</v>
      </c>
      <c r="H268" t="s">
        <v>193</v>
      </c>
      <c r="I268" t="s">
        <v>762</v>
      </c>
      <c r="K268" t="s">
        <v>99</v>
      </c>
      <c r="L268" t="s">
        <v>105</v>
      </c>
      <c r="M268" t="s">
        <v>193</v>
      </c>
      <c r="N268" t="s">
        <v>5</v>
      </c>
      <c r="P268" t="s">
        <v>946</v>
      </c>
      <c r="Q268">
        <f>ROW(Guide[[#This Row],[Row]])</f>
        <v>268</v>
      </c>
      <c r="R268" cm="1">
        <f t="array" ref="R268">_xlfn.XLOOKUP(
Guide[[#This Row],[Dataset]]&amp;Guide[[#This Row],[Category_1]]&amp;Guide[[#This Row],[Category_2]]&amp;Guide[[#This Row],[Dim_Group]],_xlfn.ANCHORARRAY( Sheet1!$N$2),_xlfn.CHOOSECOLS(_xlfn.ANCHORARRAY(Sheet1!$I$2),5),0)</f>
        <v>268</v>
      </c>
    </row>
    <row r="269" spans="1:18" hidden="1" x14ac:dyDescent="0.3">
      <c r="A269" t="s">
        <v>720</v>
      </c>
      <c r="B269" t="s">
        <v>763</v>
      </c>
      <c r="C269" t="s">
        <v>764</v>
      </c>
      <c r="D269" s="3" t="s">
        <v>765</v>
      </c>
      <c r="E269" s="3" t="s">
        <v>724</v>
      </c>
      <c r="F269">
        <v>1</v>
      </c>
      <c r="G269" t="s">
        <v>426</v>
      </c>
      <c r="H269" t="s">
        <v>19</v>
      </c>
      <c r="I269" t="s">
        <v>764</v>
      </c>
      <c r="K269" t="s">
        <v>99</v>
      </c>
      <c r="L269" t="s">
        <v>19</v>
      </c>
      <c r="M269" t="s">
        <v>19</v>
      </c>
      <c r="N269" t="s">
        <v>194</v>
      </c>
      <c r="P269" t="s">
        <v>946</v>
      </c>
      <c r="Q269">
        <f>ROW(Guide[[#This Row],[Row]])</f>
        <v>269</v>
      </c>
      <c r="R269" cm="1">
        <f t="array" ref="R269">_xlfn.XLOOKUP(
Guide[[#This Row],[Dataset]]&amp;Guide[[#This Row],[Category_1]]&amp;Guide[[#This Row],[Category_2]]&amp;Guide[[#This Row],[Dim_Group]],_xlfn.ANCHORARRAY( Sheet1!$N$2),_xlfn.CHOOSECOLS(_xlfn.ANCHORARRAY(Sheet1!$I$2),5),0)</f>
        <v>269</v>
      </c>
    </row>
    <row r="270" spans="1:18" hidden="1" x14ac:dyDescent="0.3">
      <c r="A270" t="s">
        <v>720</v>
      </c>
      <c r="B270" t="s">
        <v>766</v>
      </c>
      <c r="C270" t="s">
        <v>767</v>
      </c>
      <c r="D270" s="3" t="s">
        <v>765</v>
      </c>
      <c r="E270" s="3" t="s">
        <v>727</v>
      </c>
      <c r="F270">
        <v>1</v>
      </c>
      <c r="G270" t="s">
        <v>426</v>
      </c>
      <c r="H270" t="s">
        <v>19</v>
      </c>
      <c r="I270" t="s">
        <v>767</v>
      </c>
      <c r="K270" t="s">
        <v>99</v>
      </c>
      <c r="L270" t="s">
        <v>19</v>
      </c>
      <c r="M270" t="s">
        <v>19</v>
      </c>
      <c r="N270" t="s">
        <v>194</v>
      </c>
      <c r="P270" t="s">
        <v>946</v>
      </c>
      <c r="Q270">
        <f>ROW(Guide[[#This Row],[Row]])</f>
        <v>270</v>
      </c>
      <c r="R270" cm="1">
        <f t="array" ref="R270">_xlfn.XLOOKUP(
Guide[[#This Row],[Dataset]]&amp;Guide[[#This Row],[Category_1]]&amp;Guide[[#This Row],[Category_2]]&amp;Guide[[#This Row],[Dim_Group]],_xlfn.ANCHORARRAY( Sheet1!$N$2),_xlfn.CHOOSECOLS(_xlfn.ANCHORARRAY(Sheet1!$I$2),5),0)</f>
        <v>270</v>
      </c>
    </row>
    <row r="271" spans="1:18" hidden="1" x14ac:dyDescent="0.3">
      <c r="A271" t="s">
        <v>720</v>
      </c>
      <c r="B271" t="s">
        <v>768</v>
      </c>
      <c r="C271" t="s">
        <v>769</v>
      </c>
      <c r="D271" s="3" t="s">
        <v>770</v>
      </c>
      <c r="E271" s="3" t="s">
        <v>724</v>
      </c>
      <c r="F271">
        <v>1</v>
      </c>
      <c r="G271" t="s">
        <v>269</v>
      </c>
      <c r="H271" t="s">
        <v>19</v>
      </c>
      <c r="I271" t="s">
        <v>769</v>
      </c>
      <c r="K271" t="s">
        <v>99</v>
      </c>
      <c r="L271" t="s">
        <v>19</v>
      </c>
      <c r="M271" t="s">
        <v>19</v>
      </c>
      <c r="N271" t="s">
        <v>194</v>
      </c>
      <c r="P271" t="s">
        <v>946</v>
      </c>
      <c r="Q271">
        <f>ROW(Guide[[#This Row],[Row]])</f>
        <v>271</v>
      </c>
      <c r="R271" cm="1">
        <f t="array" ref="R271">_xlfn.XLOOKUP(
Guide[[#This Row],[Dataset]]&amp;Guide[[#This Row],[Category_1]]&amp;Guide[[#This Row],[Category_2]]&amp;Guide[[#This Row],[Dim_Group]],_xlfn.ANCHORARRAY( Sheet1!$N$2),_xlfn.CHOOSECOLS(_xlfn.ANCHORARRAY(Sheet1!$I$2),5),0)</f>
        <v>271</v>
      </c>
    </row>
    <row r="272" spans="1:18" hidden="1" x14ac:dyDescent="0.3">
      <c r="A272" t="s">
        <v>720</v>
      </c>
      <c r="B272" t="s">
        <v>771</v>
      </c>
      <c r="C272" t="s">
        <v>772</v>
      </c>
      <c r="D272" s="3" t="s">
        <v>770</v>
      </c>
      <c r="E272" s="3" t="s">
        <v>727</v>
      </c>
      <c r="F272">
        <v>1</v>
      </c>
      <c r="G272" t="s">
        <v>269</v>
      </c>
      <c r="H272" t="s">
        <v>19</v>
      </c>
      <c r="I272" t="s">
        <v>772</v>
      </c>
      <c r="K272" t="s">
        <v>99</v>
      </c>
      <c r="L272" t="s">
        <v>19</v>
      </c>
      <c r="M272" t="s">
        <v>19</v>
      </c>
      <c r="N272" t="s">
        <v>194</v>
      </c>
      <c r="P272" t="s">
        <v>946</v>
      </c>
      <c r="Q272">
        <f>ROW(Guide[[#This Row],[Row]])</f>
        <v>272</v>
      </c>
      <c r="R272" cm="1">
        <f t="array" ref="R272">_xlfn.XLOOKUP(
Guide[[#This Row],[Dataset]]&amp;Guide[[#This Row],[Category_1]]&amp;Guide[[#This Row],[Category_2]]&amp;Guide[[#This Row],[Dim_Group]],_xlfn.ANCHORARRAY( Sheet1!$N$2),_xlfn.CHOOSECOLS(_xlfn.ANCHORARRAY(Sheet1!$I$2),5),0)</f>
        <v>272</v>
      </c>
    </row>
    <row r="273" spans="1:18" hidden="1" x14ac:dyDescent="0.3">
      <c r="A273" t="s">
        <v>720</v>
      </c>
      <c r="B273" t="s">
        <v>773</v>
      </c>
      <c r="C273" t="s">
        <v>774</v>
      </c>
      <c r="D273" s="3" t="s">
        <v>775</v>
      </c>
      <c r="E273" s="3" t="s">
        <v>724</v>
      </c>
      <c r="F273">
        <v>1</v>
      </c>
      <c r="G273" t="s">
        <v>776</v>
      </c>
      <c r="H273" t="s">
        <v>193</v>
      </c>
      <c r="I273" t="s">
        <v>774</v>
      </c>
      <c r="K273" t="s">
        <v>99</v>
      </c>
      <c r="L273" t="s">
        <v>105</v>
      </c>
      <c r="M273" t="s">
        <v>193</v>
      </c>
      <c r="N273" t="s">
        <v>5</v>
      </c>
      <c r="P273" t="s">
        <v>946</v>
      </c>
      <c r="Q273">
        <f>ROW(Guide[[#This Row],[Row]])</f>
        <v>273</v>
      </c>
      <c r="R273" cm="1">
        <f t="array" ref="R273">_xlfn.XLOOKUP(
Guide[[#This Row],[Dataset]]&amp;Guide[[#This Row],[Category_1]]&amp;Guide[[#This Row],[Category_2]]&amp;Guide[[#This Row],[Dim_Group]],_xlfn.ANCHORARRAY( Sheet1!$N$2),_xlfn.CHOOSECOLS(_xlfn.ANCHORARRAY(Sheet1!$I$2),5),0)</f>
        <v>273</v>
      </c>
    </row>
    <row r="274" spans="1:18" hidden="1" x14ac:dyDescent="0.3">
      <c r="A274" t="s">
        <v>720</v>
      </c>
      <c r="B274" t="s">
        <v>777</v>
      </c>
      <c r="C274" t="s">
        <v>778</v>
      </c>
      <c r="D274" s="3" t="s">
        <v>775</v>
      </c>
      <c r="E274" s="3" t="s">
        <v>727</v>
      </c>
      <c r="F274">
        <v>1</v>
      </c>
      <c r="G274" t="s">
        <v>776</v>
      </c>
      <c r="H274" t="s">
        <v>193</v>
      </c>
      <c r="I274" t="s">
        <v>778</v>
      </c>
      <c r="K274" t="s">
        <v>99</v>
      </c>
      <c r="L274" t="s">
        <v>105</v>
      </c>
      <c r="M274" t="s">
        <v>193</v>
      </c>
      <c r="N274" t="s">
        <v>5</v>
      </c>
      <c r="P274" t="s">
        <v>946</v>
      </c>
      <c r="Q274">
        <f>ROW(Guide[[#This Row],[Row]])</f>
        <v>274</v>
      </c>
      <c r="R274" cm="1">
        <f t="array" ref="R274">_xlfn.XLOOKUP(
Guide[[#This Row],[Dataset]]&amp;Guide[[#This Row],[Category_1]]&amp;Guide[[#This Row],[Category_2]]&amp;Guide[[#This Row],[Dim_Group]],_xlfn.ANCHORARRAY( Sheet1!$N$2),_xlfn.CHOOSECOLS(_xlfn.ANCHORARRAY(Sheet1!$I$2),5),0)</f>
        <v>274</v>
      </c>
    </row>
    <row r="275" spans="1:18" hidden="1" x14ac:dyDescent="0.3">
      <c r="A275" t="s">
        <v>779</v>
      </c>
      <c r="B275" t="s">
        <v>780</v>
      </c>
      <c r="C275" t="s">
        <v>781</v>
      </c>
      <c r="D275" s="3" t="s">
        <v>782</v>
      </c>
      <c r="E275" s="3" t="s">
        <v>783</v>
      </c>
      <c r="F275">
        <v>1</v>
      </c>
      <c r="G275" t="s">
        <v>337</v>
      </c>
      <c r="H275" t="s">
        <v>19</v>
      </c>
      <c r="I275" t="s">
        <v>781</v>
      </c>
      <c r="K275" t="s">
        <v>99</v>
      </c>
      <c r="L275" t="s">
        <v>20</v>
      </c>
      <c r="M275" t="s">
        <v>19</v>
      </c>
      <c r="N275" t="s">
        <v>194</v>
      </c>
      <c r="P275" t="s">
        <v>946</v>
      </c>
      <c r="Q275">
        <f>ROW(Guide[[#This Row],[Row]])</f>
        <v>275</v>
      </c>
      <c r="R275" cm="1">
        <f t="array" ref="R275">_xlfn.XLOOKUP(
Guide[[#This Row],[Dataset]]&amp;Guide[[#This Row],[Category_1]]&amp;Guide[[#This Row],[Category_2]]&amp;Guide[[#This Row],[Dim_Group]],_xlfn.ANCHORARRAY( Sheet1!$N$2),_xlfn.CHOOSECOLS(_xlfn.ANCHORARRAY(Sheet1!$I$2),5),0)</f>
        <v>275</v>
      </c>
    </row>
    <row r="276" spans="1:18" hidden="1" x14ac:dyDescent="0.3">
      <c r="A276" t="s">
        <v>779</v>
      </c>
      <c r="B276" t="s">
        <v>784</v>
      </c>
      <c r="C276" t="s">
        <v>785</v>
      </c>
      <c r="D276" s="3" t="s">
        <v>786</v>
      </c>
      <c r="E276" s="3" t="s">
        <v>62</v>
      </c>
      <c r="F276">
        <v>1</v>
      </c>
      <c r="G276" t="s">
        <v>337</v>
      </c>
      <c r="H276" t="s">
        <v>19</v>
      </c>
      <c r="I276" t="s">
        <v>785</v>
      </c>
      <c r="K276" t="s">
        <v>99</v>
      </c>
      <c r="L276" t="s">
        <v>20</v>
      </c>
      <c r="M276" t="s">
        <v>19</v>
      </c>
      <c r="N276" t="s">
        <v>194</v>
      </c>
      <c r="P276" t="s">
        <v>946</v>
      </c>
      <c r="Q276">
        <f>ROW(Guide[[#This Row],[Row]])</f>
        <v>276</v>
      </c>
      <c r="R276" cm="1">
        <f t="array" ref="R276">_xlfn.XLOOKUP(
Guide[[#This Row],[Dataset]]&amp;Guide[[#This Row],[Category_1]]&amp;Guide[[#This Row],[Category_2]]&amp;Guide[[#This Row],[Dim_Group]],_xlfn.ANCHORARRAY( Sheet1!$N$2),_xlfn.CHOOSECOLS(_xlfn.ANCHORARRAY(Sheet1!$I$2),5),0)</f>
        <v>276</v>
      </c>
    </row>
    <row r="277" spans="1:18" hidden="1" x14ac:dyDescent="0.3">
      <c r="A277" t="s">
        <v>779</v>
      </c>
      <c r="B277" t="s">
        <v>787</v>
      </c>
      <c r="C277" t="s">
        <v>788</v>
      </c>
      <c r="D277" s="3" t="s">
        <v>789</v>
      </c>
      <c r="E277" s="3" t="s">
        <v>789</v>
      </c>
      <c r="F277">
        <v>1</v>
      </c>
      <c r="G277" t="s">
        <v>790</v>
      </c>
      <c r="H277" t="s">
        <v>791</v>
      </c>
      <c r="I277" t="s">
        <v>788</v>
      </c>
      <c r="K277" t="s">
        <v>99</v>
      </c>
      <c r="L277" t="s">
        <v>792</v>
      </c>
      <c r="M277" t="s">
        <v>791</v>
      </c>
      <c r="N277" t="s">
        <v>5</v>
      </c>
      <c r="P277" t="s">
        <v>946</v>
      </c>
      <c r="Q277">
        <f>ROW(Guide[[#This Row],[Row]])</f>
        <v>277</v>
      </c>
      <c r="R277" cm="1">
        <f t="array" ref="R277">_xlfn.XLOOKUP(
Guide[[#This Row],[Dataset]]&amp;Guide[[#This Row],[Category_1]]&amp;Guide[[#This Row],[Category_2]]&amp;Guide[[#This Row],[Dim_Group]],_xlfn.ANCHORARRAY( Sheet1!$N$2),_xlfn.CHOOSECOLS(_xlfn.ANCHORARRAY(Sheet1!$I$2),5),0)</f>
        <v>277</v>
      </c>
    </row>
    <row r="278" spans="1:18" hidden="1" x14ac:dyDescent="0.3">
      <c r="A278" t="s">
        <v>779</v>
      </c>
      <c r="B278" t="s">
        <v>793</v>
      </c>
      <c r="C278" t="s">
        <v>794</v>
      </c>
      <c r="D278" s="3" t="s">
        <v>795</v>
      </c>
      <c r="E278" s="3" t="s">
        <v>795</v>
      </c>
      <c r="F278">
        <v>1</v>
      </c>
      <c r="G278" t="s">
        <v>790</v>
      </c>
      <c r="H278" t="s">
        <v>791</v>
      </c>
      <c r="I278" t="s">
        <v>794</v>
      </c>
      <c r="K278" t="s">
        <v>99</v>
      </c>
      <c r="L278" t="s">
        <v>792</v>
      </c>
      <c r="M278" t="s">
        <v>791</v>
      </c>
      <c r="N278" t="s">
        <v>5</v>
      </c>
      <c r="P278" t="s">
        <v>946</v>
      </c>
      <c r="Q278">
        <f>ROW(Guide[[#This Row],[Row]])</f>
        <v>278</v>
      </c>
      <c r="R278" cm="1">
        <f t="array" ref="R278">_xlfn.XLOOKUP(
Guide[[#This Row],[Dataset]]&amp;Guide[[#This Row],[Category_1]]&amp;Guide[[#This Row],[Category_2]]&amp;Guide[[#This Row],[Dim_Group]],_xlfn.ANCHORARRAY( Sheet1!$N$2),_xlfn.CHOOSECOLS(_xlfn.ANCHORARRAY(Sheet1!$I$2),5),0)</f>
        <v>278</v>
      </c>
    </row>
    <row r="279" spans="1:18" hidden="1" x14ac:dyDescent="0.3">
      <c r="A279" t="s">
        <v>779</v>
      </c>
      <c r="B279" t="s">
        <v>796</v>
      </c>
      <c r="C279" t="s">
        <v>797</v>
      </c>
      <c r="D279" s="3" t="s">
        <v>798</v>
      </c>
      <c r="E279" s="3" t="s">
        <v>799</v>
      </c>
      <c r="F279">
        <v>1</v>
      </c>
      <c r="G279" t="s">
        <v>105</v>
      </c>
      <c r="H279" t="s">
        <v>105</v>
      </c>
      <c r="I279" t="s">
        <v>797</v>
      </c>
      <c r="K279" t="s">
        <v>99</v>
      </c>
      <c r="L279" t="s">
        <v>105</v>
      </c>
      <c r="M279" t="s">
        <v>105</v>
      </c>
      <c r="N279" t="s">
        <v>5</v>
      </c>
      <c r="P279" t="s">
        <v>946</v>
      </c>
      <c r="Q279">
        <f>ROW(Guide[[#This Row],[Row]])</f>
        <v>279</v>
      </c>
      <c r="R279" cm="1">
        <f t="array" ref="R279">_xlfn.XLOOKUP(
Guide[[#This Row],[Dataset]]&amp;Guide[[#This Row],[Category_1]]&amp;Guide[[#This Row],[Category_2]]&amp;Guide[[#This Row],[Dim_Group]],_xlfn.ANCHORARRAY( Sheet1!$N$2),_xlfn.CHOOSECOLS(_xlfn.ANCHORARRAY(Sheet1!$I$2),5),0)</f>
        <v>279</v>
      </c>
    </row>
    <row r="280" spans="1:18" hidden="1" x14ac:dyDescent="0.3">
      <c r="A280" t="s">
        <v>779</v>
      </c>
      <c r="B280" t="s">
        <v>800</v>
      </c>
      <c r="C280" t="s">
        <v>801</v>
      </c>
      <c r="D280" s="3" t="s">
        <v>802</v>
      </c>
      <c r="E280" s="3" t="s">
        <v>799</v>
      </c>
      <c r="F280">
        <v>1</v>
      </c>
      <c r="G280" t="s">
        <v>269</v>
      </c>
      <c r="H280" t="s">
        <v>19</v>
      </c>
      <c r="I280" t="s">
        <v>801</v>
      </c>
      <c r="K280" t="s">
        <v>99</v>
      </c>
      <c r="L280" t="s">
        <v>19</v>
      </c>
      <c r="M280" t="s">
        <v>19</v>
      </c>
      <c r="N280" t="s">
        <v>194</v>
      </c>
      <c r="P280" t="s">
        <v>946</v>
      </c>
      <c r="Q280">
        <f>ROW(Guide[[#This Row],[Row]])</f>
        <v>280</v>
      </c>
      <c r="R280" cm="1">
        <f t="array" ref="R280">_xlfn.XLOOKUP(
Guide[[#This Row],[Dataset]]&amp;Guide[[#This Row],[Category_1]]&amp;Guide[[#This Row],[Category_2]]&amp;Guide[[#This Row],[Dim_Group]],_xlfn.ANCHORARRAY( Sheet1!$N$2),_xlfn.CHOOSECOLS(_xlfn.ANCHORARRAY(Sheet1!$I$2),5),0)</f>
        <v>280</v>
      </c>
    </row>
    <row r="281" spans="1:18" hidden="1" x14ac:dyDescent="0.3">
      <c r="A281" t="s">
        <v>779</v>
      </c>
      <c r="B281" t="s">
        <v>803</v>
      </c>
      <c r="C281" t="s">
        <v>804</v>
      </c>
      <c r="D281" s="3" t="s">
        <v>805</v>
      </c>
      <c r="E281" s="3" t="s">
        <v>789</v>
      </c>
      <c r="F281">
        <v>1</v>
      </c>
      <c r="G281" t="s">
        <v>269</v>
      </c>
      <c r="H281" t="s">
        <v>19</v>
      </c>
      <c r="I281" t="s">
        <v>804</v>
      </c>
      <c r="K281" t="s">
        <v>99</v>
      </c>
      <c r="L281" t="s">
        <v>19</v>
      </c>
      <c r="M281" t="s">
        <v>19</v>
      </c>
      <c r="N281" t="s">
        <v>194</v>
      </c>
      <c r="P281" t="s">
        <v>946</v>
      </c>
      <c r="Q281">
        <f>ROW(Guide[[#This Row],[Row]])</f>
        <v>281</v>
      </c>
      <c r="R281" cm="1">
        <f t="array" ref="R281">_xlfn.XLOOKUP(
Guide[[#This Row],[Dataset]]&amp;Guide[[#This Row],[Category_1]]&amp;Guide[[#This Row],[Category_2]]&amp;Guide[[#This Row],[Dim_Group]],_xlfn.ANCHORARRAY( Sheet1!$N$2),_xlfn.CHOOSECOLS(_xlfn.ANCHORARRAY(Sheet1!$I$2),5),0)</f>
        <v>281</v>
      </c>
    </row>
    <row r="282" spans="1:18" hidden="1" x14ac:dyDescent="0.3">
      <c r="A282" t="s">
        <v>779</v>
      </c>
      <c r="B282" t="s">
        <v>806</v>
      </c>
      <c r="C282" t="s">
        <v>807</v>
      </c>
      <c r="D282" s="3" t="s">
        <v>808</v>
      </c>
      <c r="E282" s="3" t="s">
        <v>795</v>
      </c>
      <c r="F282">
        <v>1</v>
      </c>
      <c r="G282" t="s">
        <v>269</v>
      </c>
      <c r="H282" t="s">
        <v>19</v>
      </c>
      <c r="I282" t="s">
        <v>807</v>
      </c>
      <c r="K282" t="s">
        <v>99</v>
      </c>
      <c r="L282" t="s">
        <v>20</v>
      </c>
      <c r="M282" t="s">
        <v>19</v>
      </c>
      <c r="N282" t="s">
        <v>194</v>
      </c>
      <c r="P282" t="s">
        <v>946</v>
      </c>
      <c r="Q282">
        <f>ROW(Guide[[#This Row],[Row]])</f>
        <v>282</v>
      </c>
      <c r="R282" cm="1">
        <f t="array" ref="R282">_xlfn.XLOOKUP(
Guide[[#This Row],[Dataset]]&amp;Guide[[#This Row],[Category_1]]&amp;Guide[[#This Row],[Category_2]]&amp;Guide[[#This Row],[Dim_Group]],_xlfn.ANCHORARRAY( Sheet1!$N$2),_xlfn.CHOOSECOLS(_xlfn.ANCHORARRAY(Sheet1!$I$2),5),0)</f>
        <v>282</v>
      </c>
    </row>
    <row r="283" spans="1:18" hidden="1" x14ac:dyDescent="0.3">
      <c r="A283" t="s">
        <v>779</v>
      </c>
      <c r="B283" t="s">
        <v>809</v>
      </c>
      <c r="C283" t="s">
        <v>810</v>
      </c>
      <c r="D283" s="3" t="s">
        <v>811</v>
      </c>
      <c r="E283" s="3" t="s">
        <v>812</v>
      </c>
      <c r="F283">
        <v>1</v>
      </c>
      <c r="G283" t="s">
        <v>811</v>
      </c>
      <c r="H283" t="s">
        <v>19</v>
      </c>
      <c r="I283" t="s">
        <v>810</v>
      </c>
      <c r="K283" t="s">
        <v>99</v>
      </c>
      <c r="L283" t="s">
        <v>20</v>
      </c>
      <c r="M283" t="s">
        <v>19</v>
      </c>
      <c r="N283" t="s">
        <v>194</v>
      </c>
      <c r="P283" t="s">
        <v>946</v>
      </c>
      <c r="Q283">
        <f>ROW(Guide[[#This Row],[Row]])</f>
        <v>283</v>
      </c>
      <c r="R283" cm="1">
        <f t="array" ref="R283">_xlfn.XLOOKUP(
Guide[[#This Row],[Dataset]]&amp;Guide[[#This Row],[Category_1]]&amp;Guide[[#This Row],[Category_2]]&amp;Guide[[#This Row],[Dim_Group]],_xlfn.ANCHORARRAY( Sheet1!$N$2),_xlfn.CHOOSECOLS(_xlfn.ANCHORARRAY(Sheet1!$I$2),5),0)</f>
        <v>283</v>
      </c>
    </row>
    <row r="284" spans="1:18" hidden="1" x14ac:dyDescent="0.3">
      <c r="A284" t="s">
        <v>779</v>
      </c>
      <c r="B284" t="s">
        <v>813</v>
      </c>
      <c r="C284" t="s">
        <v>814</v>
      </c>
      <c r="D284" s="3" t="s">
        <v>815</v>
      </c>
      <c r="E284" s="3" t="s">
        <v>812</v>
      </c>
      <c r="F284">
        <v>1</v>
      </c>
      <c r="G284" t="s">
        <v>815</v>
      </c>
      <c r="H284" t="s">
        <v>19</v>
      </c>
      <c r="I284" t="s">
        <v>814</v>
      </c>
      <c r="K284" t="s">
        <v>99</v>
      </c>
      <c r="L284" t="s">
        <v>20</v>
      </c>
      <c r="M284" t="s">
        <v>19</v>
      </c>
      <c r="N284" t="s">
        <v>194</v>
      </c>
      <c r="P284" t="s">
        <v>946</v>
      </c>
      <c r="Q284">
        <f>ROW(Guide[[#This Row],[Row]])</f>
        <v>284</v>
      </c>
      <c r="R284" cm="1">
        <f t="array" ref="R284">_xlfn.XLOOKUP(
Guide[[#This Row],[Dataset]]&amp;Guide[[#This Row],[Category_1]]&amp;Guide[[#This Row],[Category_2]]&amp;Guide[[#This Row],[Dim_Group]],_xlfn.ANCHORARRAY( Sheet1!$N$2),_xlfn.CHOOSECOLS(_xlfn.ANCHORARRAY(Sheet1!$I$2),5),0)</f>
        <v>284</v>
      </c>
    </row>
    <row r="285" spans="1:18" hidden="1" x14ac:dyDescent="0.3">
      <c r="A285" t="s">
        <v>779</v>
      </c>
      <c r="B285" t="s">
        <v>816</v>
      </c>
      <c r="C285" t="s">
        <v>817</v>
      </c>
      <c r="D285" s="3" t="s">
        <v>818</v>
      </c>
      <c r="E285" s="3" t="s">
        <v>812</v>
      </c>
      <c r="F285">
        <v>1</v>
      </c>
      <c r="G285" t="s">
        <v>818</v>
      </c>
      <c r="H285" t="s">
        <v>19</v>
      </c>
      <c r="I285" t="s">
        <v>817</v>
      </c>
      <c r="K285" t="s">
        <v>99</v>
      </c>
      <c r="L285" t="s">
        <v>20</v>
      </c>
      <c r="M285" t="s">
        <v>19</v>
      </c>
      <c r="N285" t="s">
        <v>194</v>
      </c>
      <c r="P285" t="s">
        <v>946</v>
      </c>
      <c r="Q285">
        <f>ROW(Guide[[#This Row],[Row]])</f>
        <v>285</v>
      </c>
      <c r="R285" cm="1">
        <f t="array" ref="R285">_xlfn.XLOOKUP(
Guide[[#This Row],[Dataset]]&amp;Guide[[#This Row],[Category_1]]&amp;Guide[[#This Row],[Category_2]]&amp;Guide[[#This Row],[Dim_Group]],_xlfn.ANCHORARRAY( Sheet1!$N$2),_xlfn.CHOOSECOLS(_xlfn.ANCHORARRAY(Sheet1!$I$2),5),0)</f>
        <v>285</v>
      </c>
    </row>
    <row r="286" spans="1:18" hidden="1" x14ac:dyDescent="0.3">
      <c r="A286" t="s">
        <v>779</v>
      </c>
      <c r="B286" t="s">
        <v>819</v>
      </c>
      <c r="C286" t="s">
        <v>820</v>
      </c>
      <c r="D286" s="3" t="s">
        <v>821</v>
      </c>
      <c r="E286" s="3" t="s">
        <v>812</v>
      </c>
      <c r="F286">
        <v>1</v>
      </c>
      <c r="G286" t="s">
        <v>821</v>
      </c>
      <c r="H286" t="s">
        <v>791</v>
      </c>
      <c r="I286" t="s">
        <v>820</v>
      </c>
      <c r="K286" t="s">
        <v>99</v>
      </c>
      <c r="L286" t="s">
        <v>792</v>
      </c>
      <c r="M286" t="s">
        <v>791</v>
      </c>
      <c r="N286" t="s">
        <v>5</v>
      </c>
      <c r="P286" t="s">
        <v>946</v>
      </c>
      <c r="Q286">
        <f>ROW(Guide[[#This Row],[Row]])</f>
        <v>286</v>
      </c>
      <c r="R286" cm="1">
        <f t="array" ref="R286">_xlfn.XLOOKUP(
Guide[[#This Row],[Dataset]]&amp;Guide[[#This Row],[Category_1]]&amp;Guide[[#This Row],[Category_2]]&amp;Guide[[#This Row],[Dim_Group]],_xlfn.ANCHORARRAY( Sheet1!$N$2),_xlfn.CHOOSECOLS(_xlfn.ANCHORARRAY(Sheet1!$I$2),5),0)</f>
        <v>286</v>
      </c>
    </row>
    <row r="287" spans="1:18" hidden="1" x14ac:dyDescent="0.3">
      <c r="A287" t="s">
        <v>779</v>
      </c>
      <c r="B287" t="s">
        <v>822</v>
      </c>
      <c r="C287" t="s">
        <v>823</v>
      </c>
      <c r="D287" s="3" t="s">
        <v>824</v>
      </c>
      <c r="E287" s="3" t="s">
        <v>812</v>
      </c>
      <c r="F287">
        <v>1</v>
      </c>
      <c r="G287" t="s">
        <v>824</v>
      </c>
      <c r="H287" t="s">
        <v>791</v>
      </c>
      <c r="I287" t="s">
        <v>823</v>
      </c>
      <c r="K287" t="s">
        <v>99</v>
      </c>
      <c r="L287" t="s">
        <v>792</v>
      </c>
      <c r="M287" t="s">
        <v>791</v>
      </c>
      <c r="N287" t="s">
        <v>5</v>
      </c>
      <c r="P287" t="s">
        <v>946</v>
      </c>
      <c r="Q287">
        <f>ROW(Guide[[#This Row],[Row]])</f>
        <v>287</v>
      </c>
      <c r="R287" cm="1">
        <f t="array" ref="R287">_xlfn.XLOOKUP(
Guide[[#This Row],[Dataset]]&amp;Guide[[#This Row],[Category_1]]&amp;Guide[[#This Row],[Category_2]]&amp;Guide[[#This Row],[Dim_Group]],_xlfn.ANCHORARRAY( Sheet1!$N$2),_xlfn.CHOOSECOLS(_xlfn.ANCHORARRAY(Sheet1!$I$2),5),0)</f>
        <v>287</v>
      </c>
    </row>
    <row r="288" spans="1:18" hidden="1" x14ac:dyDescent="0.3">
      <c r="A288" t="s">
        <v>779</v>
      </c>
      <c r="B288" t="s">
        <v>825</v>
      </c>
      <c r="C288" t="s">
        <v>826</v>
      </c>
      <c r="D288" s="3" t="s">
        <v>827</v>
      </c>
      <c r="E288" s="3" t="s">
        <v>812</v>
      </c>
      <c r="F288">
        <v>1</v>
      </c>
      <c r="G288" t="s">
        <v>828</v>
      </c>
      <c r="H288" t="s">
        <v>791</v>
      </c>
      <c r="I288" t="s">
        <v>826</v>
      </c>
      <c r="K288" t="s">
        <v>99</v>
      </c>
      <c r="L288" t="s">
        <v>792</v>
      </c>
      <c r="M288" t="s">
        <v>791</v>
      </c>
      <c r="N288" t="s">
        <v>5</v>
      </c>
      <c r="P288" t="s">
        <v>946</v>
      </c>
      <c r="Q288">
        <f>ROW(Guide[[#This Row],[Row]])</f>
        <v>288</v>
      </c>
      <c r="R288" cm="1">
        <f t="array" ref="R288">_xlfn.XLOOKUP(
Guide[[#This Row],[Dataset]]&amp;Guide[[#This Row],[Category_1]]&amp;Guide[[#This Row],[Category_2]]&amp;Guide[[#This Row],[Dim_Group]],_xlfn.ANCHORARRAY( Sheet1!$N$2),_xlfn.CHOOSECOLS(_xlfn.ANCHORARRAY(Sheet1!$I$2),5),0)</f>
        <v>288</v>
      </c>
    </row>
    <row r="289" spans="1:18" hidden="1" x14ac:dyDescent="0.3">
      <c r="A289" t="s">
        <v>779</v>
      </c>
      <c r="B289" t="s">
        <v>829</v>
      </c>
      <c r="C289" t="s">
        <v>830</v>
      </c>
      <c r="D289" s="3" t="s">
        <v>831</v>
      </c>
      <c r="E289" s="3" t="s">
        <v>832</v>
      </c>
      <c r="F289">
        <v>1</v>
      </c>
      <c r="G289" t="s">
        <v>10</v>
      </c>
      <c r="H289" t="s">
        <v>193</v>
      </c>
      <c r="I289" t="s">
        <v>830</v>
      </c>
      <c r="K289" t="s">
        <v>99</v>
      </c>
      <c r="L289" t="s">
        <v>10</v>
      </c>
      <c r="M289" t="s">
        <v>193</v>
      </c>
      <c r="N289" t="s">
        <v>5</v>
      </c>
      <c r="P289" t="s">
        <v>946</v>
      </c>
      <c r="Q289">
        <f>ROW(Guide[[#This Row],[Row]])</f>
        <v>289</v>
      </c>
      <c r="R289" cm="1">
        <f t="array" ref="R289">_xlfn.XLOOKUP(
Guide[[#This Row],[Dataset]]&amp;Guide[[#This Row],[Category_1]]&amp;Guide[[#This Row],[Category_2]]&amp;Guide[[#This Row],[Dim_Group]],_xlfn.ANCHORARRAY( Sheet1!$N$2),_xlfn.CHOOSECOLS(_xlfn.ANCHORARRAY(Sheet1!$I$2),5),0)</f>
        <v>289</v>
      </c>
    </row>
    <row r="290" spans="1:18" hidden="1" x14ac:dyDescent="0.3">
      <c r="A290" t="s">
        <v>779</v>
      </c>
      <c r="B290" t="s">
        <v>833</v>
      </c>
      <c r="C290" t="s">
        <v>834</v>
      </c>
      <c r="D290" s="3" t="s">
        <v>834</v>
      </c>
      <c r="E290" s="3" t="s">
        <v>832</v>
      </c>
      <c r="F290">
        <v>1</v>
      </c>
      <c r="G290" t="s">
        <v>267</v>
      </c>
      <c r="H290" t="s">
        <v>19</v>
      </c>
      <c r="I290" t="s">
        <v>834</v>
      </c>
      <c r="K290" t="s">
        <v>99</v>
      </c>
      <c r="L290" t="s">
        <v>19</v>
      </c>
      <c r="M290" t="s">
        <v>19</v>
      </c>
      <c r="N290" t="s">
        <v>194</v>
      </c>
      <c r="P290" t="s">
        <v>946</v>
      </c>
      <c r="Q290">
        <f>ROW(Guide[[#This Row],[Row]])</f>
        <v>290</v>
      </c>
      <c r="R290" cm="1">
        <f t="array" ref="R290">_xlfn.XLOOKUP(
Guide[[#This Row],[Dataset]]&amp;Guide[[#This Row],[Category_1]]&amp;Guide[[#This Row],[Category_2]]&amp;Guide[[#This Row],[Dim_Group]],_xlfn.ANCHORARRAY( Sheet1!$N$2),_xlfn.CHOOSECOLS(_xlfn.ANCHORARRAY(Sheet1!$I$2),5),0)</f>
        <v>290</v>
      </c>
    </row>
    <row r="291" spans="1:18" hidden="1" x14ac:dyDescent="0.3">
      <c r="A291" t="s">
        <v>779</v>
      </c>
      <c r="B291" t="s">
        <v>835</v>
      </c>
      <c r="C291" t="s">
        <v>836</v>
      </c>
      <c r="D291" s="3" t="s">
        <v>836</v>
      </c>
      <c r="E291" s="3" t="s">
        <v>832</v>
      </c>
      <c r="F291">
        <v>1</v>
      </c>
      <c r="G291" t="s">
        <v>269</v>
      </c>
      <c r="H291" t="s">
        <v>19</v>
      </c>
      <c r="I291" t="s">
        <v>836</v>
      </c>
      <c r="K291" t="s">
        <v>99</v>
      </c>
      <c r="L291" t="s">
        <v>19</v>
      </c>
      <c r="M291" t="s">
        <v>19</v>
      </c>
      <c r="N291" t="s">
        <v>194</v>
      </c>
      <c r="P291" t="s">
        <v>946</v>
      </c>
      <c r="Q291">
        <f>ROW(Guide[[#This Row],[Row]])</f>
        <v>291</v>
      </c>
      <c r="R291" cm="1">
        <f t="array" ref="R291">_xlfn.XLOOKUP(
Guide[[#This Row],[Dataset]]&amp;Guide[[#This Row],[Category_1]]&amp;Guide[[#This Row],[Category_2]]&amp;Guide[[#This Row],[Dim_Group]],_xlfn.ANCHORARRAY( Sheet1!$N$2),_xlfn.CHOOSECOLS(_xlfn.ANCHORARRAY(Sheet1!$I$2),5),0)</f>
        <v>291</v>
      </c>
    </row>
    <row r="292" spans="1:18" hidden="1" x14ac:dyDescent="0.3">
      <c r="A292" t="s">
        <v>779</v>
      </c>
      <c r="B292" t="s">
        <v>837</v>
      </c>
      <c r="C292" t="s">
        <v>838</v>
      </c>
      <c r="D292" s="3" t="s">
        <v>838</v>
      </c>
      <c r="E292" s="3" t="s">
        <v>839</v>
      </c>
      <c r="F292">
        <v>1</v>
      </c>
      <c r="G292" t="s">
        <v>10</v>
      </c>
      <c r="H292" t="s">
        <v>193</v>
      </c>
      <c r="I292" t="s">
        <v>838</v>
      </c>
      <c r="K292" t="s">
        <v>99</v>
      </c>
      <c r="L292" t="s">
        <v>10</v>
      </c>
      <c r="M292" t="s">
        <v>193</v>
      </c>
      <c r="N292" t="s">
        <v>5</v>
      </c>
      <c r="P292" t="s">
        <v>946</v>
      </c>
      <c r="Q292">
        <f>ROW(Guide[[#This Row],[Row]])</f>
        <v>292</v>
      </c>
      <c r="R292" cm="1">
        <f t="array" ref="R292">_xlfn.XLOOKUP(
Guide[[#This Row],[Dataset]]&amp;Guide[[#This Row],[Category_1]]&amp;Guide[[#This Row],[Category_2]]&amp;Guide[[#This Row],[Dim_Group]],_xlfn.ANCHORARRAY( Sheet1!$N$2),_xlfn.CHOOSECOLS(_xlfn.ANCHORARRAY(Sheet1!$I$2),5),0)</f>
        <v>292</v>
      </c>
    </row>
    <row r="293" spans="1:18" hidden="1" x14ac:dyDescent="0.3">
      <c r="A293" t="s">
        <v>779</v>
      </c>
      <c r="B293" t="s">
        <v>840</v>
      </c>
      <c r="C293" t="s">
        <v>841</v>
      </c>
      <c r="D293" s="3" t="s">
        <v>841</v>
      </c>
      <c r="E293" s="3" t="s">
        <v>839</v>
      </c>
      <c r="F293">
        <v>1</v>
      </c>
      <c r="G293" t="s">
        <v>267</v>
      </c>
      <c r="H293" t="s">
        <v>19</v>
      </c>
      <c r="I293" t="s">
        <v>841</v>
      </c>
      <c r="K293" t="s">
        <v>99</v>
      </c>
      <c r="L293" t="s">
        <v>19</v>
      </c>
      <c r="M293" t="s">
        <v>19</v>
      </c>
      <c r="N293" t="s">
        <v>194</v>
      </c>
      <c r="P293" t="s">
        <v>946</v>
      </c>
      <c r="Q293">
        <f>ROW(Guide[[#This Row],[Row]])</f>
        <v>293</v>
      </c>
      <c r="R293" cm="1">
        <f t="array" ref="R293">_xlfn.XLOOKUP(
Guide[[#This Row],[Dataset]]&amp;Guide[[#This Row],[Category_1]]&amp;Guide[[#This Row],[Category_2]]&amp;Guide[[#This Row],[Dim_Group]],_xlfn.ANCHORARRAY( Sheet1!$N$2),_xlfn.CHOOSECOLS(_xlfn.ANCHORARRAY(Sheet1!$I$2),5),0)</f>
        <v>293</v>
      </c>
    </row>
    <row r="294" spans="1:18" hidden="1" x14ac:dyDescent="0.3">
      <c r="A294" t="s">
        <v>779</v>
      </c>
      <c r="B294" t="s">
        <v>842</v>
      </c>
      <c r="C294" t="s">
        <v>843</v>
      </c>
      <c r="D294" s="3" t="s">
        <v>843</v>
      </c>
      <c r="E294" s="3" t="s">
        <v>839</v>
      </c>
      <c r="F294">
        <v>1</v>
      </c>
      <c r="G294" t="s">
        <v>269</v>
      </c>
      <c r="H294" t="s">
        <v>19</v>
      </c>
      <c r="I294" t="s">
        <v>843</v>
      </c>
      <c r="K294" t="s">
        <v>99</v>
      </c>
      <c r="L294" t="s">
        <v>19</v>
      </c>
      <c r="M294" t="s">
        <v>19</v>
      </c>
      <c r="N294" t="s">
        <v>194</v>
      </c>
      <c r="P294" t="s">
        <v>946</v>
      </c>
      <c r="Q294">
        <f>ROW(Guide[[#This Row],[Row]])</f>
        <v>294</v>
      </c>
      <c r="R294" cm="1">
        <f t="array" ref="R294">_xlfn.XLOOKUP(
Guide[[#This Row],[Dataset]]&amp;Guide[[#This Row],[Category_1]]&amp;Guide[[#This Row],[Category_2]]&amp;Guide[[#This Row],[Dim_Group]],_xlfn.ANCHORARRAY( Sheet1!$N$2),_xlfn.CHOOSECOLS(_xlfn.ANCHORARRAY(Sheet1!$I$2),5),0)</f>
        <v>294</v>
      </c>
    </row>
    <row r="295" spans="1:18" hidden="1" x14ac:dyDescent="0.3">
      <c r="A295" t="s">
        <v>779</v>
      </c>
      <c r="B295" t="s">
        <v>844</v>
      </c>
      <c r="C295" t="s">
        <v>845</v>
      </c>
      <c r="D295" s="3" t="s">
        <v>846</v>
      </c>
      <c r="E295" s="3" t="s">
        <v>847</v>
      </c>
      <c r="F295">
        <v>1</v>
      </c>
      <c r="G295" t="s">
        <v>10</v>
      </c>
      <c r="H295" t="s">
        <v>193</v>
      </c>
      <c r="I295" t="s">
        <v>845</v>
      </c>
      <c r="K295" t="s">
        <v>99</v>
      </c>
      <c r="L295" t="s">
        <v>10</v>
      </c>
      <c r="M295" t="s">
        <v>193</v>
      </c>
      <c r="N295" t="s">
        <v>5</v>
      </c>
      <c r="P295" t="s">
        <v>946</v>
      </c>
      <c r="Q295">
        <f>ROW(Guide[[#This Row],[Row]])</f>
        <v>295</v>
      </c>
      <c r="R295" cm="1">
        <f t="array" ref="R295">_xlfn.XLOOKUP(
Guide[[#This Row],[Dataset]]&amp;Guide[[#This Row],[Category_1]]&amp;Guide[[#This Row],[Category_2]]&amp;Guide[[#This Row],[Dim_Group]],_xlfn.ANCHORARRAY( Sheet1!$N$2),_xlfn.CHOOSECOLS(_xlfn.ANCHORARRAY(Sheet1!$I$2),5),0)</f>
        <v>295</v>
      </c>
    </row>
    <row r="296" spans="1:18" hidden="1" x14ac:dyDescent="0.3">
      <c r="A296" t="s">
        <v>779</v>
      </c>
      <c r="B296" t="s">
        <v>848</v>
      </c>
      <c r="C296" t="s">
        <v>849</v>
      </c>
      <c r="D296" s="3" t="s">
        <v>850</v>
      </c>
      <c r="E296" s="3" t="s">
        <v>847</v>
      </c>
      <c r="F296">
        <v>1</v>
      </c>
      <c r="G296" t="s">
        <v>267</v>
      </c>
      <c r="H296" t="s">
        <v>19</v>
      </c>
      <c r="I296" t="s">
        <v>849</v>
      </c>
      <c r="K296" t="s">
        <v>99</v>
      </c>
      <c r="L296" t="s">
        <v>19</v>
      </c>
      <c r="M296" t="s">
        <v>19</v>
      </c>
      <c r="N296" t="s">
        <v>194</v>
      </c>
      <c r="P296" t="s">
        <v>946</v>
      </c>
      <c r="Q296">
        <f>ROW(Guide[[#This Row],[Row]])</f>
        <v>296</v>
      </c>
      <c r="R296" cm="1">
        <f t="array" ref="R296">_xlfn.XLOOKUP(
Guide[[#This Row],[Dataset]]&amp;Guide[[#This Row],[Category_1]]&amp;Guide[[#This Row],[Category_2]]&amp;Guide[[#This Row],[Dim_Group]],_xlfn.ANCHORARRAY( Sheet1!$N$2),_xlfn.CHOOSECOLS(_xlfn.ANCHORARRAY(Sheet1!$I$2),5),0)</f>
        <v>296</v>
      </c>
    </row>
    <row r="297" spans="1:18" hidden="1" x14ac:dyDescent="0.3">
      <c r="A297" t="s">
        <v>779</v>
      </c>
      <c r="B297" t="s">
        <v>851</v>
      </c>
      <c r="C297" t="s">
        <v>852</v>
      </c>
      <c r="D297" s="3" t="s">
        <v>853</v>
      </c>
      <c r="E297" s="3" t="s">
        <v>847</v>
      </c>
      <c r="F297">
        <v>1</v>
      </c>
      <c r="G297" t="s">
        <v>269</v>
      </c>
      <c r="H297" t="s">
        <v>19</v>
      </c>
      <c r="I297" t="s">
        <v>852</v>
      </c>
      <c r="K297" t="s">
        <v>99</v>
      </c>
      <c r="L297" t="s">
        <v>19</v>
      </c>
      <c r="M297" t="s">
        <v>19</v>
      </c>
      <c r="N297" t="s">
        <v>194</v>
      </c>
      <c r="P297" t="s">
        <v>946</v>
      </c>
      <c r="Q297">
        <f>ROW(Guide[[#This Row],[Row]])</f>
        <v>297</v>
      </c>
      <c r="R297" cm="1">
        <f t="array" ref="R297">_xlfn.XLOOKUP(
Guide[[#This Row],[Dataset]]&amp;Guide[[#This Row],[Category_1]]&amp;Guide[[#This Row],[Category_2]]&amp;Guide[[#This Row],[Dim_Group]],_xlfn.ANCHORARRAY( Sheet1!$N$2),_xlfn.CHOOSECOLS(_xlfn.ANCHORARRAY(Sheet1!$I$2),5),0)</f>
        <v>297</v>
      </c>
    </row>
    <row r="298" spans="1:18" hidden="1" x14ac:dyDescent="0.3">
      <c r="A298" t="s">
        <v>854</v>
      </c>
      <c r="B298" t="s">
        <v>855</v>
      </c>
      <c r="C298" t="s">
        <v>856</v>
      </c>
      <c r="D298" s="3" t="s">
        <v>193</v>
      </c>
      <c r="E298" s="3" t="s">
        <v>856</v>
      </c>
      <c r="F298">
        <v>1</v>
      </c>
      <c r="G298" t="s">
        <v>193</v>
      </c>
      <c r="H298" t="s">
        <v>857</v>
      </c>
      <c r="I298" t="s">
        <v>856</v>
      </c>
      <c r="K298" t="s">
        <v>99</v>
      </c>
      <c r="L298" t="s">
        <v>857</v>
      </c>
      <c r="M298" t="s">
        <v>857</v>
      </c>
      <c r="N298" t="s">
        <v>5</v>
      </c>
      <c r="P298" t="s">
        <v>946</v>
      </c>
      <c r="Q298">
        <f>ROW(Guide[[#This Row],[Row]])</f>
        <v>298</v>
      </c>
      <c r="R298" cm="1">
        <f t="array" ref="R298">_xlfn.XLOOKUP(
Guide[[#This Row],[Dataset]]&amp;Guide[[#This Row],[Category_1]]&amp;Guide[[#This Row],[Category_2]]&amp;Guide[[#This Row],[Dim_Group]],_xlfn.ANCHORARRAY( Sheet1!$N$2),_xlfn.CHOOSECOLS(_xlfn.ANCHORARRAY(Sheet1!$I$2),5),0)</f>
        <v>298</v>
      </c>
    </row>
    <row r="299" spans="1:18" hidden="1" x14ac:dyDescent="0.3">
      <c r="A299" t="s">
        <v>854</v>
      </c>
      <c r="B299" t="s">
        <v>312</v>
      </c>
      <c r="C299" t="s">
        <v>858</v>
      </c>
      <c r="D299" s="3" t="s">
        <v>193</v>
      </c>
      <c r="E299" s="3" t="s">
        <v>858</v>
      </c>
      <c r="F299">
        <v>1</v>
      </c>
      <c r="G299" t="s">
        <v>193</v>
      </c>
      <c r="H299" t="s">
        <v>105</v>
      </c>
      <c r="I299" t="s">
        <v>858</v>
      </c>
      <c r="K299" t="s">
        <v>99</v>
      </c>
      <c r="L299" t="s">
        <v>105</v>
      </c>
      <c r="M299" t="s">
        <v>105</v>
      </c>
      <c r="N299" t="s">
        <v>5</v>
      </c>
      <c r="P299" t="s">
        <v>946</v>
      </c>
      <c r="Q299">
        <f>ROW(Guide[[#This Row],[Row]])</f>
        <v>299</v>
      </c>
      <c r="R299" cm="1">
        <f t="array" ref="R299">_xlfn.XLOOKUP(
Guide[[#This Row],[Dataset]]&amp;Guide[[#This Row],[Category_1]]&amp;Guide[[#This Row],[Category_2]]&amp;Guide[[#This Row],[Dim_Group]],_xlfn.ANCHORARRAY( Sheet1!$N$2),_xlfn.CHOOSECOLS(_xlfn.ANCHORARRAY(Sheet1!$I$2),5),0)</f>
        <v>299</v>
      </c>
    </row>
    <row r="300" spans="1:18" hidden="1" x14ac:dyDescent="0.3">
      <c r="A300" t="s">
        <v>854</v>
      </c>
      <c r="B300" t="s">
        <v>859</v>
      </c>
      <c r="C300" t="s">
        <v>860</v>
      </c>
      <c r="D300" s="3" t="s">
        <v>193</v>
      </c>
      <c r="E300" s="3" t="s">
        <v>860</v>
      </c>
      <c r="F300">
        <v>1</v>
      </c>
      <c r="G300" t="s">
        <v>193</v>
      </c>
      <c r="H300" t="s">
        <v>224</v>
      </c>
      <c r="I300" t="s">
        <v>860</v>
      </c>
      <c r="K300" t="s">
        <v>99</v>
      </c>
      <c r="L300" t="s">
        <v>224</v>
      </c>
      <c r="M300" t="s">
        <v>224</v>
      </c>
      <c r="N300" t="s">
        <v>5</v>
      </c>
      <c r="P300" t="s">
        <v>946</v>
      </c>
      <c r="Q300">
        <f>ROW(Guide[[#This Row],[Row]])</f>
        <v>300</v>
      </c>
      <c r="R300" cm="1">
        <f t="array" ref="R300">_xlfn.XLOOKUP(
Guide[[#This Row],[Dataset]]&amp;Guide[[#This Row],[Category_1]]&amp;Guide[[#This Row],[Category_2]]&amp;Guide[[#This Row],[Dim_Group]],_xlfn.ANCHORARRAY( Sheet1!$N$2),_xlfn.CHOOSECOLS(_xlfn.ANCHORARRAY(Sheet1!$I$2),5),0)</f>
        <v>300</v>
      </c>
    </row>
    <row r="301" spans="1:18" hidden="1" x14ac:dyDescent="0.3">
      <c r="A301" t="s">
        <v>854</v>
      </c>
      <c r="B301" t="s">
        <v>381</v>
      </c>
      <c r="C301" t="s">
        <v>861</v>
      </c>
      <c r="D301" s="3" t="s">
        <v>193</v>
      </c>
      <c r="E301" s="3" t="s">
        <v>861</v>
      </c>
      <c r="F301">
        <v>1</v>
      </c>
      <c r="G301" t="s">
        <v>193</v>
      </c>
      <c r="H301" t="s">
        <v>343</v>
      </c>
      <c r="I301" t="s">
        <v>861</v>
      </c>
      <c r="K301" t="s">
        <v>99</v>
      </c>
      <c r="L301" t="s">
        <v>862</v>
      </c>
      <c r="M301" t="s">
        <v>343</v>
      </c>
      <c r="N301" t="s">
        <v>5</v>
      </c>
      <c r="P301" t="s">
        <v>946</v>
      </c>
      <c r="Q301">
        <f>ROW(Guide[[#This Row],[Row]])</f>
        <v>301</v>
      </c>
      <c r="R301" cm="1">
        <f t="array" ref="R301">_xlfn.XLOOKUP(
Guide[[#This Row],[Dataset]]&amp;Guide[[#This Row],[Category_1]]&amp;Guide[[#This Row],[Category_2]]&amp;Guide[[#This Row],[Dim_Group]],_xlfn.ANCHORARRAY( Sheet1!$N$2),_xlfn.CHOOSECOLS(_xlfn.ANCHORARRAY(Sheet1!$I$2),5),0)</f>
        <v>301</v>
      </c>
    </row>
    <row r="302" spans="1:18" hidden="1" x14ac:dyDescent="0.3">
      <c r="A302" t="s">
        <v>15</v>
      </c>
      <c r="B302" t="s">
        <v>16</v>
      </c>
      <c r="C302" t="s">
        <v>17</v>
      </c>
      <c r="D302" s="3" t="s">
        <v>17</v>
      </c>
      <c r="E302" s="3" t="s">
        <v>18</v>
      </c>
      <c r="F302">
        <v>1</v>
      </c>
      <c r="G302" t="s">
        <v>193</v>
      </c>
      <c r="H302" t="s">
        <v>19</v>
      </c>
      <c r="I302" t="s">
        <v>17</v>
      </c>
      <c r="K302" t="s">
        <v>99</v>
      </c>
      <c r="L302" t="s">
        <v>20</v>
      </c>
      <c r="M302" t="s">
        <v>19</v>
      </c>
      <c r="N302" t="s">
        <v>21</v>
      </c>
      <c r="P302" t="s">
        <v>946</v>
      </c>
      <c r="Q302">
        <f>ROW(Guide[[#This Row],[Row]])</f>
        <v>302</v>
      </c>
      <c r="R302" cm="1">
        <f t="array" ref="R302">_xlfn.XLOOKUP(
Guide[[#This Row],[Dataset]]&amp;Guide[[#This Row],[Category_1]]&amp;Guide[[#This Row],[Category_2]]&amp;Guide[[#This Row],[Dim_Group]],_xlfn.ANCHORARRAY( Sheet1!$N$2),_xlfn.CHOOSECOLS(_xlfn.ANCHORARRAY(Sheet1!$I$2),5),0)</f>
        <v>302</v>
      </c>
    </row>
    <row r="303" spans="1:18" hidden="1" x14ac:dyDescent="0.3">
      <c r="A303" t="s">
        <v>15</v>
      </c>
      <c r="B303" t="s">
        <v>22</v>
      </c>
      <c r="C303" t="s">
        <v>23</v>
      </c>
      <c r="D303" s="3" t="s">
        <v>23</v>
      </c>
      <c r="E303" s="3" t="s">
        <v>18</v>
      </c>
      <c r="F303">
        <v>1</v>
      </c>
      <c r="G303" t="s">
        <v>193</v>
      </c>
      <c r="H303" t="s">
        <v>19</v>
      </c>
      <c r="I303" t="s">
        <v>23</v>
      </c>
      <c r="K303" t="s">
        <v>99</v>
      </c>
      <c r="L303" t="s">
        <v>20</v>
      </c>
      <c r="M303" t="s">
        <v>19</v>
      </c>
      <c r="N303" t="s">
        <v>21</v>
      </c>
      <c r="P303" t="s">
        <v>946</v>
      </c>
      <c r="Q303">
        <f>ROW(Guide[[#This Row],[Row]])</f>
        <v>303</v>
      </c>
      <c r="R303" cm="1">
        <f t="array" ref="R303">_xlfn.XLOOKUP(
Guide[[#This Row],[Dataset]]&amp;Guide[[#This Row],[Category_1]]&amp;Guide[[#This Row],[Category_2]]&amp;Guide[[#This Row],[Dim_Group]],_xlfn.ANCHORARRAY( Sheet1!$N$2),_xlfn.CHOOSECOLS(_xlfn.ANCHORARRAY(Sheet1!$I$2),5),0)</f>
        <v>303</v>
      </c>
    </row>
    <row r="304" spans="1:18" hidden="1" x14ac:dyDescent="0.3">
      <c r="A304" t="s">
        <v>15</v>
      </c>
      <c r="B304" t="s">
        <v>24</v>
      </c>
      <c r="C304" t="s">
        <v>25</v>
      </c>
      <c r="D304" s="3" t="s">
        <v>25</v>
      </c>
      <c r="E304" s="3" t="s">
        <v>18</v>
      </c>
      <c r="F304">
        <v>1</v>
      </c>
      <c r="G304" t="s">
        <v>193</v>
      </c>
      <c r="H304" t="s">
        <v>19</v>
      </c>
      <c r="I304" t="s">
        <v>25</v>
      </c>
      <c r="K304" t="s">
        <v>99</v>
      </c>
      <c r="L304" t="s">
        <v>20</v>
      </c>
      <c r="M304" t="s">
        <v>19</v>
      </c>
      <c r="N304" t="s">
        <v>21</v>
      </c>
      <c r="P304" t="s">
        <v>946</v>
      </c>
      <c r="Q304">
        <f>ROW(Guide[[#This Row],[Row]])</f>
        <v>304</v>
      </c>
      <c r="R304" cm="1">
        <f t="array" ref="R304">_xlfn.XLOOKUP(
Guide[[#This Row],[Dataset]]&amp;Guide[[#This Row],[Category_1]]&amp;Guide[[#This Row],[Category_2]]&amp;Guide[[#This Row],[Dim_Group]],_xlfn.ANCHORARRAY( Sheet1!$N$2),_xlfn.CHOOSECOLS(_xlfn.ANCHORARRAY(Sheet1!$I$2),5),0)</f>
        <v>304</v>
      </c>
    </row>
    <row r="305" spans="1:18" hidden="1" x14ac:dyDescent="0.3">
      <c r="A305" t="s">
        <v>15</v>
      </c>
      <c r="B305" t="s">
        <v>26</v>
      </c>
      <c r="C305" t="s">
        <v>27</v>
      </c>
      <c r="D305" s="3" t="s">
        <v>27</v>
      </c>
      <c r="E305" s="3" t="s">
        <v>28</v>
      </c>
      <c r="F305">
        <v>1</v>
      </c>
      <c r="G305" t="s">
        <v>193</v>
      </c>
      <c r="H305" t="s">
        <v>19</v>
      </c>
      <c r="I305" t="s">
        <v>27</v>
      </c>
      <c r="K305" t="s">
        <v>99</v>
      </c>
      <c r="L305" t="s">
        <v>19</v>
      </c>
      <c r="M305" t="s">
        <v>19</v>
      </c>
      <c r="N305" t="s">
        <v>21</v>
      </c>
      <c r="P305" t="s">
        <v>946</v>
      </c>
      <c r="Q305">
        <f>ROW(Guide[[#This Row],[Row]])</f>
        <v>305</v>
      </c>
      <c r="R305" cm="1">
        <f t="array" ref="R305">_xlfn.XLOOKUP(
Guide[[#This Row],[Dataset]]&amp;Guide[[#This Row],[Category_1]]&amp;Guide[[#This Row],[Category_2]]&amp;Guide[[#This Row],[Dim_Group]],_xlfn.ANCHORARRAY( Sheet1!$N$2),_xlfn.CHOOSECOLS(_xlfn.ANCHORARRAY(Sheet1!$I$2),5),0)</f>
        <v>305</v>
      </c>
    </row>
    <row r="306" spans="1:18" hidden="1" x14ac:dyDescent="0.3">
      <c r="A306" t="s">
        <v>15</v>
      </c>
      <c r="B306" t="s">
        <v>29</v>
      </c>
      <c r="C306" t="s">
        <v>30</v>
      </c>
      <c r="D306" s="3" t="s">
        <v>30</v>
      </c>
      <c r="E306" s="3" t="s">
        <v>28</v>
      </c>
      <c r="F306">
        <v>1</v>
      </c>
      <c r="G306" t="s">
        <v>193</v>
      </c>
      <c r="H306" t="s">
        <v>19</v>
      </c>
      <c r="I306" t="s">
        <v>30</v>
      </c>
      <c r="K306" t="s">
        <v>99</v>
      </c>
      <c r="L306" t="s">
        <v>19</v>
      </c>
      <c r="M306" t="s">
        <v>19</v>
      </c>
      <c r="N306" t="s">
        <v>21</v>
      </c>
      <c r="P306" t="s">
        <v>946</v>
      </c>
      <c r="Q306">
        <f>ROW(Guide[[#This Row],[Row]])</f>
        <v>306</v>
      </c>
      <c r="R306" cm="1">
        <f t="array" ref="R306">_xlfn.XLOOKUP(
Guide[[#This Row],[Dataset]]&amp;Guide[[#This Row],[Category_1]]&amp;Guide[[#This Row],[Category_2]]&amp;Guide[[#This Row],[Dim_Group]],_xlfn.ANCHORARRAY( Sheet1!$N$2),_xlfn.CHOOSECOLS(_xlfn.ANCHORARRAY(Sheet1!$I$2),5),0)</f>
        <v>306</v>
      </c>
    </row>
    <row r="307" spans="1:18" hidden="1" x14ac:dyDescent="0.3">
      <c r="A307" t="s">
        <v>15</v>
      </c>
      <c r="B307" t="s">
        <v>31</v>
      </c>
      <c r="C307" t="s">
        <v>32</v>
      </c>
      <c r="D307" s="3" t="s">
        <v>32</v>
      </c>
      <c r="E307" s="3" t="s">
        <v>28</v>
      </c>
      <c r="F307">
        <v>1</v>
      </c>
      <c r="G307" t="s">
        <v>193</v>
      </c>
      <c r="H307" t="s">
        <v>19</v>
      </c>
      <c r="I307" t="s">
        <v>32</v>
      </c>
      <c r="K307" t="s">
        <v>99</v>
      </c>
      <c r="L307" t="s">
        <v>19</v>
      </c>
      <c r="M307" t="s">
        <v>19</v>
      </c>
      <c r="N307" t="s">
        <v>21</v>
      </c>
      <c r="P307" t="s">
        <v>946</v>
      </c>
      <c r="Q307">
        <f>ROW(Guide[[#This Row],[Row]])</f>
        <v>307</v>
      </c>
      <c r="R307" cm="1">
        <f t="array" ref="R307">_xlfn.XLOOKUP(
Guide[[#This Row],[Dataset]]&amp;Guide[[#This Row],[Category_1]]&amp;Guide[[#This Row],[Category_2]]&amp;Guide[[#This Row],[Dim_Group]],_xlfn.ANCHORARRAY( Sheet1!$N$2),_xlfn.CHOOSECOLS(_xlfn.ANCHORARRAY(Sheet1!$I$2),5),0)</f>
        <v>307</v>
      </c>
    </row>
    <row r="308" spans="1:18" hidden="1" x14ac:dyDescent="0.3">
      <c r="A308" t="s">
        <v>15</v>
      </c>
      <c r="B308" t="s">
        <v>33</v>
      </c>
      <c r="C308" t="s">
        <v>34</v>
      </c>
      <c r="D308" s="3" t="s">
        <v>34</v>
      </c>
      <c r="E308" s="3" t="s">
        <v>28</v>
      </c>
      <c r="F308">
        <v>1</v>
      </c>
      <c r="G308" t="s">
        <v>193</v>
      </c>
      <c r="H308" t="s">
        <v>19</v>
      </c>
      <c r="I308" t="s">
        <v>34</v>
      </c>
      <c r="K308" t="s">
        <v>99</v>
      </c>
      <c r="L308" t="s">
        <v>19</v>
      </c>
      <c r="M308" t="s">
        <v>19</v>
      </c>
      <c r="N308" t="s">
        <v>21</v>
      </c>
      <c r="P308" t="s">
        <v>946</v>
      </c>
      <c r="Q308">
        <f>ROW(Guide[[#This Row],[Row]])</f>
        <v>308</v>
      </c>
      <c r="R308" cm="1">
        <f t="array" ref="R308">_xlfn.XLOOKUP(
Guide[[#This Row],[Dataset]]&amp;Guide[[#This Row],[Category_1]]&amp;Guide[[#This Row],[Category_2]]&amp;Guide[[#This Row],[Dim_Group]],_xlfn.ANCHORARRAY( Sheet1!$N$2),_xlfn.CHOOSECOLS(_xlfn.ANCHORARRAY(Sheet1!$I$2),5),0)</f>
        <v>308</v>
      </c>
    </row>
    <row r="309" spans="1:18" hidden="1" x14ac:dyDescent="0.3">
      <c r="A309" t="s">
        <v>15</v>
      </c>
      <c r="B309" t="s">
        <v>35</v>
      </c>
      <c r="C309" t="s">
        <v>36</v>
      </c>
      <c r="D309" s="3" t="s">
        <v>36</v>
      </c>
      <c r="E309" s="3" t="s">
        <v>37</v>
      </c>
      <c r="F309">
        <v>1</v>
      </c>
      <c r="G309" t="s">
        <v>193</v>
      </c>
      <c r="H309" t="s">
        <v>38</v>
      </c>
      <c r="I309" t="s">
        <v>36</v>
      </c>
      <c r="K309" t="s">
        <v>99</v>
      </c>
      <c r="L309" t="s">
        <v>19</v>
      </c>
      <c r="M309" t="s">
        <v>38</v>
      </c>
      <c r="N309" t="s">
        <v>21</v>
      </c>
      <c r="P309" t="s">
        <v>946</v>
      </c>
      <c r="Q309">
        <f>ROW(Guide[[#This Row],[Row]])</f>
        <v>309</v>
      </c>
      <c r="R309" cm="1">
        <f t="array" ref="R309">_xlfn.XLOOKUP(
Guide[[#This Row],[Dataset]]&amp;Guide[[#This Row],[Category_1]]&amp;Guide[[#This Row],[Category_2]]&amp;Guide[[#This Row],[Dim_Group]],_xlfn.ANCHORARRAY( Sheet1!$N$2),_xlfn.CHOOSECOLS(_xlfn.ANCHORARRAY(Sheet1!$I$2),5),0)</f>
        <v>309</v>
      </c>
    </row>
    <row r="310" spans="1:18" hidden="1" x14ac:dyDescent="0.3">
      <c r="A310" t="s">
        <v>15</v>
      </c>
      <c r="B310" t="s">
        <v>39</v>
      </c>
      <c r="C310" t="s">
        <v>40</v>
      </c>
      <c r="D310" s="3" t="s">
        <v>40</v>
      </c>
      <c r="E310" s="3" t="s">
        <v>37</v>
      </c>
      <c r="F310">
        <v>1</v>
      </c>
      <c r="G310" t="s">
        <v>193</v>
      </c>
      <c r="H310" t="s">
        <v>38</v>
      </c>
      <c r="I310" t="s">
        <v>40</v>
      </c>
      <c r="K310" t="s">
        <v>99</v>
      </c>
      <c r="L310" t="s">
        <v>19</v>
      </c>
      <c r="M310" t="s">
        <v>38</v>
      </c>
      <c r="N310" t="s">
        <v>21</v>
      </c>
      <c r="P310" t="s">
        <v>946</v>
      </c>
      <c r="Q310">
        <f>ROW(Guide[[#This Row],[Row]])</f>
        <v>310</v>
      </c>
      <c r="R310" cm="1">
        <f t="array" ref="R310">_xlfn.XLOOKUP(
Guide[[#This Row],[Dataset]]&amp;Guide[[#This Row],[Category_1]]&amp;Guide[[#This Row],[Category_2]]&amp;Guide[[#This Row],[Dim_Group]],_xlfn.ANCHORARRAY( Sheet1!$N$2),_xlfn.CHOOSECOLS(_xlfn.ANCHORARRAY(Sheet1!$I$2),5),0)</f>
        <v>310</v>
      </c>
    </row>
    <row r="311" spans="1:18" hidden="1" x14ac:dyDescent="0.3">
      <c r="A311" t="s">
        <v>15</v>
      </c>
      <c r="B311" t="s">
        <v>41</v>
      </c>
      <c r="C311" t="s">
        <v>42</v>
      </c>
      <c r="D311" s="3" t="s">
        <v>42</v>
      </c>
      <c r="E311" s="3" t="s">
        <v>37</v>
      </c>
      <c r="F311">
        <v>1</v>
      </c>
      <c r="G311" t="s">
        <v>193</v>
      </c>
      <c r="H311" t="s">
        <v>38</v>
      </c>
      <c r="I311" t="s">
        <v>42</v>
      </c>
      <c r="K311" t="s">
        <v>99</v>
      </c>
      <c r="L311" t="s">
        <v>19</v>
      </c>
      <c r="M311" t="s">
        <v>38</v>
      </c>
      <c r="N311" t="s">
        <v>21</v>
      </c>
      <c r="P311" t="s">
        <v>946</v>
      </c>
      <c r="Q311">
        <f>ROW(Guide[[#This Row],[Row]])</f>
        <v>311</v>
      </c>
      <c r="R311" cm="1">
        <f t="array" ref="R311">_xlfn.XLOOKUP(
Guide[[#This Row],[Dataset]]&amp;Guide[[#This Row],[Category_1]]&amp;Guide[[#This Row],[Category_2]]&amp;Guide[[#This Row],[Dim_Group]],_xlfn.ANCHORARRAY( Sheet1!$N$2),_xlfn.CHOOSECOLS(_xlfn.ANCHORARRAY(Sheet1!$I$2),5),0)</f>
        <v>311</v>
      </c>
    </row>
    <row r="312" spans="1:18" hidden="1" x14ac:dyDescent="0.3">
      <c r="A312" t="s">
        <v>15</v>
      </c>
      <c r="B312" t="s">
        <v>43</v>
      </c>
      <c r="C312" t="s">
        <v>44</v>
      </c>
      <c r="D312" s="3" t="s">
        <v>44</v>
      </c>
      <c r="E312" s="3" t="s">
        <v>37</v>
      </c>
      <c r="F312">
        <v>1</v>
      </c>
      <c r="G312" t="s">
        <v>193</v>
      </c>
      <c r="H312" t="s">
        <v>38</v>
      </c>
      <c r="I312" t="s">
        <v>44</v>
      </c>
      <c r="K312" t="s">
        <v>99</v>
      </c>
      <c r="L312" t="s">
        <v>19</v>
      </c>
      <c r="M312" t="s">
        <v>38</v>
      </c>
      <c r="N312" t="s">
        <v>21</v>
      </c>
      <c r="P312" t="s">
        <v>946</v>
      </c>
      <c r="Q312">
        <f>ROW(Guide[[#This Row],[Row]])</f>
        <v>312</v>
      </c>
      <c r="R312" cm="1">
        <f t="array" ref="R312">_xlfn.XLOOKUP(
Guide[[#This Row],[Dataset]]&amp;Guide[[#This Row],[Category_1]]&amp;Guide[[#This Row],[Category_2]]&amp;Guide[[#This Row],[Dim_Group]],_xlfn.ANCHORARRAY( Sheet1!$N$2),_xlfn.CHOOSECOLS(_xlfn.ANCHORARRAY(Sheet1!$I$2),5),0)</f>
        <v>312</v>
      </c>
    </row>
    <row r="313" spans="1:18" hidden="1" x14ac:dyDescent="0.3">
      <c r="A313" t="s">
        <v>15</v>
      </c>
      <c r="B313" t="s">
        <v>45</v>
      </c>
      <c r="C313" t="s">
        <v>46</v>
      </c>
      <c r="D313" s="3" t="s">
        <v>46</v>
      </c>
      <c r="E313" s="3" t="s">
        <v>47</v>
      </c>
      <c r="F313">
        <v>1</v>
      </c>
      <c r="G313" t="s">
        <v>193</v>
      </c>
      <c r="H313" t="s">
        <v>38</v>
      </c>
      <c r="I313" t="s">
        <v>46</v>
      </c>
      <c r="K313" t="s">
        <v>99</v>
      </c>
      <c r="L313" t="s">
        <v>19</v>
      </c>
      <c r="M313" t="s">
        <v>38</v>
      </c>
      <c r="N313" t="s">
        <v>21</v>
      </c>
      <c r="P313" t="s">
        <v>946</v>
      </c>
      <c r="Q313">
        <f>ROW(Guide[[#This Row],[Row]])</f>
        <v>313</v>
      </c>
      <c r="R313" cm="1">
        <f t="array" ref="R313">_xlfn.XLOOKUP(
Guide[[#This Row],[Dataset]]&amp;Guide[[#This Row],[Category_1]]&amp;Guide[[#This Row],[Category_2]]&amp;Guide[[#This Row],[Dim_Group]],_xlfn.ANCHORARRAY( Sheet1!$N$2),_xlfn.CHOOSECOLS(_xlfn.ANCHORARRAY(Sheet1!$I$2),5),0)</f>
        <v>313</v>
      </c>
    </row>
    <row r="314" spans="1:18" hidden="1" x14ac:dyDescent="0.3">
      <c r="A314" t="s">
        <v>15</v>
      </c>
      <c r="B314" t="s">
        <v>48</v>
      </c>
      <c r="C314" t="s">
        <v>49</v>
      </c>
      <c r="D314" s="3" t="s">
        <v>49</v>
      </c>
      <c r="E314" s="3" t="s">
        <v>47</v>
      </c>
      <c r="F314">
        <v>1</v>
      </c>
      <c r="G314" t="s">
        <v>193</v>
      </c>
      <c r="H314" t="s">
        <v>38</v>
      </c>
      <c r="I314" t="s">
        <v>49</v>
      </c>
      <c r="K314" t="s">
        <v>99</v>
      </c>
      <c r="L314" t="s">
        <v>19</v>
      </c>
      <c r="M314" t="s">
        <v>38</v>
      </c>
      <c r="N314" t="s">
        <v>21</v>
      </c>
      <c r="P314" t="s">
        <v>946</v>
      </c>
      <c r="Q314">
        <f>ROW(Guide[[#This Row],[Row]])</f>
        <v>314</v>
      </c>
      <c r="R314" cm="1">
        <f t="array" ref="R314">_xlfn.XLOOKUP(
Guide[[#This Row],[Dataset]]&amp;Guide[[#This Row],[Category_1]]&amp;Guide[[#This Row],[Category_2]]&amp;Guide[[#This Row],[Dim_Group]],_xlfn.ANCHORARRAY( Sheet1!$N$2),_xlfn.CHOOSECOLS(_xlfn.ANCHORARRAY(Sheet1!$I$2),5),0)</f>
        <v>314</v>
      </c>
    </row>
    <row r="315" spans="1:18" hidden="1" x14ac:dyDescent="0.3">
      <c r="A315" t="s">
        <v>15</v>
      </c>
      <c r="B315" t="s">
        <v>50</v>
      </c>
      <c r="C315" t="s">
        <v>51</v>
      </c>
      <c r="D315" s="3" t="s">
        <v>51</v>
      </c>
      <c r="E315" s="3" t="s">
        <v>52</v>
      </c>
      <c r="F315">
        <v>1</v>
      </c>
      <c r="G315" t="s">
        <v>193</v>
      </c>
      <c r="H315" t="s">
        <v>19</v>
      </c>
      <c r="I315" t="s">
        <v>51</v>
      </c>
      <c r="K315" t="s">
        <v>99</v>
      </c>
      <c r="L315" t="s">
        <v>19</v>
      </c>
      <c r="M315" t="s">
        <v>19</v>
      </c>
      <c r="N315" t="s">
        <v>21</v>
      </c>
      <c r="P315" t="s">
        <v>946</v>
      </c>
      <c r="Q315">
        <f>ROW(Guide[[#This Row],[Row]])</f>
        <v>315</v>
      </c>
      <c r="R315" cm="1">
        <f t="array" ref="R315">_xlfn.XLOOKUP(
Guide[[#This Row],[Dataset]]&amp;Guide[[#This Row],[Category_1]]&amp;Guide[[#This Row],[Category_2]]&amp;Guide[[#This Row],[Dim_Group]],_xlfn.ANCHORARRAY( Sheet1!$N$2),_xlfn.CHOOSECOLS(_xlfn.ANCHORARRAY(Sheet1!$I$2),5),0)</f>
        <v>315</v>
      </c>
    </row>
    <row r="316" spans="1:18" hidden="1" x14ac:dyDescent="0.3">
      <c r="A316" t="s">
        <v>15</v>
      </c>
      <c r="B316" t="s">
        <v>53</v>
      </c>
      <c r="C316" t="s">
        <v>54</v>
      </c>
      <c r="D316" s="3" t="s">
        <v>54</v>
      </c>
      <c r="E316" s="3" t="s">
        <v>52</v>
      </c>
      <c r="F316">
        <v>1</v>
      </c>
      <c r="G316" t="s">
        <v>193</v>
      </c>
      <c r="H316" t="s">
        <v>19</v>
      </c>
      <c r="I316" t="s">
        <v>54</v>
      </c>
      <c r="K316" t="s">
        <v>99</v>
      </c>
      <c r="L316" t="s">
        <v>19</v>
      </c>
      <c r="M316" t="s">
        <v>19</v>
      </c>
      <c r="N316" t="s">
        <v>21</v>
      </c>
      <c r="P316" t="s">
        <v>946</v>
      </c>
      <c r="Q316">
        <f>ROW(Guide[[#This Row],[Row]])</f>
        <v>316</v>
      </c>
      <c r="R316" cm="1">
        <f t="array" ref="R316">_xlfn.XLOOKUP(
Guide[[#This Row],[Dataset]]&amp;Guide[[#This Row],[Category_1]]&amp;Guide[[#This Row],[Category_2]]&amp;Guide[[#This Row],[Dim_Group]],_xlfn.ANCHORARRAY( Sheet1!$N$2),_xlfn.CHOOSECOLS(_xlfn.ANCHORARRAY(Sheet1!$I$2),5),0)</f>
        <v>316</v>
      </c>
    </row>
    <row r="317" spans="1:18" hidden="1" x14ac:dyDescent="0.3">
      <c r="A317" t="s">
        <v>15</v>
      </c>
      <c r="B317" t="s">
        <v>55</v>
      </c>
      <c r="C317" t="s">
        <v>56</v>
      </c>
      <c r="D317" s="3" t="s">
        <v>56</v>
      </c>
      <c r="E317" s="3" t="s">
        <v>57</v>
      </c>
      <c r="F317">
        <v>1</v>
      </c>
      <c r="G317" t="s">
        <v>193</v>
      </c>
      <c r="H317" t="s">
        <v>19</v>
      </c>
      <c r="I317" t="s">
        <v>56</v>
      </c>
      <c r="K317" t="s">
        <v>99</v>
      </c>
      <c r="L317" t="s">
        <v>19</v>
      </c>
      <c r="M317" t="s">
        <v>19</v>
      </c>
      <c r="N317" t="s">
        <v>21</v>
      </c>
      <c r="P317" t="s">
        <v>946</v>
      </c>
      <c r="Q317">
        <f>ROW(Guide[[#This Row],[Row]])</f>
        <v>317</v>
      </c>
      <c r="R317" cm="1">
        <f t="array" ref="R317">_xlfn.XLOOKUP(
Guide[[#This Row],[Dataset]]&amp;Guide[[#This Row],[Category_1]]&amp;Guide[[#This Row],[Category_2]]&amp;Guide[[#This Row],[Dim_Group]],_xlfn.ANCHORARRAY( Sheet1!$N$2),_xlfn.CHOOSECOLS(_xlfn.ANCHORARRAY(Sheet1!$I$2),5),0)</f>
        <v>317</v>
      </c>
    </row>
    <row r="318" spans="1:18" hidden="1" x14ac:dyDescent="0.3">
      <c r="A318" t="s">
        <v>15</v>
      </c>
      <c r="B318" t="s">
        <v>58</v>
      </c>
      <c r="C318" t="s">
        <v>59</v>
      </c>
      <c r="D318" s="3" t="s">
        <v>59</v>
      </c>
      <c r="E318" s="3" t="s">
        <v>57</v>
      </c>
      <c r="F318">
        <v>1</v>
      </c>
      <c r="G318" t="s">
        <v>193</v>
      </c>
      <c r="H318" t="s">
        <v>19</v>
      </c>
      <c r="I318" t="s">
        <v>59</v>
      </c>
      <c r="K318" t="s">
        <v>99</v>
      </c>
      <c r="L318" t="s">
        <v>19</v>
      </c>
      <c r="M318" t="s">
        <v>19</v>
      </c>
      <c r="N318" t="s">
        <v>21</v>
      </c>
      <c r="P318" t="s">
        <v>946</v>
      </c>
      <c r="Q318">
        <f>ROW(Guide[[#This Row],[Row]])</f>
        <v>318</v>
      </c>
      <c r="R318" cm="1">
        <f t="array" ref="R318">_xlfn.XLOOKUP(
Guide[[#This Row],[Dataset]]&amp;Guide[[#This Row],[Category_1]]&amp;Guide[[#This Row],[Category_2]]&amp;Guide[[#This Row],[Dim_Group]],_xlfn.ANCHORARRAY( Sheet1!$N$2),_xlfn.CHOOSECOLS(_xlfn.ANCHORARRAY(Sheet1!$I$2),5),0)</f>
        <v>318</v>
      </c>
    </row>
    <row r="319" spans="1:18" hidden="1" x14ac:dyDescent="0.3">
      <c r="A319" t="s">
        <v>15</v>
      </c>
      <c r="B319" t="s">
        <v>60</v>
      </c>
      <c r="C319" t="s">
        <v>61</v>
      </c>
      <c r="D319" s="3" t="s">
        <v>61</v>
      </c>
      <c r="E319" s="3" t="s">
        <v>62</v>
      </c>
      <c r="F319">
        <v>1</v>
      </c>
      <c r="G319" t="s">
        <v>193</v>
      </c>
      <c r="H319" t="s">
        <v>19</v>
      </c>
      <c r="I319" t="s">
        <v>61</v>
      </c>
      <c r="K319" t="s">
        <v>99</v>
      </c>
      <c r="L319" t="s">
        <v>20</v>
      </c>
      <c r="M319" t="s">
        <v>19</v>
      </c>
      <c r="N319" t="s">
        <v>21</v>
      </c>
      <c r="P319" t="s">
        <v>946</v>
      </c>
      <c r="Q319">
        <f>ROW(Guide[[#This Row],[Row]])</f>
        <v>319</v>
      </c>
      <c r="R319" cm="1">
        <f t="array" ref="R319">_xlfn.XLOOKUP(
Guide[[#This Row],[Dataset]]&amp;Guide[[#This Row],[Category_1]]&amp;Guide[[#This Row],[Category_2]]&amp;Guide[[#This Row],[Dim_Group]],_xlfn.ANCHORARRAY( Sheet1!$N$2),_xlfn.CHOOSECOLS(_xlfn.ANCHORARRAY(Sheet1!$I$2),5),0)</f>
        <v>319</v>
      </c>
    </row>
    <row r="320" spans="1:18" hidden="1" x14ac:dyDescent="0.3">
      <c r="A320" t="s">
        <v>15</v>
      </c>
      <c r="B320" t="s">
        <v>63</v>
      </c>
      <c r="C320" t="s">
        <v>64</v>
      </c>
      <c r="D320" s="3" t="s">
        <v>64</v>
      </c>
      <c r="E320" s="3" t="s">
        <v>62</v>
      </c>
      <c r="F320">
        <v>1</v>
      </c>
      <c r="G320" t="s">
        <v>193</v>
      </c>
      <c r="H320" t="s">
        <v>19</v>
      </c>
      <c r="I320" t="s">
        <v>64</v>
      </c>
      <c r="K320" t="s">
        <v>99</v>
      </c>
      <c r="L320" t="s">
        <v>20</v>
      </c>
      <c r="M320" t="s">
        <v>19</v>
      </c>
      <c r="N320" t="s">
        <v>21</v>
      </c>
      <c r="P320" t="s">
        <v>946</v>
      </c>
      <c r="Q320">
        <f>ROW(Guide[[#This Row],[Row]])</f>
        <v>320</v>
      </c>
      <c r="R320" cm="1">
        <f t="array" ref="R320">_xlfn.XLOOKUP(
Guide[[#This Row],[Dataset]]&amp;Guide[[#This Row],[Category_1]]&amp;Guide[[#This Row],[Category_2]]&amp;Guide[[#This Row],[Dim_Group]],_xlfn.ANCHORARRAY( Sheet1!$N$2),_xlfn.CHOOSECOLS(_xlfn.ANCHORARRAY(Sheet1!$I$2),5),0)</f>
        <v>320</v>
      </c>
    </row>
    <row r="321" spans="1:18" hidden="1" x14ac:dyDescent="0.3">
      <c r="A321" t="s">
        <v>15</v>
      </c>
      <c r="B321" t="s">
        <v>65</v>
      </c>
      <c r="C321" t="s">
        <v>66</v>
      </c>
      <c r="D321" s="3" t="s">
        <v>66</v>
      </c>
      <c r="E321" s="3" t="s">
        <v>67</v>
      </c>
      <c r="F321">
        <v>1</v>
      </c>
      <c r="G321" t="s">
        <v>193</v>
      </c>
      <c r="H321" t="s">
        <v>68</v>
      </c>
      <c r="I321" t="s">
        <v>66</v>
      </c>
      <c r="K321" t="s">
        <v>99</v>
      </c>
      <c r="L321" t="s">
        <v>68</v>
      </c>
      <c r="M321" t="s">
        <v>68</v>
      </c>
      <c r="N321" t="s">
        <v>21</v>
      </c>
      <c r="P321" t="s">
        <v>946</v>
      </c>
      <c r="Q321">
        <f>ROW(Guide[[#This Row],[Row]])</f>
        <v>321</v>
      </c>
      <c r="R321" cm="1">
        <f t="array" ref="R321">_xlfn.XLOOKUP(
Guide[[#This Row],[Dataset]]&amp;Guide[[#This Row],[Category_1]]&amp;Guide[[#This Row],[Category_2]]&amp;Guide[[#This Row],[Dim_Group]],_xlfn.ANCHORARRAY( Sheet1!$N$2),_xlfn.CHOOSECOLS(_xlfn.ANCHORARRAY(Sheet1!$I$2),5),0)</f>
        <v>321</v>
      </c>
    </row>
    <row r="322" spans="1:18" hidden="1" x14ac:dyDescent="0.3">
      <c r="A322" t="s">
        <v>15</v>
      </c>
      <c r="B322" t="s">
        <v>69</v>
      </c>
      <c r="C322" t="s">
        <v>70</v>
      </c>
      <c r="D322" s="3" t="s">
        <v>70</v>
      </c>
      <c r="E322" s="3" t="s">
        <v>67</v>
      </c>
      <c r="F322">
        <v>1</v>
      </c>
      <c r="G322" t="s">
        <v>193</v>
      </c>
      <c r="H322" t="s">
        <v>68</v>
      </c>
      <c r="I322" t="s">
        <v>70</v>
      </c>
      <c r="K322" t="s">
        <v>99</v>
      </c>
      <c r="L322" t="s">
        <v>68</v>
      </c>
      <c r="M322" t="s">
        <v>68</v>
      </c>
      <c r="N322" t="s">
        <v>21</v>
      </c>
      <c r="P322" t="s">
        <v>946</v>
      </c>
      <c r="Q322">
        <f>ROW(Guide[[#This Row],[Row]])</f>
        <v>322</v>
      </c>
      <c r="R322" cm="1">
        <f t="array" ref="R322">_xlfn.XLOOKUP(
Guide[[#This Row],[Dataset]]&amp;Guide[[#This Row],[Category_1]]&amp;Guide[[#This Row],[Category_2]]&amp;Guide[[#This Row],[Dim_Group]],_xlfn.ANCHORARRAY( Sheet1!$N$2),_xlfn.CHOOSECOLS(_xlfn.ANCHORARRAY(Sheet1!$I$2),5),0)</f>
        <v>322</v>
      </c>
    </row>
    <row r="323" spans="1:18" hidden="1" x14ac:dyDescent="0.3">
      <c r="A323" t="s">
        <v>15</v>
      </c>
      <c r="B323" t="s">
        <v>71</v>
      </c>
      <c r="C323" t="s">
        <v>72</v>
      </c>
      <c r="D323" s="3" t="s">
        <v>72</v>
      </c>
      <c r="E323" s="3" t="s">
        <v>73</v>
      </c>
      <c r="F323">
        <v>1</v>
      </c>
      <c r="G323" t="s">
        <v>193</v>
      </c>
      <c r="H323" t="s">
        <v>74</v>
      </c>
      <c r="I323" t="s">
        <v>72</v>
      </c>
      <c r="K323" t="s">
        <v>99</v>
      </c>
      <c r="L323" t="s">
        <v>74</v>
      </c>
      <c r="M323" t="s">
        <v>74</v>
      </c>
      <c r="N323" t="s">
        <v>21</v>
      </c>
      <c r="P323" t="s">
        <v>946</v>
      </c>
      <c r="Q323">
        <f>ROW(Guide[[#This Row],[Row]])</f>
        <v>323</v>
      </c>
      <c r="R323" cm="1">
        <f t="array" ref="R323">_xlfn.XLOOKUP(
Guide[[#This Row],[Dataset]]&amp;Guide[[#This Row],[Category_1]]&amp;Guide[[#This Row],[Category_2]]&amp;Guide[[#This Row],[Dim_Group]],_xlfn.ANCHORARRAY( Sheet1!$N$2),_xlfn.CHOOSECOLS(_xlfn.ANCHORARRAY(Sheet1!$I$2),5),0)</f>
        <v>323</v>
      </c>
    </row>
    <row r="324" spans="1:18" hidden="1" x14ac:dyDescent="0.3">
      <c r="A324" t="s">
        <v>15</v>
      </c>
      <c r="B324" t="s">
        <v>75</v>
      </c>
      <c r="C324" t="s">
        <v>76</v>
      </c>
      <c r="D324" s="3" t="s">
        <v>76</v>
      </c>
      <c r="E324" s="3" t="s">
        <v>73</v>
      </c>
      <c r="F324">
        <v>1</v>
      </c>
      <c r="G324" t="s">
        <v>193</v>
      </c>
      <c r="H324" t="s">
        <v>74</v>
      </c>
      <c r="I324" t="s">
        <v>76</v>
      </c>
      <c r="K324" t="s">
        <v>99</v>
      </c>
      <c r="L324" t="s">
        <v>74</v>
      </c>
      <c r="M324" t="s">
        <v>74</v>
      </c>
      <c r="N324" t="s">
        <v>21</v>
      </c>
      <c r="P324" t="s">
        <v>946</v>
      </c>
      <c r="Q324">
        <f>ROW(Guide[[#This Row],[Row]])</f>
        <v>324</v>
      </c>
      <c r="R324" cm="1">
        <f t="array" ref="R324">_xlfn.XLOOKUP(
Guide[[#This Row],[Dataset]]&amp;Guide[[#This Row],[Category_1]]&amp;Guide[[#This Row],[Category_2]]&amp;Guide[[#This Row],[Dim_Group]],_xlfn.ANCHORARRAY( Sheet1!$N$2),_xlfn.CHOOSECOLS(_xlfn.ANCHORARRAY(Sheet1!$I$2),5),0)</f>
        <v>324</v>
      </c>
    </row>
    <row r="325" spans="1:18" hidden="1" x14ac:dyDescent="0.3">
      <c r="A325" t="s">
        <v>15</v>
      </c>
      <c r="B325" t="s">
        <v>77</v>
      </c>
      <c r="C325" t="s">
        <v>78</v>
      </c>
      <c r="D325" s="3" t="s">
        <v>78</v>
      </c>
      <c r="E325" s="3" t="s">
        <v>79</v>
      </c>
      <c r="F325">
        <v>1</v>
      </c>
      <c r="G325" t="s">
        <v>193</v>
      </c>
      <c r="H325" t="s">
        <v>19</v>
      </c>
      <c r="I325" t="s">
        <v>78</v>
      </c>
      <c r="K325" t="s">
        <v>99</v>
      </c>
      <c r="L325" t="s">
        <v>19</v>
      </c>
      <c r="M325" t="s">
        <v>19</v>
      </c>
      <c r="N325" t="s">
        <v>21</v>
      </c>
      <c r="P325" t="s">
        <v>946</v>
      </c>
      <c r="Q325">
        <f>ROW(Guide[[#This Row],[Row]])</f>
        <v>325</v>
      </c>
      <c r="R325" cm="1">
        <f t="array" ref="R325">_xlfn.XLOOKUP(
Guide[[#This Row],[Dataset]]&amp;Guide[[#This Row],[Category_1]]&amp;Guide[[#This Row],[Category_2]]&amp;Guide[[#This Row],[Dim_Group]],_xlfn.ANCHORARRAY( Sheet1!$N$2),_xlfn.CHOOSECOLS(_xlfn.ANCHORARRAY(Sheet1!$I$2),5),0)</f>
        <v>325</v>
      </c>
    </row>
    <row r="326" spans="1:18" hidden="1" x14ac:dyDescent="0.3">
      <c r="A326" t="s">
        <v>15</v>
      </c>
      <c r="B326" t="s">
        <v>80</v>
      </c>
      <c r="C326" t="s">
        <v>81</v>
      </c>
      <c r="D326" s="3" t="s">
        <v>81</v>
      </c>
      <c r="E326" s="3" t="s">
        <v>79</v>
      </c>
      <c r="F326">
        <v>1</v>
      </c>
      <c r="G326" t="s">
        <v>193</v>
      </c>
      <c r="H326" t="s">
        <v>19</v>
      </c>
      <c r="I326" t="s">
        <v>81</v>
      </c>
      <c r="K326" t="s">
        <v>99</v>
      </c>
      <c r="L326" t="s">
        <v>19</v>
      </c>
      <c r="M326" t="s">
        <v>19</v>
      </c>
      <c r="N326" t="s">
        <v>21</v>
      </c>
      <c r="P326" t="s">
        <v>946</v>
      </c>
      <c r="Q326">
        <f>ROW(Guide[[#This Row],[Row]])</f>
        <v>326</v>
      </c>
      <c r="R326" cm="1">
        <f t="array" ref="R326">_xlfn.XLOOKUP(
Guide[[#This Row],[Dataset]]&amp;Guide[[#This Row],[Category_1]]&amp;Guide[[#This Row],[Category_2]]&amp;Guide[[#This Row],[Dim_Group]],_xlfn.ANCHORARRAY( Sheet1!$N$2),_xlfn.CHOOSECOLS(_xlfn.ANCHORARRAY(Sheet1!$I$2),5),0)</f>
        <v>326</v>
      </c>
    </row>
    <row r="327" spans="1:18" hidden="1" x14ac:dyDescent="0.3">
      <c r="A327" t="s">
        <v>863</v>
      </c>
      <c r="B327" t="s">
        <v>864</v>
      </c>
      <c r="C327" t="s">
        <v>865</v>
      </c>
      <c r="D327" s="3" t="s">
        <v>865</v>
      </c>
      <c r="E327" s="3" t="s">
        <v>223</v>
      </c>
      <c r="F327">
        <v>1</v>
      </c>
      <c r="G327" t="s">
        <v>866</v>
      </c>
      <c r="H327" t="s">
        <v>224</v>
      </c>
      <c r="I327" t="s">
        <v>865</v>
      </c>
      <c r="K327" t="s">
        <v>99</v>
      </c>
      <c r="L327" t="s">
        <v>224</v>
      </c>
      <c r="M327" t="s">
        <v>224</v>
      </c>
      <c r="N327" t="s">
        <v>5</v>
      </c>
      <c r="P327" t="s">
        <v>947</v>
      </c>
      <c r="Q327">
        <f>ROW(Guide[[#This Row],[Row]])</f>
        <v>327</v>
      </c>
      <c r="R327" cm="1">
        <f t="array" ref="R327">_xlfn.XLOOKUP(
Guide[[#This Row],[Dataset]]&amp;Guide[[#This Row],[Category_1]]&amp;Guide[[#This Row],[Category_2]]&amp;Guide[[#This Row],[Dim_Group]],_xlfn.ANCHORARRAY( Sheet1!$N$2),_xlfn.CHOOSECOLS(_xlfn.ANCHORARRAY(Sheet1!$I$2),5),0)</f>
        <v>327</v>
      </c>
    </row>
    <row r="328" spans="1:18" hidden="1" x14ac:dyDescent="0.3">
      <c r="A328" t="s">
        <v>863</v>
      </c>
      <c r="B328" t="s">
        <v>867</v>
      </c>
      <c r="C328" t="s">
        <v>868</v>
      </c>
      <c r="D328" s="3" t="s">
        <v>865</v>
      </c>
      <c r="E328" s="3" t="s">
        <v>868</v>
      </c>
      <c r="F328">
        <v>1</v>
      </c>
      <c r="G328" t="s">
        <v>869</v>
      </c>
      <c r="H328" t="s">
        <v>224</v>
      </c>
      <c r="I328" t="s">
        <v>868</v>
      </c>
      <c r="K328" t="s">
        <v>99</v>
      </c>
      <c r="L328" t="s">
        <v>224</v>
      </c>
      <c r="M328" t="s">
        <v>224</v>
      </c>
      <c r="N328" t="s">
        <v>5</v>
      </c>
      <c r="P328" t="s">
        <v>947</v>
      </c>
      <c r="Q328">
        <f>ROW(Guide[[#This Row],[Row]])</f>
        <v>328</v>
      </c>
      <c r="R328" cm="1">
        <f t="array" ref="R328">_xlfn.XLOOKUP(
Guide[[#This Row],[Dataset]]&amp;Guide[[#This Row],[Category_1]]&amp;Guide[[#This Row],[Category_2]]&amp;Guide[[#This Row],[Dim_Group]],_xlfn.ANCHORARRAY( Sheet1!$N$2),_xlfn.CHOOSECOLS(_xlfn.ANCHORARRAY(Sheet1!$I$2),5),0)</f>
        <v>328</v>
      </c>
    </row>
    <row r="329" spans="1:18" hidden="1" x14ac:dyDescent="0.3">
      <c r="A329" t="s">
        <v>863</v>
      </c>
      <c r="B329" t="s">
        <v>870</v>
      </c>
      <c r="C329" t="s">
        <v>871</v>
      </c>
      <c r="D329" s="3" t="s">
        <v>865</v>
      </c>
      <c r="E329" s="3" t="s">
        <v>871</v>
      </c>
      <c r="F329">
        <v>1</v>
      </c>
      <c r="G329" t="s">
        <v>869</v>
      </c>
      <c r="H329" t="s">
        <v>224</v>
      </c>
      <c r="I329" t="s">
        <v>871</v>
      </c>
      <c r="K329" t="s">
        <v>99</v>
      </c>
      <c r="L329" t="s">
        <v>224</v>
      </c>
      <c r="M329" t="s">
        <v>224</v>
      </c>
      <c r="N329" t="s">
        <v>5</v>
      </c>
      <c r="P329" t="s">
        <v>947</v>
      </c>
      <c r="Q329">
        <f>ROW(Guide[[#This Row],[Row]])</f>
        <v>329</v>
      </c>
      <c r="R329" cm="1">
        <f t="array" ref="R329">_xlfn.XLOOKUP(
Guide[[#This Row],[Dataset]]&amp;Guide[[#This Row],[Category_1]]&amp;Guide[[#This Row],[Category_2]]&amp;Guide[[#This Row],[Dim_Group]],_xlfn.ANCHORARRAY( Sheet1!$N$2),_xlfn.CHOOSECOLS(_xlfn.ANCHORARRAY(Sheet1!$I$2),5),0)</f>
        <v>329</v>
      </c>
    </row>
    <row r="330" spans="1:18" hidden="1" x14ac:dyDescent="0.3">
      <c r="A330" t="s">
        <v>863</v>
      </c>
      <c r="B330" t="s">
        <v>872</v>
      </c>
      <c r="C330" t="s">
        <v>873</v>
      </c>
      <c r="D330" s="3" t="s">
        <v>865</v>
      </c>
      <c r="E330" s="3" t="s">
        <v>873</v>
      </c>
      <c r="F330">
        <v>1</v>
      </c>
      <c r="G330" t="s">
        <v>869</v>
      </c>
      <c r="H330" t="s">
        <v>224</v>
      </c>
      <c r="I330" t="s">
        <v>873</v>
      </c>
      <c r="K330" t="s">
        <v>99</v>
      </c>
      <c r="L330" t="s">
        <v>224</v>
      </c>
      <c r="M330" t="s">
        <v>224</v>
      </c>
      <c r="N330" t="s">
        <v>5</v>
      </c>
      <c r="P330" t="s">
        <v>947</v>
      </c>
      <c r="Q330">
        <f>ROW(Guide[[#This Row],[Row]])</f>
        <v>330</v>
      </c>
      <c r="R330" cm="1">
        <f t="array" ref="R330">_xlfn.XLOOKUP(
Guide[[#This Row],[Dataset]]&amp;Guide[[#This Row],[Category_1]]&amp;Guide[[#This Row],[Category_2]]&amp;Guide[[#This Row],[Dim_Group]],_xlfn.ANCHORARRAY( Sheet1!$N$2),_xlfn.CHOOSECOLS(_xlfn.ANCHORARRAY(Sheet1!$I$2),5),0)</f>
        <v>330</v>
      </c>
    </row>
    <row r="331" spans="1:18" hidden="1" x14ac:dyDescent="0.3">
      <c r="A331" t="s">
        <v>863</v>
      </c>
      <c r="B331" t="s">
        <v>874</v>
      </c>
      <c r="C331" t="s">
        <v>875</v>
      </c>
      <c r="D331" s="3" t="s">
        <v>865</v>
      </c>
      <c r="E331" s="3" t="s">
        <v>875</v>
      </c>
      <c r="F331">
        <v>1</v>
      </c>
      <c r="G331" t="s">
        <v>869</v>
      </c>
      <c r="H331" t="s">
        <v>224</v>
      </c>
      <c r="I331" t="s">
        <v>875</v>
      </c>
      <c r="K331" t="s">
        <v>99</v>
      </c>
      <c r="L331" t="s">
        <v>224</v>
      </c>
      <c r="M331" t="s">
        <v>224</v>
      </c>
      <c r="N331" t="s">
        <v>5</v>
      </c>
      <c r="P331" t="s">
        <v>947</v>
      </c>
      <c r="Q331">
        <f>ROW(Guide[[#This Row],[Row]])</f>
        <v>331</v>
      </c>
      <c r="R331" cm="1">
        <f t="array" ref="R331">_xlfn.XLOOKUP(
Guide[[#This Row],[Dataset]]&amp;Guide[[#This Row],[Category_1]]&amp;Guide[[#This Row],[Category_2]]&amp;Guide[[#This Row],[Dim_Group]],_xlfn.ANCHORARRAY( Sheet1!$N$2),_xlfn.CHOOSECOLS(_xlfn.ANCHORARRAY(Sheet1!$I$2),5),0)</f>
        <v>331</v>
      </c>
    </row>
    <row r="332" spans="1:18" hidden="1" x14ac:dyDescent="0.3">
      <c r="A332" t="s">
        <v>863</v>
      </c>
      <c r="B332" t="s">
        <v>876</v>
      </c>
      <c r="C332" t="s">
        <v>877</v>
      </c>
      <c r="D332" s="3" t="s">
        <v>877</v>
      </c>
      <c r="E332" s="3" t="s">
        <v>223</v>
      </c>
      <c r="F332">
        <v>1</v>
      </c>
      <c r="G332" t="s">
        <v>866</v>
      </c>
      <c r="H332" t="s">
        <v>224</v>
      </c>
      <c r="I332" t="s">
        <v>877</v>
      </c>
      <c r="K332" t="s">
        <v>99</v>
      </c>
      <c r="L332" t="s">
        <v>224</v>
      </c>
      <c r="M332" t="s">
        <v>224</v>
      </c>
      <c r="N332" t="s">
        <v>5</v>
      </c>
      <c r="P332" t="s">
        <v>947</v>
      </c>
      <c r="Q332">
        <f>ROW(Guide[[#This Row],[Row]])</f>
        <v>332</v>
      </c>
      <c r="R332" cm="1">
        <f t="array" ref="R332">_xlfn.XLOOKUP(
Guide[[#This Row],[Dataset]]&amp;Guide[[#This Row],[Category_1]]&amp;Guide[[#This Row],[Category_2]]&amp;Guide[[#This Row],[Dim_Group]],_xlfn.ANCHORARRAY( Sheet1!$N$2),_xlfn.CHOOSECOLS(_xlfn.ANCHORARRAY(Sheet1!$I$2),5),0)</f>
        <v>332</v>
      </c>
    </row>
    <row r="333" spans="1:18" hidden="1" x14ac:dyDescent="0.3">
      <c r="A333" t="s">
        <v>863</v>
      </c>
      <c r="B333" t="s">
        <v>878</v>
      </c>
      <c r="C333" t="s">
        <v>868</v>
      </c>
      <c r="D333" s="3" t="s">
        <v>877</v>
      </c>
      <c r="E333" s="3" t="s">
        <v>868</v>
      </c>
      <c r="F333">
        <v>1</v>
      </c>
      <c r="G333" t="s">
        <v>869</v>
      </c>
      <c r="H333" t="s">
        <v>224</v>
      </c>
      <c r="I333" t="s">
        <v>868</v>
      </c>
      <c r="K333" t="s">
        <v>99</v>
      </c>
      <c r="L333" t="s">
        <v>224</v>
      </c>
      <c r="M333" t="s">
        <v>224</v>
      </c>
      <c r="N333" t="s">
        <v>5</v>
      </c>
      <c r="P333" t="s">
        <v>947</v>
      </c>
      <c r="Q333">
        <f>ROW(Guide[[#This Row],[Row]])</f>
        <v>333</v>
      </c>
      <c r="R333" cm="1">
        <f t="array" ref="R333">_xlfn.XLOOKUP(
Guide[[#This Row],[Dataset]]&amp;Guide[[#This Row],[Category_1]]&amp;Guide[[#This Row],[Category_2]]&amp;Guide[[#This Row],[Dim_Group]],_xlfn.ANCHORARRAY( Sheet1!$N$2),_xlfn.CHOOSECOLS(_xlfn.ANCHORARRAY(Sheet1!$I$2),5),0)</f>
        <v>333</v>
      </c>
    </row>
    <row r="334" spans="1:18" hidden="1" x14ac:dyDescent="0.3">
      <c r="A334" t="s">
        <v>863</v>
      </c>
      <c r="B334" t="s">
        <v>879</v>
      </c>
      <c r="C334" t="s">
        <v>871</v>
      </c>
      <c r="D334" s="3" t="s">
        <v>877</v>
      </c>
      <c r="E334" s="3" t="s">
        <v>871</v>
      </c>
      <c r="F334">
        <v>1</v>
      </c>
      <c r="G334" t="s">
        <v>869</v>
      </c>
      <c r="H334" t="s">
        <v>224</v>
      </c>
      <c r="I334" t="s">
        <v>871</v>
      </c>
      <c r="K334" t="s">
        <v>99</v>
      </c>
      <c r="L334" t="s">
        <v>224</v>
      </c>
      <c r="M334" t="s">
        <v>224</v>
      </c>
      <c r="N334" t="s">
        <v>5</v>
      </c>
      <c r="P334" t="s">
        <v>947</v>
      </c>
      <c r="Q334">
        <f>ROW(Guide[[#This Row],[Row]])</f>
        <v>334</v>
      </c>
      <c r="R334" cm="1">
        <f t="array" ref="R334">_xlfn.XLOOKUP(
Guide[[#This Row],[Dataset]]&amp;Guide[[#This Row],[Category_1]]&amp;Guide[[#This Row],[Category_2]]&amp;Guide[[#This Row],[Dim_Group]],_xlfn.ANCHORARRAY( Sheet1!$N$2),_xlfn.CHOOSECOLS(_xlfn.ANCHORARRAY(Sheet1!$I$2),5),0)</f>
        <v>334</v>
      </c>
    </row>
    <row r="335" spans="1:18" hidden="1" x14ac:dyDescent="0.3">
      <c r="A335" t="s">
        <v>863</v>
      </c>
      <c r="B335" t="s">
        <v>880</v>
      </c>
      <c r="C335" t="s">
        <v>873</v>
      </c>
      <c r="D335" s="3" t="s">
        <v>877</v>
      </c>
      <c r="E335" s="3" t="s">
        <v>873</v>
      </c>
      <c r="F335">
        <v>1</v>
      </c>
      <c r="G335" t="s">
        <v>869</v>
      </c>
      <c r="H335" t="s">
        <v>224</v>
      </c>
      <c r="I335" t="s">
        <v>873</v>
      </c>
      <c r="K335" t="s">
        <v>99</v>
      </c>
      <c r="L335" t="s">
        <v>224</v>
      </c>
      <c r="M335" t="s">
        <v>224</v>
      </c>
      <c r="N335" t="s">
        <v>5</v>
      </c>
      <c r="P335" t="s">
        <v>947</v>
      </c>
      <c r="Q335">
        <f>ROW(Guide[[#This Row],[Row]])</f>
        <v>335</v>
      </c>
      <c r="R335" cm="1">
        <f t="array" ref="R335">_xlfn.XLOOKUP(
Guide[[#This Row],[Dataset]]&amp;Guide[[#This Row],[Category_1]]&amp;Guide[[#This Row],[Category_2]]&amp;Guide[[#This Row],[Dim_Group]],_xlfn.ANCHORARRAY( Sheet1!$N$2),_xlfn.CHOOSECOLS(_xlfn.ANCHORARRAY(Sheet1!$I$2),5),0)</f>
        <v>335</v>
      </c>
    </row>
    <row r="336" spans="1:18" hidden="1" x14ac:dyDescent="0.3">
      <c r="A336" t="s">
        <v>863</v>
      </c>
      <c r="B336" t="s">
        <v>881</v>
      </c>
      <c r="C336" t="s">
        <v>875</v>
      </c>
      <c r="D336" s="3" t="s">
        <v>877</v>
      </c>
      <c r="E336" s="3" t="s">
        <v>875</v>
      </c>
      <c r="F336">
        <v>1</v>
      </c>
      <c r="G336" t="s">
        <v>869</v>
      </c>
      <c r="H336" t="s">
        <v>224</v>
      </c>
      <c r="I336" t="s">
        <v>875</v>
      </c>
      <c r="K336" t="s">
        <v>99</v>
      </c>
      <c r="L336" t="s">
        <v>224</v>
      </c>
      <c r="M336" t="s">
        <v>224</v>
      </c>
      <c r="N336" t="s">
        <v>5</v>
      </c>
      <c r="P336" t="s">
        <v>947</v>
      </c>
      <c r="Q336">
        <f>ROW(Guide[[#This Row],[Row]])</f>
        <v>336</v>
      </c>
      <c r="R336" cm="1">
        <f t="array" ref="R336">_xlfn.XLOOKUP(
Guide[[#This Row],[Dataset]]&amp;Guide[[#This Row],[Category_1]]&amp;Guide[[#This Row],[Category_2]]&amp;Guide[[#This Row],[Dim_Group]],_xlfn.ANCHORARRAY( Sheet1!$N$2),_xlfn.CHOOSECOLS(_xlfn.ANCHORARRAY(Sheet1!$I$2),5),0)</f>
        <v>336</v>
      </c>
    </row>
    <row r="337" spans="1:18" hidden="1" x14ac:dyDescent="0.3">
      <c r="A337" t="s">
        <v>863</v>
      </c>
      <c r="B337" t="s">
        <v>882</v>
      </c>
      <c r="C337" t="s">
        <v>883</v>
      </c>
      <c r="D337" s="3" t="s">
        <v>883</v>
      </c>
      <c r="E337" s="3" t="s">
        <v>223</v>
      </c>
      <c r="F337">
        <v>1</v>
      </c>
      <c r="G337" t="s">
        <v>866</v>
      </c>
      <c r="H337" t="s">
        <v>224</v>
      </c>
      <c r="I337" t="s">
        <v>883</v>
      </c>
      <c r="K337" t="s">
        <v>99</v>
      </c>
      <c r="L337" t="s">
        <v>224</v>
      </c>
      <c r="M337" t="s">
        <v>224</v>
      </c>
      <c r="N337" t="s">
        <v>5</v>
      </c>
      <c r="P337" t="s">
        <v>947</v>
      </c>
      <c r="Q337">
        <f>ROW(Guide[[#This Row],[Row]])</f>
        <v>337</v>
      </c>
      <c r="R337" cm="1">
        <f t="array" ref="R337">_xlfn.XLOOKUP(
Guide[[#This Row],[Dataset]]&amp;Guide[[#This Row],[Category_1]]&amp;Guide[[#This Row],[Category_2]]&amp;Guide[[#This Row],[Dim_Group]],_xlfn.ANCHORARRAY( Sheet1!$N$2),_xlfn.CHOOSECOLS(_xlfn.ANCHORARRAY(Sheet1!$I$2),5),0)</f>
        <v>337</v>
      </c>
    </row>
    <row r="338" spans="1:18" hidden="1" x14ac:dyDescent="0.3">
      <c r="A338" t="s">
        <v>863</v>
      </c>
      <c r="B338" t="s">
        <v>884</v>
      </c>
      <c r="C338" t="s">
        <v>868</v>
      </c>
      <c r="D338" s="3" t="s">
        <v>883</v>
      </c>
      <c r="E338" s="3" t="s">
        <v>885</v>
      </c>
      <c r="F338">
        <v>1</v>
      </c>
      <c r="G338" t="s">
        <v>869</v>
      </c>
      <c r="H338" t="s">
        <v>224</v>
      </c>
      <c r="I338" t="s">
        <v>868</v>
      </c>
      <c r="K338" t="s">
        <v>99</v>
      </c>
      <c r="L338" t="s">
        <v>224</v>
      </c>
      <c r="M338" t="s">
        <v>224</v>
      </c>
      <c r="N338" t="s">
        <v>5</v>
      </c>
      <c r="P338" t="s">
        <v>947</v>
      </c>
      <c r="Q338">
        <f>ROW(Guide[[#This Row],[Row]])</f>
        <v>338</v>
      </c>
      <c r="R338" cm="1">
        <f t="array" ref="R338">_xlfn.XLOOKUP(
Guide[[#This Row],[Dataset]]&amp;Guide[[#This Row],[Category_1]]&amp;Guide[[#This Row],[Category_2]]&amp;Guide[[#This Row],[Dim_Group]],_xlfn.ANCHORARRAY( Sheet1!$N$2),_xlfn.CHOOSECOLS(_xlfn.ANCHORARRAY(Sheet1!$I$2),5),0)</f>
        <v>338</v>
      </c>
    </row>
    <row r="339" spans="1:18" hidden="1" x14ac:dyDescent="0.3">
      <c r="A339" t="s">
        <v>863</v>
      </c>
      <c r="B339" t="s">
        <v>886</v>
      </c>
      <c r="C339" t="s">
        <v>871</v>
      </c>
      <c r="D339" s="3" t="s">
        <v>883</v>
      </c>
      <c r="E339" s="3" t="s">
        <v>887</v>
      </c>
      <c r="F339">
        <v>1</v>
      </c>
      <c r="G339" t="s">
        <v>869</v>
      </c>
      <c r="H339" t="s">
        <v>224</v>
      </c>
      <c r="I339" t="s">
        <v>871</v>
      </c>
      <c r="K339" t="s">
        <v>99</v>
      </c>
      <c r="L339" t="s">
        <v>224</v>
      </c>
      <c r="M339" t="s">
        <v>224</v>
      </c>
      <c r="N339" t="s">
        <v>5</v>
      </c>
      <c r="P339" t="s">
        <v>947</v>
      </c>
      <c r="Q339">
        <f>ROW(Guide[[#This Row],[Row]])</f>
        <v>339</v>
      </c>
      <c r="R339" cm="1">
        <f t="array" ref="R339">_xlfn.XLOOKUP(
Guide[[#This Row],[Dataset]]&amp;Guide[[#This Row],[Category_1]]&amp;Guide[[#This Row],[Category_2]]&amp;Guide[[#This Row],[Dim_Group]],_xlfn.ANCHORARRAY( Sheet1!$N$2),_xlfn.CHOOSECOLS(_xlfn.ANCHORARRAY(Sheet1!$I$2),5),0)</f>
        <v>339</v>
      </c>
    </row>
    <row r="340" spans="1:18" hidden="1" x14ac:dyDescent="0.3">
      <c r="A340" t="s">
        <v>863</v>
      </c>
      <c r="B340" t="s">
        <v>888</v>
      </c>
      <c r="C340" t="s">
        <v>873</v>
      </c>
      <c r="D340" s="3" t="s">
        <v>883</v>
      </c>
      <c r="E340" s="3" t="s">
        <v>889</v>
      </c>
      <c r="F340">
        <v>1</v>
      </c>
      <c r="G340" t="s">
        <v>869</v>
      </c>
      <c r="H340" t="s">
        <v>224</v>
      </c>
      <c r="I340" t="s">
        <v>873</v>
      </c>
      <c r="K340" t="s">
        <v>99</v>
      </c>
      <c r="L340" t="s">
        <v>224</v>
      </c>
      <c r="M340" t="s">
        <v>224</v>
      </c>
      <c r="N340" t="s">
        <v>5</v>
      </c>
      <c r="P340" t="s">
        <v>947</v>
      </c>
      <c r="Q340">
        <f>ROW(Guide[[#This Row],[Row]])</f>
        <v>340</v>
      </c>
      <c r="R340" cm="1">
        <f t="array" ref="R340">_xlfn.XLOOKUP(
Guide[[#This Row],[Dataset]]&amp;Guide[[#This Row],[Category_1]]&amp;Guide[[#This Row],[Category_2]]&amp;Guide[[#This Row],[Dim_Group]],_xlfn.ANCHORARRAY( Sheet1!$N$2),_xlfn.CHOOSECOLS(_xlfn.ANCHORARRAY(Sheet1!$I$2),5),0)</f>
        <v>340</v>
      </c>
    </row>
    <row r="341" spans="1:18" hidden="1" x14ac:dyDescent="0.3">
      <c r="A341" t="s">
        <v>863</v>
      </c>
      <c r="B341" t="s">
        <v>890</v>
      </c>
      <c r="C341" t="s">
        <v>875</v>
      </c>
      <c r="D341" s="3" t="s">
        <v>883</v>
      </c>
      <c r="E341" s="3" t="s">
        <v>875</v>
      </c>
      <c r="F341">
        <v>1</v>
      </c>
      <c r="G341" t="s">
        <v>869</v>
      </c>
      <c r="H341" t="s">
        <v>224</v>
      </c>
      <c r="I341" t="s">
        <v>875</v>
      </c>
      <c r="K341" t="s">
        <v>99</v>
      </c>
      <c r="L341" t="s">
        <v>224</v>
      </c>
      <c r="M341" t="s">
        <v>224</v>
      </c>
      <c r="N341" t="s">
        <v>5</v>
      </c>
      <c r="P341" t="s">
        <v>947</v>
      </c>
      <c r="Q341">
        <f>ROW(Guide[[#This Row],[Row]])</f>
        <v>341</v>
      </c>
      <c r="R341" cm="1">
        <f t="array" ref="R341">_xlfn.XLOOKUP(
Guide[[#This Row],[Dataset]]&amp;Guide[[#This Row],[Category_1]]&amp;Guide[[#This Row],[Category_2]]&amp;Guide[[#This Row],[Dim_Group]],_xlfn.ANCHORARRAY( Sheet1!$N$2),_xlfn.CHOOSECOLS(_xlfn.ANCHORARRAY(Sheet1!$I$2),5),0)</f>
        <v>341</v>
      </c>
    </row>
    <row r="342" spans="1:18" hidden="1" x14ac:dyDescent="0.3">
      <c r="A342" t="s">
        <v>863</v>
      </c>
      <c r="B342" t="s">
        <v>891</v>
      </c>
      <c r="C342" t="s">
        <v>892</v>
      </c>
      <c r="D342" s="3" t="s">
        <v>892</v>
      </c>
      <c r="E342" s="3" t="s">
        <v>223</v>
      </c>
      <c r="F342">
        <v>1</v>
      </c>
      <c r="G342" t="s">
        <v>866</v>
      </c>
      <c r="H342" t="s">
        <v>224</v>
      </c>
      <c r="I342" t="s">
        <v>892</v>
      </c>
      <c r="K342" t="s">
        <v>99</v>
      </c>
      <c r="L342" t="s">
        <v>224</v>
      </c>
      <c r="M342" t="s">
        <v>224</v>
      </c>
      <c r="N342" t="s">
        <v>5</v>
      </c>
      <c r="P342" t="s">
        <v>947</v>
      </c>
      <c r="Q342">
        <f>ROW(Guide[[#This Row],[Row]])</f>
        <v>342</v>
      </c>
      <c r="R342" cm="1">
        <f t="array" ref="R342">_xlfn.XLOOKUP(
Guide[[#This Row],[Dataset]]&amp;Guide[[#This Row],[Category_1]]&amp;Guide[[#This Row],[Category_2]]&amp;Guide[[#This Row],[Dim_Group]],_xlfn.ANCHORARRAY( Sheet1!$N$2),_xlfn.CHOOSECOLS(_xlfn.ANCHORARRAY(Sheet1!$I$2),5),0)</f>
        <v>342</v>
      </c>
    </row>
    <row r="343" spans="1:18" hidden="1" x14ac:dyDescent="0.3">
      <c r="A343" t="s">
        <v>863</v>
      </c>
      <c r="B343" t="s">
        <v>893</v>
      </c>
      <c r="C343" t="s">
        <v>868</v>
      </c>
      <c r="D343" s="3" t="s">
        <v>892</v>
      </c>
      <c r="E343" s="3" t="s">
        <v>868</v>
      </c>
      <c r="F343">
        <v>1</v>
      </c>
      <c r="G343" t="s">
        <v>869</v>
      </c>
      <c r="H343" t="s">
        <v>224</v>
      </c>
      <c r="I343" t="s">
        <v>868</v>
      </c>
      <c r="K343" t="s">
        <v>99</v>
      </c>
      <c r="L343" t="s">
        <v>224</v>
      </c>
      <c r="M343" t="s">
        <v>224</v>
      </c>
      <c r="N343" t="s">
        <v>5</v>
      </c>
      <c r="P343" t="s">
        <v>947</v>
      </c>
      <c r="Q343">
        <f>ROW(Guide[[#This Row],[Row]])</f>
        <v>343</v>
      </c>
      <c r="R343" cm="1">
        <f t="array" ref="R343">_xlfn.XLOOKUP(
Guide[[#This Row],[Dataset]]&amp;Guide[[#This Row],[Category_1]]&amp;Guide[[#This Row],[Category_2]]&amp;Guide[[#This Row],[Dim_Group]],_xlfn.ANCHORARRAY( Sheet1!$N$2),_xlfn.CHOOSECOLS(_xlfn.ANCHORARRAY(Sheet1!$I$2),5),0)</f>
        <v>343</v>
      </c>
    </row>
    <row r="344" spans="1:18" hidden="1" x14ac:dyDescent="0.3">
      <c r="A344" t="s">
        <v>863</v>
      </c>
      <c r="B344" t="s">
        <v>894</v>
      </c>
      <c r="C344" t="s">
        <v>871</v>
      </c>
      <c r="D344" s="3" t="s">
        <v>892</v>
      </c>
      <c r="E344" s="3" t="s">
        <v>871</v>
      </c>
      <c r="F344">
        <v>1</v>
      </c>
      <c r="G344" t="s">
        <v>869</v>
      </c>
      <c r="H344" t="s">
        <v>224</v>
      </c>
      <c r="I344" t="s">
        <v>871</v>
      </c>
      <c r="K344" t="s">
        <v>99</v>
      </c>
      <c r="L344" t="s">
        <v>224</v>
      </c>
      <c r="M344" t="s">
        <v>224</v>
      </c>
      <c r="N344" t="s">
        <v>5</v>
      </c>
      <c r="P344" t="s">
        <v>947</v>
      </c>
      <c r="Q344">
        <f>ROW(Guide[[#This Row],[Row]])</f>
        <v>344</v>
      </c>
      <c r="R344" cm="1">
        <f t="array" ref="R344">_xlfn.XLOOKUP(
Guide[[#This Row],[Dataset]]&amp;Guide[[#This Row],[Category_1]]&amp;Guide[[#This Row],[Category_2]]&amp;Guide[[#This Row],[Dim_Group]],_xlfn.ANCHORARRAY( Sheet1!$N$2),_xlfn.CHOOSECOLS(_xlfn.ANCHORARRAY(Sheet1!$I$2),5),0)</f>
        <v>344</v>
      </c>
    </row>
    <row r="345" spans="1:18" hidden="1" x14ac:dyDescent="0.3">
      <c r="A345" t="s">
        <v>863</v>
      </c>
      <c r="B345" t="s">
        <v>895</v>
      </c>
      <c r="C345" t="s">
        <v>873</v>
      </c>
      <c r="D345" s="3" t="s">
        <v>892</v>
      </c>
      <c r="E345" s="3" t="s">
        <v>873</v>
      </c>
      <c r="F345">
        <v>1</v>
      </c>
      <c r="G345" t="s">
        <v>869</v>
      </c>
      <c r="H345" t="s">
        <v>224</v>
      </c>
      <c r="I345" t="s">
        <v>873</v>
      </c>
      <c r="K345" t="s">
        <v>99</v>
      </c>
      <c r="L345" t="s">
        <v>224</v>
      </c>
      <c r="M345" t="s">
        <v>224</v>
      </c>
      <c r="N345" t="s">
        <v>5</v>
      </c>
      <c r="P345" t="s">
        <v>947</v>
      </c>
      <c r="Q345">
        <f>ROW(Guide[[#This Row],[Row]])</f>
        <v>345</v>
      </c>
      <c r="R345" cm="1">
        <f t="array" ref="R345">_xlfn.XLOOKUP(
Guide[[#This Row],[Dataset]]&amp;Guide[[#This Row],[Category_1]]&amp;Guide[[#This Row],[Category_2]]&amp;Guide[[#This Row],[Dim_Group]],_xlfn.ANCHORARRAY( Sheet1!$N$2),_xlfn.CHOOSECOLS(_xlfn.ANCHORARRAY(Sheet1!$I$2),5),0)</f>
        <v>345</v>
      </c>
    </row>
    <row r="346" spans="1:18" hidden="1" x14ac:dyDescent="0.3">
      <c r="A346" t="s">
        <v>863</v>
      </c>
      <c r="B346" t="s">
        <v>896</v>
      </c>
      <c r="C346" t="s">
        <v>875</v>
      </c>
      <c r="D346" s="3" t="s">
        <v>892</v>
      </c>
      <c r="E346" s="3" t="s">
        <v>875</v>
      </c>
      <c r="F346">
        <v>1</v>
      </c>
      <c r="G346" t="s">
        <v>869</v>
      </c>
      <c r="H346" t="s">
        <v>224</v>
      </c>
      <c r="I346" t="s">
        <v>875</v>
      </c>
      <c r="K346" t="s">
        <v>99</v>
      </c>
      <c r="L346" t="s">
        <v>224</v>
      </c>
      <c r="M346" t="s">
        <v>224</v>
      </c>
      <c r="N346" t="s">
        <v>5</v>
      </c>
      <c r="P346" t="s">
        <v>947</v>
      </c>
      <c r="Q346">
        <f>ROW(Guide[[#This Row],[Row]])</f>
        <v>346</v>
      </c>
      <c r="R346" cm="1">
        <f t="array" ref="R346">_xlfn.XLOOKUP(
Guide[[#This Row],[Dataset]]&amp;Guide[[#This Row],[Category_1]]&amp;Guide[[#This Row],[Category_2]]&amp;Guide[[#This Row],[Dim_Group]],_xlfn.ANCHORARRAY( Sheet1!$N$2),_xlfn.CHOOSECOLS(_xlfn.ANCHORARRAY(Sheet1!$I$2),5),0)</f>
        <v>346</v>
      </c>
    </row>
    <row r="347" spans="1:18" hidden="1" x14ac:dyDescent="0.3">
      <c r="A347" t="s">
        <v>863</v>
      </c>
      <c r="B347" t="s">
        <v>897</v>
      </c>
      <c r="C347" t="s">
        <v>898</v>
      </c>
      <c r="D347" s="3" t="s">
        <v>898</v>
      </c>
      <c r="E347" s="3" t="s">
        <v>223</v>
      </c>
      <c r="F347">
        <v>1</v>
      </c>
      <c r="G347" t="s">
        <v>866</v>
      </c>
      <c r="H347" t="s">
        <v>224</v>
      </c>
      <c r="I347" t="s">
        <v>898</v>
      </c>
      <c r="K347" t="s">
        <v>99</v>
      </c>
      <c r="L347" t="s">
        <v>224</v>
      </c>
      <c r="M347" t="s">
        <v>224</v>
      </c>
      <c r="N347" t="s">
        <v>5</v>
      </c>
      <c r="P347" t="s">
        <v>947</v>
      </c>
      <c r="Q347">
        <f>ROW(Guide[[#This Row],[Row]])</f>
        <v>347</v>
      </c>
      <c r="R347" cm="1">
        <f t="array" ref="R347">_xlfn.XLOOKUP(
Guide[[#This Row],[Dataset]]&amp;Guide[[#This Row],[Category_1]]&amp;Guide[[#This Row],[Category_2]]&amp;Guide[[#This Row],[Dim_Group]],_xlfn.ANCHORARRAY( Sheet1!$N$2),_xlfn.CHOOSECOLS(_xlfn.ANCHORARRAY(Sheet1!$I$2),5),0)</f>
        <v>347</v>
      </c>
    </row>
    <row r="348" spans="1:18" hidden="1" x14ac:dyDescent="0.3">
      <c r="A348" t="s">
        <v>863</v>
      </c>
      <c r="B348" t="s">
        <v>899</v>
      </c>
      <c r="C348" t="s">
        <v>868</v>
      </c>
      <c r="D348" s="3" t="s">
        <v>898</v>
      </c>
      <c r="E348" s="3" t="s">
        <v>868</v>
      </c>
      <c r="F348">
        <v>1</v>
      </c>
      <c r="G348" t="s">
        <v>869</v>
      </c>
      <c r="H348" t="s">
        <v>224</v>
      </c>
      <c r="I348" t="s">
        <v>868</v>
      </c>
      <c r="K348" t="s">
        <v>99</v>
      </c>
      <c r="L348" t="s">
        <v>224</v>
      </c>
      <c r="M348" t="s">
        <v>224</v>
      </c>
      <c r="N348" t="s">
        <v>5</v>
      </c>
      <c r="P348" t="s">
        <v>947</v>
      </c>
      <c r="Q348">
        <f>ROW(Guide[[#This Row],[Row]])</f>
        <v>348</v>
      </c>
      <c r="R348" cm="1">
        <f t="array" ref="R348">_xlfn.XLOOKUP(
Guide[[#This Row],[Dataset]]&amp;Guide[[#This Row],[Category_1]]&amp;Guide[[#This Row],[Category_2]]&amp;Guide[[#This Row],[Dim_Group]],_xlfn.ANCHORARRAY( Sheet1!$N$2),_xlfn.CHOOSECOLS(_xlfn.ANCHORARRAY(Sheet1!$I$2),5),0)</f>
        <v>348</v>
      </c>
    </row>
    <row r="349" spans="1:18" hidden="1" x14ac:dyDescent="0.3">
      <c r="A349" t="s">
        <v>863</v>
      </c>
      <c r="B349" t="s">
        <v>900</v>
      </c>
      <c r="C349" t="s">
        <v>871</v>
      </c>
      <c r="D349" s="3" t="s">
        <v>898</v>
      </c>
      <c r="E349" s="3" t="s">
        <v>871</v>
      </c>
      <c r="F349">
        <v>1</v>
      </c>
      <c r="G349" t="s">
        <v>869</v>
      </c>
      <c r="H349" t="s">
        <v>224</v>
      </c>
      <c r="I349" t="s">
        <v>871</v>
      </c>
      <c r="K349" t="s">
        <v>99</v>
      </c>
      <c r="L349" t="s">
        <v>224</v>
      </c>
      <c r="M349" t="s">
        <v>224</v>
      </c>
      <c r="N349" t="s">
        <v>5</v>
      </c>
      <c r="P349" t="s">
        <v>947</v>
      </c>
      <c r="Q349">
        <f>ROW(Guide[[#This Row],[Row]])</f>
        <v>349</v>
      </c>
      <c r="R349" cm="1">
        <f t="array" ref="R349">_xlfn.XLOOKUP(
Guide[[#This Row],[Dataset]]&amp;Guide[[#This Row],[Category_1]]&amp;Guide[[#This Row],[Category_2]]&amp;Guide[[#This Row],[Dim_Group]],_xlfn.ANCHORARRAY( Sheet1!$N$2),_xlfn.CHOOSECOLS(_xlfn.ANCHORARRAY(Sheet1!$I$2),5),0)</f>
        <v>349</v>
      </c>
    </row>
    <row r="350" spans="1:18" hidden="1" x14ac:dyDescent="0.3">
      <c r="A350" t="s">
        <v>863</v>
      </c>
      <c r="B350" t="s">
        <v>901</v>
      </c>
      <c r="C350" t="s">
        <v>873</v>
      </c>
      <c r="D350" s="3" t="s">
        <v>898</v>
      </c>
      <c r="E350" s="3" t="s">
        <v>873</v>
      </c>
      <c r="F350">
        <v>1</v>
      </c>
      <c r="G350" t="s">
        <v>869</v>
      </c>
      <c r="H350" t="s">
        <v>224</v>
      </c>
      <c r="I350" t="s">
        <v>873</v>
      </c>
      <c r="K350" t="s">
        <v>99</v>
      </c>
      <c r="L350" t="s">
        <v>224</v>
      </c>
      <c r="M350" t="s">
        <v>224</v>
      </c>
      <c r="N350" t="s">
        <v>5</v>
      </c>
      <c r="P350" t="s">
        <v>947</v>
      </c>
      <c r="Q350">
        <f>ROW(Guide[[#This Row],[Row]])</f>
        <v>350</v>
      </c>
      <c r="R350" cm="1">
        <f t="array" ref="R350">_xlfn.XLOOKUP(
Guide[[#This Row],[Dataset]]&amp;Guide[[#This Row],[Category_1]]&amp;Guide[[#This Row],[Category_2]]&amp;Guide[[#This Row],[Dim_Group]],_xlfn.ANCHORARRAY( Sheet1!$N$2),_xlfn.CHOOSECOLS(_xlfn.ANCHORARRAY(Sheet1!$I$2),5),0)</f>
        <v>350</v>
      </c>
    </row>
    <row r="351" spans="1:18" hidden="1" x14ac:dyDescent="0.3">
      <c r="A351" t="s">
        <v>863</v>
      </c>
      <c r="B351" t="s">
        <v>902</v>
      </c>
      <c r="C351" t="s">
        <v>875</v>
      </c>
      <c r="D351" s="3" t="s">
        <v>898</v>
      </c>
      <c r="E351" s="3" t="s">
        <v>875</v>
      </c>
      <c r="F351">
        <v>1</v>
      </c>
      <c r="G351" t="s">
        <v>869</v>
      </c>
      <c r="H351" t="s">
        <v>224</v>
      </c>
      <c r="I351" t="s">
        <v>875</v>
      </c>
      <c r="K351" t="s">
        <v>99</v>
      </c>
      <c r="L351" t="s">
        <v>224</v>
      </c>
      <c r="M351" t="s">
        <v>224</v>
      </c>
      <c r="N351" t="s">
        <v>5</v>
      </c>
      <c r="P351" t="s">
        <v>947</v>
      </c>
      <c r="Q351">
        <f>ROW(Guide[[#This Row],[Row]])</f>
        <v>351</v>
      </c>
      <c r="R351" cm="1">
        <f t="array" ref="R351">_xlfn.XLOOKUP(
Guide[[#This Row],[Dataset]]&amp;Guide[[#This Row],[Category_1]]&amp;Guide[[#This Row],[Category_2]]&amp;Guide[[#This Row],[Dim_Group]],_xlfn.ANCHORARRAY( Sheet1!$N$2),_xlfn.CHOOSECOLS(_xlfn.ANCHORARRAY(Sheet1!$I$2),5),0)</f>
        <v>351</v>
      </c>
    </row>
    <row r="352" spans="1:18" hidden="1" x14ac:dyDescent="0.3">
      <c r="A352" t="s">
        <v>863</v>
      </c>
      <c r="B352" t="s">
        <v>903</v>
      </c>
      <c r="C352" t="s">
        <v>904</v>
      </c>
      <c r="D352" s="3" t="s">
        <v>904</v>
      </c>
      <c r="E352" s="3" t="s">
        <v>223</v>
      </c>
      <c r="F352">
        <v>1</v>
      </c>
      <c r="G352" t="s">
        <v>866</v>
      </c>
      <c r="H352" t="s">
        <v>224</v>
      </c>
      <c r="I352" t="s">
        <v>904</v>
      </c>
      <c r="K352" t="s">
        <v>99</v>
      </c>
      <c r="L352" t="s">
        <v>224</v>
      </c>
      <c r="M352" t="s">
        <v>224</v>
      </c>
      <c r="N352" t="s">
        <v>5</v>
      </c>
      <c r="P352" t="s">
        <v>947</v>
      </c>
      <c r="Q352">
        <f>ROW(Guide[[#This Row],[Row]])</f>
        <v>352</v>
      </c>
      <c r="R352" cm="1">
        <f t="array" ref="R352">_xlfn.XLOOKUP(
Guide[[#This Row],[Dataset]]&amp;Guide[[#This Row],[Category_1]]&amp;Guide[[#This Row],[Category_2]]&amp;Guide[[#This Row],[Dim_Group]],_xlfn.ANCHORARRAY( Sheet1!$N$2),_xlfn.CHOOSECOLS(_xlfn.ANCHORARRAY(Sheet1!$I$2),5),0)</f>
        <v>352</v>
      </c>
    </row>
    <row r="353" spans="1:18" hidden="1" x14ac:dyDescent="0.3">
      <c r="A353" t="s">
        <v>863</v>
      </c>
      <c r="B353" t="s">
        <v>905</v>
      </c>
      <c r="C353" t="s">
        <v>868</v>
      </c>
      <c r="D353" s="3" t="s">
        <v>904</v>
      </c>
      <c r="E353" s="3" t="s">
        <v>868</v>
      </c>
      <c r="F353">
        <v>1</v>
      </c>
      <c r="G353" t="s">
        <v>869</v>
      </c>
      <c r="H353" t="s">
        <v>224</v>
      </c>
      <c r="I353" t="s">
        <v>868</v>
      </c>
      <c r="K353" t="s">
        <v>99</v>
      </c>
      <c r="L353" t="s">
        <v>224</v>
      </c>
      <c r="M353" t="s">
        <v>224</v>
      </c>
      <c r="N353" t="s">
        <v>5</v>
      </c>
      <c r="P353" t="s">
        <v>947</v>
      </c>
      <c r="Q353">
        <f>ROW(Guide[[#This Row],[Row]])</f>
        <v>353</v>
      </c>
      <c r="R353" cm="1">
        <f t="array" ref="R353">_xlfn.XLOOKUP(
Guide[[#This Row],[Dataset]]&amp;Guide[[#This Row],[Category_1]]&amp;Guide[[#This Row],[Category_2]]&amp;Guide[[#This Row],[Dim_Group]],_xlfn.ANCHORARRAY( Sheet1!$N$2),_xlfn.CHOOSECOLS(_xlfn.ANCHORARRAY(Sheet1!$I$2),5),0)</f>
        <v>353</v>
      </c>
    </row>
    <row r="354" spans="1:18" hidden="1" x14ac:dyDescent="0.3">
      <c r="A354" t="s">
        <v>863</v>
      </c>
      <c r="B354" t="s">
        <v>906</v>
      </c>
      <c r="C354" t="s">
        <v>871</v>
      </c>
      <c r="D354" s="3" t="s">
        <v>904</v>
      </c>
      <c r="E354" s="3" t="s">
        <v>871</v>
      </c>
      <c r="F354">
        <v>1</v>
      </c>
      <c r="G354" t="s">
        <v>869</v>
      </c>
      <c r="H354" t="s">
        <v>224</v>
      </c>
      <c r="I354" t="s">
        <v>871</v>
      </c>
      <c r="K354" t="s">
        <v>99</v>
      </c>
      <c r="L354" t="s">
        <v>224</v>
      </c>
      <c r="M354" t="s">
        <v>224</v>
      </c>
      <c r="N354" t="s">
        <v>5</v>
      </c>
      <c r="P354" t="s">
        <v>947</v>
      </c>
      <c r="Q354">
        <f>ROW(Guide[[#This Row],[Row]])</f>
        <v>354</v>
      </c>
      <c r="R354" cm="1">
        <f t="array" ref="R354">_xlfn.XLOOKUP(
Guide[[#This Row],[Dataset]]&amp;Guide[[#This Row],[Category_1]]&amp;Guide[[#This Row],[Category_2]]&amp;Guide[[#This Row],[Dim_Group]],_xlfn.ANCHORARRAY( Sheet1!$N$2),_xlfn.CHOOSECOLS(_xlfn.ANCHORARRAY(Sheet1!$I$2),5),0)</f>
        <v>354</v>
      </c>
    </row>
    <row r="355" spans="1:18" hidden="1" x14ac:dyDescent="0.3">
      <c r="A355" t="s">
        <v>863</v>
      </c>
      <c r="B355" t="s">
        <v>907</v>
      </c>
      <c r="C355" t="s">
        <v>873</v>
      </c>
      <c r="D355" s="3" t="s">
        <v>904</v>
      </c>
      <c r="E355" s="3" t="s">
        <v>873</v>
      </c>
      <c r="F355">
        <v>1</v>
      </c>
      <c r="G355" t="s">
        <v>869</v>
      </c>
      <c r="H355" t="s">
        <v>224</v>
      </c>
      <c r="I355" t="s">
        <v>873</v>
      </c>
      <c r="K355" t="s">
        <v>99</v>
      </c>
      <c r="L355" t="s">
        <v>224</v>
      </c>
      <c r="M355" t="s">
        <v>224</v>
      </c>
      <c r="N355" t="s">
        <v>5</v>
      </c>
      <c r="P355" t="s">
        <v>947</v>
      </c>
      <c r="Q355">
        <f>ROW(Guide[[#This Row],[Row]])</f>
        <v>355</v>
      </c>
      <c r="R355" cm="1">
        <f t="array" ref="R355">_xlfn.XLOOKUP(
Guide[[#This Row],[Dataset]]&amp;Guide[[#This Row],[Category_1]]&amp;Guide[[#This Row],[Category_2]]&amp;Guide[[#This Row],[Dim_Group]],_xlfn.ANCHORARRAY( Sheet1!$N$2),_xlfn.CHOOSECOLS(_xlfn.ANCHORARRAY(Sheet1!$I$2),5),0)</f>
        <v>355</v>
      </c>
    </row>
    <row r="356" spans="1:18" hidden="1" x14ac:dyDescent="0.3">
      <c r="A356" t="s">
        <v>863</v>
      </c>
      <c r="B356" t="s">
        <v>908</v>
      </c>
      <c r="C356" t="s">
        <v>875</v>
      </c>
      <c r="D356" s="3" t="s">
        <v>904</v>
      </c>
      <c r="E356" s="3" t="s">
        <v>875</v>
      </c>
      <c r="F356">
        <v>1</v>
      </c>
      <c r="G356" t="s">
        <v>869</v>
      </c>
      <c r="H356" t="s">
        <v>224</v>
      </c>
      <c r="I356" t="s">
        <v>875</v>
      </c>
      <c r="K356" t="s">
        <v>99</v>
      </c>
      <c r="L356" t="s">
        <v>224</v>
      </c>
      <c r="M356" t="s">
        <v>224</v>
      </c>
      <c r="N356" t="s">
        <v>5</v>
      </c>
      <c r="P356" t="s">
        <v>947</v>
      </c>
      <c r="Q356">
        <f>ROW(Guide[[#This Row],[Row]])</f>
        <v>356</v>
      </c>
      <c r="R356" cm="1">
        <f t="array" ref="R356">_xlfn.XLOOKUP(
Guide[[#This Row],[Dataset]]&amp;Guide[[#This Row],[Category_1]]&amp;Guide[[#This Row],[Category_2]]&amp;Guide[[#This Row],[Dim_Group]],_xlfn.ANCHORARRAY( Sheet1!$N$2),_xlfn.CHOOSECOLS(_xlfn.ANCHORARRAY(Sheet1!$I$2),5),0)</f>
        <v>356</v>
      </c>
    </row>
    <row r="357" spans="1:18" hidden="1" x14ac:dyDescent="0.3">
      <c r="A357" t="s">
        <v>863</v>
      </c>
      <c r="B357" t="s">
        <v>909</v>
      </c>
      <c r="C357" t="s">
        <v>910</v>
      </c>
      <c r="D357" s="3" t="s">
        <v>910</v>
      </c>
      <c r="E357" s="3" t="s">
        <v>223</v>
      </c>
      <c r="F357">
        <v>1</v>
      </c>
      <c r="G357" t="s">
        <v>866</v>
      </c>
      <c r="H357" t="s">
        <v>224</v>
      </c>
      <c r="I357" t="s">
        <v>910</v>
      </c>
      <c r="K357" t="s">
        <v>99</v>
      </c>
      <c r="L357" t="s">
        <v>224</v>
      </c>
      <c r="M357" t="s">
        <v>224</v>
      </c>
      <c r="N357" t="s">
        <v>5</v>
      </c>
      <c r="P357" t="s">
        <v>947</v>
      </c>
      <c r="Q357">
        <f>ROW(Guide[[#This Row],[Row]])</f>
        <v>357</v>
      </c>
      <c r="R357" cm="1">
        <f t="array" ref="R357">_xlfn.XLOOKUP(
Guide[[#This Row],[Dataset]]&amp;Guide[[#This Row],[Category_1]]&amp;Guide[[#This Row],[Category_2]]&amp;Guide[[#This Row],[Dim_Group]],_xlfn.ANCHORARRAY( Sheet1!$N$2),_xlfn.CHOOSECOLS(_xlfn.ANCHORARRAY(Sheet1!$I$2),5),0)</f>
        <v>357</v>
      </c>
    </row>
    <row r="358" spans="1:18" hidden="1" x14ac:dyDescent="0.3">
      <c r="A358" t="s">
        <v>863</v>
      </c>
      <c r="B358" t="s">
        <v>911</v>
      </c>
      <c r="C358" t="s">
        <v>868</v>
      </c>
      <c r="D358" s="3" t="s">
        <v>910</v>
      </c>
      <c r="E358" s="3" t="s">
        <v>868</v>
      </c>
      <c r="F358">
        <v>1</v>
      </c>
      <c r="G358" t="s">
        <v>869</v>
      </c>
      <c r="H358" t="s">
        <v>224</v>
      </c>
      <c r="I358" t="s">
        <v>868</v>
      </c>
      <c r="K358" t="s">
        <v>99</v>
      </c>
      <c r="L358" t="s">
        <v>224</v>
      </c>
      <c r="M358" t="s">
        <v>224</v>
      </c>
      <c r="N358" t="s">
        <v>5</v>
      </c>
      <c r="P358" t="s">
        <v>947</v>
      </c>
      <c r="Q358">
        <f>ROW(Guide[[#This Row],[Row]])</f>
        <v>358</v>
      </c>
      <c r="R358" cm="1">
        <f t="array" ref="R358">_xlfn.XLOOKUP(
Guide[[#This Row],[Dataset]]&amp;Guide[[#This Row],[Category_1]]&amp;Guide[[#This Row],[Category_2]]&amp;Guide[[#This Row],[Dim_Group]],_xlfn.ANCHORARRAY( Sheet1!$N$2),_xlfn.CHOOSECOLS(_xlfn.ANCHORARRAY(Sheet1!$I$2),5),0)</f>
        <v>358</v>
      </c>
    </row>
    <row r="359" spans="1:18" hidden="1" x14ac:dyDescent="0.3">
      <c r="A359" t="s">
        <v>863</v>
      </c>
      <c r="B359" t="s">
        <v>912</v>
      </c>
      <c r="C359" t="s">
        <v>871</v>
      </c>
      <c r="D359" s="3" t="s">
        <v>910</v>
      </c>
      <c r="E359" s="3" t="s">
        <v>871</v>
      </c>
      <c r="F359">
        <v>1</v>
      </c>
      <c r="G359" t="s">
        <v>869</v>
      </c>
      <c r="H359" t="s">
        <v>224</v>
      </c>
      <c r="I359" t="s">
        <v>871</v>
      </c>
      <c r="K359" t="s">
        <v>99</v>
      </c>
      <c r="L359" t="s">
        <v>224</v>
      </c>
      <c r="M359" t="s">
        <v>224</v>
      </c>
      <c r="N359" t="s">
        <v>5</v>
      </c>
      <c r="P359" t="s">
        <v>947</v>
      </c>
      <c r="Q359">
        <f>ROW(Guide[[#This Row],[Row]])</f>
        <v>359</v>
      </c>
      <c r="R359" cm="1">
        <f t="array" ref="R359">_xlfn.XLOOKUP(
Guide[[#This Row],[Dataset]]&amp;Guide[[#This Row],[Category_1]]&amp;Guide[[#This Row],[Category_2]]&amp;Guide[[#This Row],[Dim_Group]],_xlfn.ANCHORARRAY( Sheet1!$N$2),_xlfn.CHOOSECOLS(_xlfn.ANCHORARRAY(Sheet1!$I$2),5),0)</f>
        <v>359</v>
      </c>
    </row>
    <row r="360" spans="1:18" hidden="1" x14ac:dyDescent="0.3">
      <c r="A360" t="s">
        <v>863</v>
      </c>
      <c r="B360" t="s">
        <v>913</v>
      </c>
      <c r="C360" t="s">
        <v>873</v>
      </c>
      <c r="D360" s="3" t="s">
        <v>910</v>
      </c>
      <c r="E360" s="3" t="s">
        <v>873</v>
      </c>
      <c r="F360">
        <v>1</v>
      </c>
      <c r="G360" t="s">
        <v>869</v>
      </c>
      <c r="H360" t="s">
        <v>224</v>
      </c>
      <c r="I360" t="s">
        <v>873</v>
      </c>
      <c r="K360" t="s">
        <v>99</v>
      </c>
      <c r="L360" t="s">
        <v>224</v>
      </c>
      <c r="M360" t="s">
        <v>224</v>
      </c>
      <c r="N360" t="s">
        <v>5</v>
      </c>
      <c r="P360" t="s">
        <v>947</v>
      </c>
      <c r="Q360">
        <f>ROW(Guide[[#This Row],[Row]])</f>
        <v>360</v>
      </c>
      <c r="R360" cm="1">
        <f t="array" ref="R360">_xlfn.XLOOKUP(
Guide[[#This Row],[Dataset]]&amp;Guide[[#This Row],[Category_1]]&amp;Guide[[#This Row],[Category_2]]&amp;Guide[[#This Row],[Dim_Group]],_xlfn.ANCHORARRAY( Sheet1!$N$2),_xlfn.CHOOSECOLS(_xlfn.ANCHORARRAY(Sheet1!$I$2),5),0)</f>
        <v>360</v>
      </c>
    </row>
    <row r="361" spans="1:18" hidden="1" x14ac:dyDescent="0.3">
      <c r="A361" t="s">
        <v>863</v>
      </c>
      <c r="B361" t="s">
        <v>914</v>
      </c>
      <c r="C361" t="s">
        <v>875</v>
      </c>
      <c r="D361" s="3" t="s">
        <v>910</v>
      </c>
      <c r="E361" s="3" t="s">
        <v>875</v>
      </c>
      <c r="F361">
        <v>1</v>
      </c>
      <c r="G361" t="s">
        <v>869</v>
      </c>
      <c r="H361" t="s">
        <v>224</v>
      </c>
      <c r="I361" t="s">
        <v>875</v>
      </c>
      <c r="K361" t="s">
        <v>99</v>
      </c>
      <c r="L361" t="s">
        <v>224</v>
      </c>
      <c r="M361" t="s">
        <v>224</v>
      </c>
      <c r="N361" t="s">
        <v>5</v>
      </c>
      <c r="P361" t="s">
        <v>947</v>
      </c>
      <c r="Q361">
        <f>ROW(Guide[[#This Row],[Row]])</f>
        <v>361</v>
      </c>
      <c r="R361" cm="1">
        <f t="array" ref="R361">_xlfn.XLOOKUP(
Guide[[#This Row],[Dataset]]&amp;Guide[[#This Row],[Category_1]]&amp;Guide[[#This Row],[Category_2]]&amp;Guide[[#This Row],[Dim_Group]],_xlfn.ANCHORARRAY( Sheet1!$N$2),_xlfn.CHOOSECOLS(_xlfn.ANCHORARRAY(Sheet1!$I$2),5),0)</f>
        <v>361</v>
      </c>
    </row>
    <row r="362" spans="1:18" hidden="1" x14ac:dyDescent="0.3">
      <c r="A362" t="s">
        <v>915</v>
      </c>
      <c r="B362" t="s">
        <v>916</v>
      </c>
      <c r="C362" t="s">
        <v>916</v>
      </c>
      <c r="D362" s="3" t="s">
        <v>193</v>
      </c>
      <c r="E362" s="3" t="s">
        <v>916</v>
      </c>
      <c r="F362">
        <v>1</v>
      </c>
      <c r="G362" t="s">
        <v>193</v>
      </c>
      <c r="H362" t="s">
        <v>193</v>
      </c>
      <c r="I362" t="s">
        <v>916</v>
      </c>
      <c r="K362" t="s">
        <v>99</v>
      </c>
      <c r="L362" t="s">
        <v>10</v>
      </c>
      <c r="M362" t="s">
        <v>193</v>
      </c>
      <c r="N362" t="s">
        <v>5</v>
      </c>
      <c r="P362" t="s">
        <v>946</v>
      </c>
      <c r="Q362">
        <f>ROW(Guide[[#This Row],[Row]])</f>
        <v>362</v>
      </c>
      <c r="R362" cm="1">
        <f t="array" ref="R362">_xlfn.XLOOKUP(
Guide[[#This Row],[Dataset]]&amp;Guide[[#This Row],[Category_1]]&amp;Guide[[#This Row],[Category_2]]&amp;Guide[[#This Row],[Dim_Group]],_xlfn.ANCHORARRAY( Sheet1!$N$2),_xlfn.CHOOSECOLS(_xlfn.ANCHORARRAY(Sheet1!$I$2),5),0)</f>
        <v>362</v>
      </c>
    </row>
    <row r="363" spans="1:18" hidden="1" x14ac:dyDescent="0.3">
      <c r="A363" t="s">
        <v>915</v>
      </c>
      <c r="B363" t="s">
        <v>917</v>
      </c>
      <c r="C363" t="s">
        <v>917</v>
      </c>
      <c r="D363" s="3" t="s">
        <v>193</v>
      </c>
      <c r="E363" s="3" t="s">
        <v>917</v>
      </c>
      <c r="F363">
        <v>1</v>
      </c>
      <c r="G363" t="s">
        <v>193</v>
      </c>
      <c r="H363" t="s">
        <v>193</v>
      </c>
      <c r="I363" t="s">
        <v>917</v>
      </c>
      <c r="K363" t="s">
        <v>99</v>
      </c>
      <c r="L363" t="s">
        <v>10</v>
      </c>
      <c r="M363" t="s">
        <v>193</v>
      </c>
      <c r="N363" t="s">
        <v>5</v>
      </c>
      <c r="P363" t="s">
        <v>946</v>
      </c>
      <c r="Q363">
        <f>ROW(Guide[[#This Row],[Row]])</f>
        <v>363</v>
      </c>
      <c r="R363" cm="1">
        <f t="array" ref="R363">_xlfn.XLOOKUP(
Guide[[#This Row],[Dataset]]&amp;Guide[[#This Row],[Category_1]]&amp;Guide[[#This Row],[Category_2]]&amp;Guide[[#This Row],[Dim_Group]],_xlfn.ANCHORARRAY( Sheet1!$N$2),_xlfn.CHOOSECOLS(_xlfn.ANCHORARRAY(Sheet1!$I$2),5),0)</f>
        <v>363</v>
      </c>
    </row>
    <row r="364" spans="1:18" hidden="1" x14ac:dyDescent="0.3">
      <c r="A364" t="s">
        <v>918</v>
      </c>
      <c r="B364" t="s">
        <v>919</v>
      </c>
      <c r="C364" t="s">
        <v>919</v>
      </c>
      <c r="D364" s="3" t="s">
        <v>193</v>
      </c>
      <c r="E364" s="3" t="s">
        <v>193</v>
      </c>
      <c r="F364">
        <v>1</v>
      </c>
      <c r="G364" t="s">
        <v>193</v>
      </c>
      <c r="H364" t="s">
        <v>193</v>
      </c>
      <c r="I364" t="s">
        <v>919</v>
      </c>
      <c r="K364" t="s">
        <v>99</v>
      </c>
      <c r="L364" t="s">
        <v>193</v>
      </c>
      <c r="M364" t="s">
        <v>193</v>
      </c>
      <c r="N364" t="s">
        <v>5</v>
      </c>
      <c r="P364" t="s">
        <v>948</v>
      </c>
      <c r="Q364">
        <f>ROW(Guide[[#This Row],[Row]])</f>
        <v>364</v>
      </c>
      <c r="R364" cm="1">
        <f t="array" ref="R364">_xlfn.XLOOKUP(
Guide[[#This Row],[Dataset]]&amp;Guide[[#This Row],[Category_1]]&amp;Guide[[#This Row],[Category_2]]&amp;Guide[[#This Row],[Dim_Group]],_xlfn.ANCHORARRAY( Sheet1!$N$2),_xlfn.CHOOSECOLS(_xlfn.ANCHORARRAY(Sheet1!$I$2),5),0)</f>
        <v>381</v>
      </c>
    </row>
    <row r="365" spans="1:18" hidden="1" x14ac:dyDescent="0.3">
      <c r="A365" t="s">
        <v>918</v>
      </c>
      <c r="B365" t="s">
        <v>920</v>
      </c>
      <c r="C365" t="s">
        <v>920</v>
      </c>
      <c r="D365" s="3" t="s">
        <v>193</v>
      </c>
      <c r="E365" s="3" t="s">
        <v>193</v>
      </c>
      <c r="F365">
        <v>2</v>
      </c>
      <c r="G365" t="s">
        <v>193</v>
      </c>
      <c r="H365" t="s">
        <v>193</v>
      </c>
      <c r="I365" t="s">
        <v>920</v>
      </c>
      <c r="K365" t="s">
        <v>99</v>
      </c>
      <c r="L365" t="s">
        <v>193</v>
      </c>
      <c r="M365" t="s">
        <v>193</v>
      </c>
      <c r="N365" t="s">
        <v>5</v>
      </c>
      <c r="P365" t="s">
        <v>948</v>
      </c>
      <c r="Q365">
        <f>ROW(Guide[[#This Row],[Row]])</f>
        <v>365</v>
      </c>
      <c r="R365" cm="1">
        <f t="array" ref="R365">_xlfn.XLOOKUP(
Guide[[#This Row],[Dataset]]&amp;Guide[[#This Row],[Category_1]]&amp;Guide[[#This Row],[Category_2]]&amp;Guide[[#This Row],[Dim_Group]],_xlfn.ANCHORARRAY( Sheet1!$N$2),_xlfn.CHOOSECOLS(_xlfn.ANCHORARRAY(Sheet1!$I$2),5),0)</f>
        <v>381</v>
      </c>
    </row>
    <row r="366" spans="1:18" hidden="1" x14ac:dyDescent="0.3">
      <c r="A366" t="s">
        <v>918</v>
      </c>
      <c r="B366" t="s">
        <v>921</v>
      </c>
      <c r="C366" t="s">
        <v>921</v>
      </c>
      <c r="D366" s="3" t="s">
        <v>193</v>
      </c>
      <c r="E366" s="3" t="s">
        <v>193</v>
      </c>
      <c r="F366">
        <v>3</v>
      </c>
      <c r="G366" t="s">
        <v>193</v>
      </c>
      <c r="H366" t="s">
        <v>193</v>
      </c>
      <c r="I366" t="s">
        <v>921</v>
      </c>
      <c r="K366" t="s">
        <v>99</v>
      </c>
      <c r="L366" t="s">
        <v>193</v>
      </c>
      <c r="M366" t="s">
        <v>193</v>
      </c>
      <c r="N366" t="s">
        <v>5</v>
      </c>
      <c r="P366" t="s">
        <v>948</v>
      </c>
      <c r="Q366">
        <f>ROW(Guide[[#This Row],[Row]])</f>
        <v>366</v>
      </c>
      <c r="R366" cm="1">
        <f t="array" ref="R366">_xlfn.XLOOKUP(
Guide[[#This Row],[Dataset]]&amp;Guide[[#This Row],[Category_1]]&amp;Guide[[#This Row],[Category_2]]&amp;Guide[[#This Row],[Dim_Group]],_xlfn.ANCHORARRAY( Sheet1!$N$2),_xlfn.CHOOSECOLS(_xlfn.ANCHORARRAY(Sheet1!$I$2),5),0)</f>
        <v>381</v>
      </c>
    </row>
    <row r="367" spans="1:18" hidden="1" x14ac:dyDescent="0.3">
      <c r="A367" t="s">
        <v>918</v>
      </c>
      <c r="B367" t="s">
        <v>922</v>
      </c>
      <c r="C367" t="s">
        <v>922</v>
      </c>
      <c r="D367" s="3" t="s">
        <v>193</v>
      </c>
      <c r="E367" s="3" t="s">
        <v>193</v>
      </c>
      <c r="F367">
        <v>4</v>
      </c>
      <c r="G367" t="s">
        <v>193</v>
      </c>
      <c r="H367" t="s">
        <v>193</v>
      </c>
      <c r="I367" t="s">
        <v>922</v>
      </c>
      <c r="K367" t="s">
        <v>99</v>
      </c>
      <c r="L367" t="s">
        <v>193</v>
      </c>
      <c r="M367" t="s">
        <v>193</v>
      </c>
      <c r="N367" t="s">
        <v>5</v>
      </c>
      <c r="P367" t="s">
        <v>948</v>
      </c>
      <c r="Q367">
        <f>ROW(Guide[[#This Row],[Row]])</f>
        <v>367</v>
      </c>
      <c r="R367" cm="1">
        <f t="array" ref="R367">_xlfn.XLOOKUP(
Guide[[#This Row],[Dataset]]&amp;Guide[[#This Row],[Category_1]]&amp;Guide[[#This Row],[Category_2]]&amp;Guide[[#This Row],[Dim_Group]],_xlfn.ANCHORARRAY( Sheet1!$N$2),_xlfn.CHOOSECOLS(_xlfn.ANCHORARRAY(Sheet1!$I$2),5),0)</f>
        <v>381</v>
      </c>
    </row>
    <row r="368" spans="1:18" hidden="1" x14ac:dyDescent="0.3">
      <c r="A368" t="s">
        <v>918</v>
      </c>
      <c r="B368" t="s">
        <v>923</v>
      </c>
      <c r="C368" t="s">
        <v>923</v>
      </c>
      <c r="D368" s="3" t="s">
        <v>193</v>
      </c>
      <c r="E368" s="3" t="s">
        <v>193</v>
      </c>
      <c r="F368">
        <v>5</v>
      </c>
      <c r="G368" t="s">
        <v>193</v>
      </c>
      <c r="H368" t="s">
        <v>193</v>
      </c>
      <c r="I368" t="s">
        <v>923</v>
      </c>
      <c r="K368" t="s">
        <v>99</v>
      </c>
      <c r="L368" t="s">
        <v>193</v>
      </c>
      <c r="M368" t="s">
        <v>193</v>
      </c>
      <c r="N368" t="s">
        <v>5</v>
      </c>
      <c r="P368" t="s">
        <v>948</v>
      </c>
      <c r="Q368">
        <f>ROW(Guide[[#This Row],[Row]])</f>
        <v>368</v>
      </c>
      <c r="R368" cm="1">
        <f t="array" ref="R368">_xlfn.XLOOKUP(
Guide[[#This Row],[Dataset]]&amp;Guide[[#This Row],[Category_1]]&amp;Guide[[#This Row],[Category_2]]&amp;Guide[[#This Row],[Dim_Group]],_xlfn.ANCHORARRAY( Sheet1!$N$2),_xlfn.CHOOSECOLS(_xlfn.ANCHORARRAY(Sheet1!$I$2),5),0)</f>
        <v>381</v>
      </c>
    </row>
    <row r="369" spans="1:18" hidden="1" x14ac:dyDescent="0.3">
      <c r="A369" t="s">
        <v>918</v>
      </c>
      <c r="B369" t="s">
        <v>924</v>
      </c>
      <c r="C369" t="s">
        <v>924</v>
      </c>
      <c r="D369" s="3" t="s">
        <v>193</v>
      </c>
      <c r="E369" s="3" t="s">
        <v>193</v>
      </c>
      <c r="F369">
        <v>6</v>
      </c>
      <c r="G369" t="s">
        <v>193</v>
      </c>
      <c r="H369" t="s">
        <v>193</v>
      </c>
      <c r="I369" t="s">
        <v>924</v>
      </c>
      <c r="K369" t="s">
        <v>99</v>
      </c>
      <c r="L369" t="s">
        <v>193</v>
      </c>
      <c r="M369" t="s">
        <v>193</v>
      </c>
      <c r="N369" t="s">
        <v>5</v>
      </c>
      <c r="P369" t="s">
        <v>948</v>
      </c>
      <c r="Q369">
        <f>ROW(Guide[[#This Row],[Row]])</f>
        <v>369</v>
      </c>
      <c r="R369" cm="1">
        <f t="array" ref="R369">_xlfn.XLOOKUP(
Guide[[#This Row],[Dataset]]&amp;Guide[[#This Row],[Category_1]]&amp;Guide[[#This Row],[Category_2]]&amp;Guide[[#This Row],[Dim_Group]],_xlfn.ANCHORARRAY( Sheet1!$N$2),_xlfn.CHOOSECOLS(_xlfn.ANCHORARRAY(Sheet1!$I$2),5),0)</f>
        <v>381</v>
      </c>
    </row>
    <row r="370" spans="1:18" hidden="1" x14ac:dyDescent="0.3">
      <c r="A370" t="s">
        <v>918</v>
      </c>
      <c r="B370" t="s">
        <v>925</v>
      </c>
      <c r="C370" t="s">
        <v>925</v>
      </c>
      <c r="D370" s="3" t="s">
        <v>193</v>
      </c>
      <c r="E370" s="3" t="s">
        <v>193</v>
      </c>
      <c r="F370">
        <v>7</v>
      </c>
      <c r="G370" t="s">
        <v>193</v>
      </c>
      <c r="H370" t="s">
        <v>193</v>
      </c>
      <c r="I370" t="s">
        <v>925</v>
      </c>
      <c r="K370" t="s">
        <v>99</v>
      </c>
      <c r="L370" t="s">
        <v>193</v>
      </c>
      <c r="M370" t="s">
        <v>193</v>
      </c>
      <c r="N370" t="s">
        <v>5</v>
      </c>
      <c r="P370" t="s">
        <v>948</v>
      </c>
      <c r="Q370">
        <f>ROW(Guide[[#This Row],[Row]])</f>
        <v>370</v>
      </c>
      <c r="R370" cm="1">
        <f t="array" ref="R370">_xlfn.XLOOKUP(
Guide[[#This Row],[Dataset]]&amp;Guide[[#This Row],[Category_1]]&amp;Guide[[#This Row],[Category_2]]&amp;Guide[[#This Row],[Dim_Group]],_xlfn.ANCHORARRAY( Sheet1!$N$2),_xlfn.CHOOSECOLS(_xlfn.ANCHORARRAY(Sheet1!$I$2),5),0)</f>
        <v>381</v>
      </c>
    </row>
    <row r="371" spans="1:18" hidden="1" x14ac:dyDescent="0.3">
      <c r="A371" t="s">
        <v>918</v>
      </c>
      <c r="B371" t="s">
        <v>926</v>
      </c>
      <c r="C371" t="s">
        <v>926</v>
      </c>
      <c r="D371" s="3" t="s">
        <v>193</v>
      </c>
      <c r="E371" s="3" t="s">
        <v>193</v>
      </c>
      <c r="F371">
        <v>8</v>
      </c>
      <c r="G371" t="s">
        <v>193</v>
      </c>
      <c r="H371" t="s">
        <v>193</v>
      </c>
      <c r="I371" t="s">
        <v>926</v>
      </c>
      <c r="K371" t="s">
        <v>99</v>
      </c>
      <c r="L371" t="s">
        <v>193</v>
      </c>
      <c r="M371" t="s">
        <v>193</v>
      </c>
      <c r="N371" t="s">
        <v>5</v>
      </c>
      <c r="P371" t="s">
        <v>948</v>
      </c>
      <c r="Q371">
        <f>ROW(Guide[[#This Row],[Row]])</f>
        <v>371</v>
      </c>
      <c r="R371" cm="1">
        <f t="array" ref="R371">_xlfn.XLOOKUP(
Guide[[#This Row],[Dataset]]&amp;Guide[[#This Row],[Category_1]]&amp;Guide[[#This Row],[Category_2]]&amp;Guide[[#This Row],[Dim_Group]],_xlfn.ANCHORARRAY( Sheet1!$N$2),_xlfn.CHOOSECOLS(_xlfn.ANCHORARRAY(Sheet1!$I$2),5),0)</f>
        <v>381</v>
      </c>
    </row>
    <row r="372" spans="1:18" hidden="1" x14ac:dyDescent="0.3">
      <c r="A372" t="s">
        <v>918</v>
      </c>
      <c r="B372" t="s">
        <v>927</v>
      </c>
      <c r="C372" t="s">
        <v>927</v>
      </c>
      <c r="D372" s="3" t="s">
        <v>193</v>
      </c>
      <c r="E372" s="3" t="s">
        <v>193</v>
      </c>
      <c r="F372">
        <v>9</v>
      </c>
      <c r="G372" t="s">
        <v>193</v>
      </c>
      <c r="H372" t="s">
        <v>193</v>
      </c>
      <c r="I372" t="s">
        <v>927</v>
      </c>
      <c r="K372" t="s">
        <v>99</v>
      </c>
      <c r="L372" t="s">
        <v>193</v>
      </c>
      <c r="M372" t="s">
        <v>193</v>
      </c>
      <c r="N372" t="s">
        <v>5</v>
      </c>
      <c r="P372" t="s">
        <v>948</v>
      </c>
      <c r="Q372">
        <f>ROW(Guide[[#This Row],[Row]])</f>
        <v>372</v>
      </c>
      <c r="R372" cm="1">
        <f t="array" ref="R372">_xlfn.XLOOKUP(
Guide[[#This Row],[Dataset]]&amp;Guide[[#This Row],[Category_1]]&amp;Guide[[#This Row],[Category_2]]&amp;Guide[[#This Row],[Dim_Group]],_xlfn.ANCHORARRAY( Sheet1!$N$2),_xlfn.CHOOSECOLS(_xlfn.ANCHORARRAY(Sheet1!$I$2),5),0)</f>
        <v>381</v>
      </c>
    </row>
    <row r="373" spans="1:18" hidden="1" x14ac:dyDescent="0.3">
      <c r="A373" t="s">
        <v>918</v>
      </c>
      <c r="B373" t="s">
        <v>928</v>
      </c>
      <c r="C373" t="s">
        <v>928</v>
      </c>
      <c r="D373" s="3" t="s">
        <v>193</v>
      </c>
      <c r="E373" s="3" t="s">
        <v>193</v>
      </c>
      <c r="F373">
        <v>10</v>
      </c>
      <c r="G373" t="s">
        <v>193</v>
      </c>
      <c r="H373" t="s">
        <v>193</v>
      </c>
      <c r="I373" t="s">
        <v>928</v>
      </c>
      <c r="K373" t="s">
        <v>99</v>
      </c>
      <c r="L373" t="s">
        <v>193</v>
      </c>
      <c r="M373" t="s">
        <v>193</v>
      </c>
      <c r="N373" t="s">
        <v>5</v>
      </c>
      <c r="P373" t="s">
        <v>948</v>
      </c>
      <c r="Q373">
        <f>ROW(Guide[[#This Row],[Row]])</f>
        <v>373</v>
      </c>
      <c r="R373" cm="1">
        <f t="array" ref="R373">_xlfn.XLOOKUP(
Guide[[#This Row],[Dataset]]&amp;Guide[[#This Row],[Category_1]]&amp;Guide[[#This Row],[Category_2]]&amp;Guide[[#This Row],[Dim_Group]],_xlfn.ANCHORARRAY( Sheet1!$N$2),_xlfn.CHOOSECOLS(_xlfn.ANCHORARRAY(Sheet1!$I$2),5),0)</f>
        <v>381</v>
      </c>
    </row>
    <row r="374" spans="1:18" hidden="1" x14ac:dyDescent="0.3">
      <c r="A374" t="s">
        <v>918</v>
      </c>
      <c r="B374" t="s">
        <v>929</v>
      </c>
      <c r="C374" t="s">
        <v>929</v>
      </c>
      <c r="D374" s="3" t="s">
        <v>193</v>
      </c>
      <c r="E374" s="3" t="s">
        <v>193</v>
      </c>
      <c r="F374">
        <v>11</v>
      </c>
      <c r="G374" t="s">
        <v>193</v>
      </c>
      <c r="H374" t="s">
        <v>193</v>
      </c>
      <c r="I374" t="s">
        <v>929</v>
      </c>
      <c r="K374" t="s">
        <v>99</v>
      </c>
      <c r="L374" t="s">
        <v>193</v>
      </c>
      <c r="M374" t="s">
        <v>193</v>
      </c>
      <c r="N374" t="s">
        <v>5</v>
      </c>
      <c r="P374" t="s">
        <v>948</v>
      </c>
      <c r="Q374">
        <f>ROW(Guide[[#This Row],[Row]])</f>
        <v>374</v>
      </c>
      <c r="R374" cm="1">
        <f t="array" ref="R374">_xlfn.XLOOKUP(
Guide[[#This Row],[Dataset]]&amp;Guide[[#This Row],[Category_1]]&amp;Guide[[#This Row],[Category_2]]&amp;Guide[[#This Row],[Dim_Group]],_xlfn.ANCHORARRAY( Sheet1!$N$2),_xlfn.CHOOSECOLS(_xlfn.ANCHORARRAY(Sheet1!$I$2),5),0)</f>
        <v>381</v>
      </c>
    </row>
    <row r="375" spans="1:18" hidden="1" x14ac:dyDescent="0.3">
      <c r="A375" t="s">
        <v>918</v>
      </c>
      <c r="B375" t="s">
        <v>930</v>
      </c>
      <c r="C375" t="s">
        <v>930</v>
      </c>
      <c r="D375" s="3" t="s">
        <v>193</v>
      </c>
      <c r="E375" s="3" t="s">
        <v>193</v>
      </c>
      <c r="F375">
        <v>12</v>
      </c>
      <c r="G375" t="s">
        <v>193</v>
      </c>
      <c r="H375" t="s">
        <v>193</v>
      </c>
      <c r="I375" t="s">
        <v>930</v>
      </c>
      <c r="K375" t="s">
        <v>99</v>
      </c>
      <c r="L375" t="s">
        <v>193</v>
      </c>
      <c r="M375" t="s">
        <v>193</v>
      </c>
      <c r="N375" t="s">
        <v>5</v>
      </c>
      <c r="P375" t="s">
        <v>948</v>
      </c>
      <c r="Q375">
        <f>ROW(Guide[[#This Row],[Row]])</f>
        <v>375</v>
      </c>
      <c r="R375" cm="1">
        <f t="array" ref="R375">_xlfn.XLOOKUP(
Guide[[#This Row],[Dataset]]&amp;Guide[[#This Row],[Category_1]]&amp;Guide[[#This Row],[Category_2]]&amp;Guide[[#This Row],[Dim_Group]],_xlfn.ANCHORARRAY( Sheet1!$N$2),_xlfn.CHOOSECOLS(_xlfn.ANCHORARRAY(Sheet1!$I$2),5),0)</f>
        <v>381</v>
      </c>
    </row>
    <row r="376" spans="1:18" hidden="1" x14ac:dyDescent="0.3">
      <c r="A376" t="s">
        <v>918</v>
      </c>
      <c r="B376" t="s">
        <v>931</v>
      </c>
      <c r="C376" t="s">
        <v>931</v>
      </c>
      <c r="D376" s="3" t="s">
        <v>193</v>
      </c>
      <c r="E376" s="3" t="s">
        <v>193</v>
      </c>
      <c r="F376">
        <v>13</v>
      </c>
      <c r="G376" t="s">
        <v>193</v>
      </c>
      <c r="H376" t="s">
        <v>193</v>
      </c>
      <c r="I376" t="s">
        <v>931</v>
      </c>
      <c r="K376" t="s">
        <v>99</v>
      </c>
      <c r="L376" t="s">
        <v>193</v>
      </c>
      <c r="M376" t="s">
        <v>193</v>
      </c>
      <c r="N376" t="s">
        <v>5</v>
      </c>
      <c r="P376" t="s">
        <v>948</v>
      </c>
      <c r="Q376">
        <f>ROW(Guide[[#This Row],[Row]])</f>
        <v>376</v>
      </c>
      <c r="R376" cm="1">
        <f t="array" ref="R376">_xlfn.XLOOKUP(
Guide[[#This Row],[Dataset]]&amp;Guide[[#This Row],[Category_1]]&amp;Guide[[#This Row],[Category_2]]&amp;Guide[[#This Row],[Dim_Group]],_xlfn.ANCHORARRAY( Sheet1!$N$2),_xlfn.CHOOSECOLS(_xlfn.ANCHORARRAY(Sheet1!$I$2),5),0)</f>
        <v>381</v>
      </c>
    </row>
    <row r="377" spans="1:18" hidden="1" x14ac:dyDescent="0.3">
      <c r="A377" t="s">
        <v>918</v>
      </c>
      <c r="B377" t="s">
        <v>932</v>
      </c>
      <c r="C377" t="s">
        <v>932</v>
      </c>
      <c r="D377" s="3" t="s">
        <v>193</v>
      </c>
      <c r="E377" s="3" t="s">
        <v>193</v>
      </c>
      <c r="F377">
        <v>14</v>
      </c>
      <c r="G377" t="s">
        <v>193</v>
      </c>
      <c r="H377" t="s">
        <v>193</v>
      </c>
      <c r="I377" t="s">
        <v>932</v>
      </c>
      <c r="K377" t="s">
        <v>99</v>
      </c>
      <c r="L377" t="s">
        <v>193</v>
      </c>
      <c r="M377" t="s">
        <v>193</v>
      </c>
      <c r="N377" t="s">
        <v>5</v>
      </c>
      <c r="P377" t="s">
        <v>948</v>
      </c>
      <c r="Q377">
        <f>ROW(Guide[[#This Row],[Row]])</f>
        <v>377</v>
      </c>
      <c r="R377" cm="1">
        <f t="array" ref="R377">_xlfn.XLOOKUP(
Guide[[#This Row],[Dataset]]&amp;Guide[[#This Row],[Category_1]]&amp;Guide[[#This Row],[Category_2]]&amp;Guide[[#This Row],[Dim_Group]],_xlfn.ANCHORARRAY( Sheet1!$N$2),_xlfn.CHOOSECOLS(_xlfn.ANCHORARRAY(Sheet1!$I$2),5),0)</f>
        <v>381</v>
      </c>
    </row>
    <row r="378" spans="1:18" hidden="1" x14ac:dyDescent="0.3">
      <c r="A378" t="s">
        <v>918</v>
      </c>
      <c r="B378" t="s">
        <v>933</v>
      </c>
      <c r="C378" t="s">
        <v>933</v>
      </c>
      <c r="D378" s="3" t="s">
        <v>193</v>
      </c>
      <c r="E378" s="3" t="s">
        <v>193</v>
      </c>
      <c r="F378">
        <v>15</v>
      </c>
      <c r="G378" t="s">
        <v>193</v>
      </c>
      <c r="H378" t="s">
        <v>193</v>
      </c>
      <c r="I378" t="s">
        <v>933</v>
      </c>
      <c r="K378" t="s">
        <v>99</v>
      </c>
      <c r="L378" t="s">
        <v>193</v>
      </c>
      <c r="M378" t="s">
        <v>193</v>
      </c>
      <c r="N378" t="s">
        <v>5</v>
      </c>
      <c r="P378" t="s">
        <v>948</v>
      </c>
      <c r="Q378">
        <f>ROW(Guide[[#This Row],[Row]])</f>
        <v>378</v>
      </c>
      <c r="R378" cm="1">
        <f t="array" ref="R378">_xlfn.XLOOKUP(
Guide[[#This Row],[Dataset]]&amp;Guide[[#This Row],[Category_1]]&amp;Guide[[#This Row],[Category_2]]&amp;Guide[[#This Row],[Dim_Group]],_xlfn.ANCHORARRAY( Sheet1!$N$2),_xlfn.CHOOSECOLS(_xlfn.ANCHORARRAY(Sheet1!$I$2),5),0)</f>
        <v>381</v>
      </c>
    </row>
    <row r="379" spans="1:18" hidden="1" x14ac:dyDescent="0.3">
      <c r="A379" t="s">
        <v>918</v>
      </c>
      <c r="B379" t="s">
        <v>934</v>
      </c>
      <c r="C379" t="s">
        <v>934</v>
      </c>
      <c r="D379" s="3" t="s">
        <v>193</v>
      </c>
      <c r="E379" s="3" t="s">
        <v>193</v>
      </c>
      <c r="F379">
        <v>16</v>
      </c>
      <c r="G379" t="s">
        <v>193</v>
      </c>
      <c r="H379" t="s">
        <v>193</v>
      </c>
      <c r="I379" t="s">
        <v>934</v>
      </c>
      <c r="K379" t="s">
        <v>99</v>
      </c>
      <c r="L379" t="s">
        <v>193</v>
      </c>
      <c r="M379" t="s">
        <v>193</v>
      </c>
      <c r="N379" t="s">
        <v>5</v>
      </c>
      <c r="P379" t="s">
        <v>948</v>
      </c>
      <c r="Q379">
        <f>ROW(Guide[[#This Row],[Row]])</f>
        <v>379</v>
      </c>
      <c r="R379" cm="1">
        <f t="array" ref="R379">_xlfn.XLOOKUP(
Guide[[#This Row],[Dataset]]&amp;Guide[[#This Row],[Category_1]]&amp;Guide[[#This Row],[Category_2]]&amp;Guide[[#This Row],[Dim_Group]],_xlfn.ANCHORARRAY( Sheet1!$N$2),_xlfn.CHOOSECOLS(_xlfn.ANCHORARRAY(Sheet1!$I$2),5),0)</f>
        <v>381</v>
      </c>
    </row>
    <row r="380" spans="1:18" hidden="1" x14ac:dyDescent="0.3">
      <c r="A380" t="s">
        <v>918</v>
      </c>
      <c r="B380" t="s">
        <v>935</v>
      </c>
      <c r="C380" t="s">
        <v>935</v>
      </c>
      <c r="D380" s="3" t="s">
        <v>193</v>
      </c>
      <c r="E380" s="3" t="s">
        <v>193</v>
      </c>
      <c r="F380">
        <v>17</v>
      </c>
      <c r="G380" t="s">
        <v>193</v>
      </c>
      <c r="H380" t="s">
        <v>193</v>
      </c>
      <c r="I380" t="s">
        <v>935</v>
      </c>
      <c r="K380" t="s">
        <v>99</v>
      </c>
      <c r="L380" t="s">
        <v>193</v>
      </c>
      <c r="M380" t="s">
        <v>193</v>
      </c>
      <c r="N380" t="s">
        <v>5</v>
      </c>
      <c r="P380" t="s">
        <v>948</v>
      </c>
      <c r="Q380">
        <f>ROW(Guide[[#This Row],[Row]])</f>
        <v>380</v>
      </c>
      <c r="R380" cm="1">
        <f t="array" ref="R380">_xlfn.XLOOKUP(
Guide[[#This Row],[Dataset]]&amp;Guide[[#This Row],[Category_1]]&amp;Guide[[#This Row],[Category_2]]&amp;Guide[[#This Row],[Dim_Group]],_xlfn.ANCHORARRAY( Sheet1!$N$2),_xlfn.CHOOSECOLS(_xlfn.ANCHORARRAY(Sheet1!$I$2),5),0)</f>
        <v>381</v>
      </c>
    </row>
    <row r="381" spans="1:18" hidden="1" x14ac:dyDescent="0.3">
      <c r="A381" t="s">
        <v>918</v>
      </c>
      <c r="B381" t="s">
        <v>936</v>
      </c>
      <c r="C381" t="s">
        <v>936</v>
      </c>
      <c r="D381" s="3" t="s">
        <v>193</v>
      </c>
      <c r="E381" s="3" t="s">
        <v>193</v>
      </c>
      <c r="F381">
        <v>18</v>
      </c>
      <c r="G381" t="s">
        <v>193</v>
      </c>
      <c r="H381" t="s">
        <v>193</v>
      </c>
      <c r="I381" t="s">
        <v>936</v>
      </c>
      <c r="K381" t="s">
        <v>99</v>
      </c>
      <c r="L381" t="s">
        <v>193</v>
      </c>
      <c r="M381" t="s">
        <v>193</v>
      </c>
      <c r="N381" t="s">
        <v>5</v>
      </c>
      <c r="P381" t="s">
        <v>948</v>
      </c>
      <c r="Q381">
        <f>ROW(Guide[[#This Row],[Row]])</f>
        <v>381</v>
      </c>
      <c r="R381" cm="1">
        <f t="array" ref="R381">_xlfn.XLOOKUP(
Guide[[#This Row],[Dataset]]&amp;Guide[[#This Row],[Category_1]]&amp;Guide[[#This Row],[Category_2]]&amp;Guide[[#This Row],[Dim_Group]],_xlfn.ANCHORARRAY( Sheet1!$N$2),_xlfn.CHOOSECOLS(_xlfn.ANCHORARRAY(Sheet1!$I$2),5),0)</f>
        <v>381</v>
      </c>
    </row>
    <row r="382" spans="1:18" hidden="1" x14ac:dyDescent="0.3">
      <c r="A382" t="s">
        <v>2</v>
      </c>
      <c r="B382" t="s">
        <v>3</v>
      </c>
      <c r="C382" t="s">
        <v>3</v>
      </c>
      <c r="D382" s="3" t="s">
        <v>193</v>
      </c>
      <c r="E382" s="3" t="s">
        <v>193</v>
      </c>
      <c r="F382">
        <v>1</v>
      </c>
      <c r="G382" t="s">
        <v>193</v>
      </c>
      <c r="H382" t="s">
        <v>193</v>
      </c>
      <c r="I382" t="s">
        <v>3</v>
      </c>
      <c r="K382" t="s">
        <v>99</v>
      </c>
      <c r="L382" t="s">
        <v>10</v>
      </c>
      <c r="M382" t="s">
        <v>193</v>
      </c>
      <c r="N382" t="s">
        <v>5</v>
      </c>
      <c r="P382" t="s">
        <v>946</v>
      </c>
      <c r="Q382">
        <f>ROW(Guide[[#This Row],[Row]])</f>
        <v>382</v>
      </c>
      <c r="R382" cm="1">
        <f t="array" ref="R382">_xlfn.XLOOKUP(
Guide[[#This Row],[Dataset]]&amp;Guide[[#This Row],[Category_1]]&amp;Guide[[#This Row],[Category_2]]&amp;Guide[[#This Row],[Dim_Group]],_xlfn.ANCHORARRAY( Sheet1!$N$2),_xlfn.CHOOSECOLS(_xlfn.ANCHORARRAY(Sheet1!$I$2),5),0)</f>
        <v>389</v>
      </c>
    </row>
    <row r="383" spans="1:18" hidden="1" x14ac:dyDescent="0.3">
      <c r="A383" t="s">
        <v>2</v>
      </c>
      <c r="B383" t="s">
        <v>6</v>
      </c>
      <c r="C383" t="s">
        <v>6</v>
      </c>
      <c r="D383" s="3" t="s">
        <v>193</v>
      </c>
      <c r="E383" s="3" t="s">
        <v>193</v>
      </c>
      <c r="F383">
        <v>2</v>
      </c>
      <c r="G383" t="s">
        <v>193</v>
      </c>
      <c r="H383" t="s">
        <v>193</v>
      </c>
      <c r="I383" t="s">
        <v>6</v>
      </c>
      <c r="K383" t="s">
        <v>99</v>
      </c>
      <c r="L383" t="s">
        <v>10</v>
      </c>
      <c r="M383" t="s">
        <v>193</v>
      </c>
      <c r="N383" t="s">
        <v>5</v>
      </c>
      <c r="P383" t="s">
        <v>946</v>
      </c>
      <c r="Q383">
        <f>ROW(Guide[[#This Row],[Row]])</f>
        <v>383</v>
      </c>
      <c r="R383" cm="1">
        <f t="array" ref="R383">_xlfn.XLOOKUP(
Guide[[#This Row],[Dataset]]&amp;Guide[[#This Row],[Category_1]]&amp;Guide[[#This Row],[Category_2]]&amp;Guide[[#This Row],[Dim_Group]],_xlfn.ANCHORARRAY( Sheet1!$N$2),_xlfn.CHOOSECOLS(_xlfn.ANCHORARRAY(Sheet1!$I$2),5),0)</f>
        <v>389</v>
      </c>
    </row>
    <row r="384" spans="1:18" hidden="1" x14ac:dyDescent="0.3">
      <c r="A384" t="s">
        <v>2</v>
      </c>
      <c r="B384" t="s">
        <v>7</v>
      </c>
      <c r="C384" t="s">
        <v>7</v>
      </c>
      <c r="D384" s="3" t="s">
        <v>193</v>
      </c>
      <c r="E384" s="3" t="s">
        <v>193</v>
      </c>
      <c r="F384">
        <v>3</v>
      </c>
      <c r="G384" t="s">
        <v>193</v>
      </c>
      <c r="H384" t="s">
        <v>193</v>
      </c>
      <c r="I384" t="s">
        <v>7</v>
      </c>
      <c r="K384" t="s">
        <v>99</v>
      </c>
      <c r="L384" t="s">
        <v>10</v>
      </c>
      <c r="M384" t="s">
        <v>193</v>
      </c>
      <c r="N384" t="s">
        <v>5</v>
      </c>
      <c r="P384" t="s">
        <v>946</v>
      </c>
      <c r="Q384">
        <f>ROW(Guide[[#This Row],[Row]])</f>
        <v>384</v>
      </c>
      <c r="R384" cm="1">
        <f t="array" ref="R384">_xlfn.XLOOKUP(
Guide[[#This Row],[Dataset]]&amp;Guide[[#This Row],[Category_1]]&amp;Guide[[#This Row],[Category_2]]&amp;Guide[[#This Row],[Dim_Group]],_xlfn.ANCHORARRAY( Sheet1!$N$2),_xlfn.CHOOSECOLS(_xlfn.ANCHORARRAY(Sheet1!$I$2),5),0)</f>
        <v>389</v>
      </c>
    </row>
    <row r="385" spans="1:18" hidden="1" x14ac:dyDescent="0.3">
      <c r="A385" t="s">
        <v>2</v>
      </c>
      <c r="B385" t="s">
        <v>8</v>
      </c>
      <c r="C385" t="s">
        <v>8</v>
      </c>
      <c r="D385" s="3" t="s">
        <v>193</v>
      </c>
      <c r="E385" s="3" t="s">
        <v>193</v>
      </c>
      <c r="F385">
        <v>4</v>
      </c>
      <c r="G385" t="s">
        <v>193</v>
      </c>
      <c r="H385" t="s">
        <v>193</v>
      </c>
      <c r="I385" t="s">
        <v>8</v>
      </c>
      <c r="K385" t="s">
        <v>99</v>
      </c>
      <c r="L385" t="s">
        <v>10</v>
      </c>
      <c r="M385" t="s">
        <v>193</v>
      </c>
      <c r="N385" t="s">
        <v>5</v>
      </c>
      <c r="P385" t="s">
        <v>946</v>
      </c>
      <c r="Q385">
        <f>ROW(Guide[[#This Row],[Row]])</f>
        <v>385</v>
      </c>
      <c r="R385" cm="1">
        <f t="array" ref="R385">_xlfn.XLOOKUP(
Guide[[#This Row],[Dataset]]&amp;Guide[[#This Row],[Category_1]]&amp;Guide[[#This Row],[Category_2]]&amp;Guide[[#This Row],[Dim_Group]],_xlfn.ANCHORARRAY( Sheet1!$N$2),_xlfn.CHOOSECOLS(_xlfn.ANCHORARRAY(Sheet1!$I$2),5),0)</f>
        <v>389</v>
      </c>
    </row>
    <row r="386" spans="1:18" hidden="1" x14ac:dyDescent="0.3">
      <c r="A386" t="s">
        <v>2</v>
      </c>
      <c r="B386" t="s">
        <v>11</v>
      </c>
      <c r="C386" t="s">
        <v>11</v>
      </c>
      <c r="D386" s="3" t="s">
        <v>193</v>
      </c>
      <c r="E386" s="3" t="s">
        <v>193</v>
      </c>
      <c r="F386">
        <v>5</v>
      </c>
      <c r="G386" t="s">
        <v>193</v>
      </c>
      <c r="H386" t="s">
        <v>193</v>
      </c>
      <c r="I386" t="s">
        <v>11</v>
      </c>
      <c r="K386" t="s">
        <v>99</v>
      </c>
      <c r="L386" t="s">
        <v>10</v>
      </c>
      <c r="M386" t="s">
        <v>193</v>
      </c>
      <c r="N386" t="s">
        <v>5</v>
      </c>
      <c r="P386" t="s">
        <v>946</v>
      </c>
      <c r="Q386">
        <f>ROW(Guide[[#This Row],[Row]])</f>
        <v>386</v>
      </c>
      <c r="R386" cm="1">
        <f t="array" ref="R386">_xlfn.XLOOKUP(
Guide[[#This Row],[Dataset]]&amp;Guide[[#This Row],[Category_1]]&amp;Guide[[#This Row],[Category_2]]&amp;Guide[[#This Row],[Dim_Group]],_xlfn.ANCHORARRAY( Sheet1!$N$2),_xlfn.CHOOSECOLS(_xlfn.ANCHORARRAY(Sheet1!$I$2),5),0)</f>
        <v>389</v>
      </c>
    </row>
    <row r="387" spans="1:18" hidden="1" x14ac:dyDescent="0.3">
      <c r="A387" t="s">
        <v>2</v>
      </c>
      <c r="B387" t="s">
        <v>12</v>
      </c>
      <c r="C387" t="s">
        <v>12</v>
      </c>
      <c r="D387" s="3" t="s">
        <v>193</v>
      </c>
      <c r="E387" s="3" t="s">
        <v>193</v>
      </c>
      <c r="F387">
        <v>6</v>
      </c>
      <c r="G387" t="s">
        <v>193</v>
      </c>
      <c r="H387" t="s">
        <v>193</v>
      </c>
      <c r="I387" t="s">
        <v>12</v>
      </c>
      <c r="K387" t="s">
        <v>99</v>
      </c>
      <c r="L387" t="s">
        <v>10</v>
      </c>
      <c r="M387" t="s">
        <v>193</v>
      </c>
      <c r="N387" t="s">
        <v>5</v>
      </c>
      <c r="P387" t="s">
        <v>946</v>
      </c>
      <c r="Q387">
        <f>ROW(Guide[[#This Row],[Row]])</f>
        <v>387</v>
      </c>
      <c r="R387" cm="1">
        <f t="array" ref="R387">_xlfn.XLOOKUP(
Guide[[#This Row],[Dataset]]&amp;Guide[[#This Row],[Category_1]]&amp;Guide[[#This Row],[Category_2]]&amp;Guide[[#This Row],[Dim_Group]],_xlfn.ANCHORARRAY( Sheet1!$N$2),_xlfn.CHOOSECOLS(_xlfn.ANCHORARRAY(Sheet1!$I$2),5),0)</f>
        <v>389</v>
      </c>
    </row>
    <row r="388" spans="1:18" hidden="1" x14ac:dyDescent="0.3">
      <c r="A388" t="s">
        <v>2</v>
      </c>
      <c r="B388" t="s">
        <v>13</v>
      </c>
      <c r="C388" t="s">
        <v>13</v>
      </c>
      <c r="D388" s="3" t="s">
        <v>193</v>
      </c>
      <c r="E388" s="3" t="s">
        <v>193</v>
      </c>
      <c r="F388">
        <v>7</v>
      </c>
      <c r="G388" t="s">
        <v>193</v>
      </c>
      <c r="H388" t="s">
        <v>193</v>
      </c>
      <c r="I388" t="s">
        <v>13</v>
      </c>
      <c r="K388" t="s">
        <v>99</v>
      </c>
      <c r="L388" t="s">
        <v>10</v>
      </c>
      <c r="M388" t="s">
        <v>193</v>
      </c>
      <c r="N388" t="s">
        <v>5</v>
      </c>
      <c r="P388" t="s">
        <v>946</v>
      </c>
      <c r="Q388">
        <f>ROW(Guide[[#This Row],[Row]])</f>
        <v>388</v>
      </c>
      <c r="R388" cm="1">
        <f t="array" ref="R388">_xlfn.XLOOKUP(
Guide[[#This Row],[Dataset]]&amp;Guide[[#This Row],[Category_1]]&amp;Guide[[#This Row],[Category_2]]&amp;Guide[[#This Row],[Dim_Group]],_xlfn.ANCHORARRAY( Sheet1!$N$2),_xlfn.CHOOSECOLS(_xlfn.ANCHORARRAY(Sheet1!$I$2),5),0)</f>
        <v>389</v>
      </c>
    </row>
    <row r="389" spans="1:18" hidden="1" x14ac:dyDescent="0.3">
      <c r="A389" t="s">
        <v>2</v>
      </c>
      <c r="B389" t="s">
        <v>14</v>
      </c>
      <c r="C389" t="s">
        <v>14</v>
      </c>
      <c r="D389" s="3" t="s">
        <v>193</v>
      </c>
      <c r="E389" s="3" t="s">
        <v>193</v>
      </c>
      <c r="F389">
        <v>8</v>
      </c>
      <c r="G389" t="s">
        <v>193</v>
      </c>
      <c r="H389" t="s">
        <v>193</v>
      </c>
      <c r="I389" t="s">
        <v>14</v>
      </c>
      <c r="K389" t="s">
        <v>99</v>
      </c>
      <c r="L389" t="s">
        <v>10</v>
      </c>
      <c r="M389" t="s">
        <v>193</v>
      </c>
      <c r="N389" t="s">
        <v>5</v>
      </c>
      <c r="P389" t="s">
        <v>946</v>
      </c>
      <c r="Q389">
        <f>ROW(Guide[[#This Row],[Row]])</f>
        <v>389</v>
      </c>
      <c r="R389" cm="1">
        <f t="array" ref="R389">_xlfn.XLOOKUP(
Guide[[#This Row],[Dataset]]&amp;Guide[[#This Row],[Category_1]]&amp;Guide[[#This Row],[Category_2]]&amp;Guide[[#This Row],[Dim_Group]],_xlfn.ANCHORARRAY( Sheet1!$N$2),_xlfn.CHOOSECOLS(_xlfn.ANCHORARRAY(Sheet1!$I$2),5),0)</f>
        <v>389</v>
      </c>
    </row>
    <row r="390" spans="1:18" x14ac:dyDescent="0.3">
      <c r="A390" t="s">
        <v>937</v>
      </c>
      <c r="B390" t="s">
        <v>938</v>
      </c>
      <c r="C390" t="s">
        <v>938</v>
      </c>
      <c r="D390" s="3" t="s">
        <v>88</v>
      </c>
      <c r="E390" s="3" t="s">
        <v>88</v>
      </c>
      <c r="F390">
        <v>1</v>
      </c>
      <c r="G390" t="s">
        <v>88</v>
      </c>
      <c r="H390" t="s">
        <v>88</v>
      </c>
      <c r="I390" t="s">
        <v>938</v>
      </c>
      <c r="K390" t="s">
        <v>99</v>
      </c>
      <c r="L390" t="s">
        <v>88</v>
      </c>
      <c r="M390" t="s">
        <v>88</v>
      </c>
      <c r="N390" t="s">
        <v>5</v>
      </c>
      <c r="Q390">
        <f>ROW(Guide[[#This Row],[Row]])</f>
        <v>390</v>
      </c>
      <c r="R390" cm="1">
        <f t="array" ref="R390">_xlfn.XLOOKUP(
Guide[[#This Row],[Dataset]]&amp;Guide[[#This Row],[Category_1]]&amp;Guide[[#This Row],[Category_2]]&amp;Guide[[#This Row],[Dim_Group]],_xlfn.ANCHORARRAY( Sheet1!$N$2),_xlfn.CHOOSECOLS(_xlfn.ANCHORARRAY(Sheet1!$I$2),5),0)</f>
        <v>390</v>
      </c>
    </row>
    <row r="391" spans="1:18" hidden="1" x14ac:dyDescent="0.3">
      <c r="A391" t="s">
        <v>939</v>
      </c>
      <c r="B391" t="s">
        <v>940</v>
      </c>
      <c r="C391" t="s">
        <v>941</v>
      </c>
      <c r="D391" s="3" t="s">
        <v>940</v>
      </c>
      <c r="E391" s="3" t="s">
        <v>940</v>
      </c>
      <c r="F391">
        <v>1</v>
      </c>
      <c r="G391" t="s">
        <v>223</v>
      </c>
      <c r="H391" t="s">
        <v>88</v>
      </c>
      <c r="I391" t="s">
        <v>941</v>
      </c>
      <c r="K391" t="s">
        <v>99</v>
      </c>
      <c r="L391" t="s">
        <v>88</v>
      </c>
      <c r="M391" t="s">
        <v>88</v>
      </c>
      <c r="N391" t="s">
        <v>5</v>
      </c>
      <c r="P391" t="s">
        <v>947</v>
      </c>
      <c r="Q391">
        <f>ROW(Guide[[#This Row],[Row]])</f>
        <v>391</v>
      </c>
      <c r="R391" cm="1">
        <f t="array" ref="R391">_xlfn.XLOOKUP(
Guide[[#This Row],[Dataset]]&amp;Guide[[#This Row],[Category_1]]&amp;Guide[[#This Row],[Category_2]]&amp;Guide[[#This Row],[Dim_Group]],_xlfn.ANCHORARRAY( Sheet1!$N$2),_xlfn.CHOOSECOLS(_xlfn.ANCHORARRAY(Sheet1!$I$2),5),0)</f>
        <v>391</v>
      </c>
    </row>
    <row r="392" spans="1:18" hidden="1" x14ac:dyDescent="0.3">
      <c r="A392" t="s">
        <v>939</v>
      </c>
      <c r="B392" t="s">
        <v>942</v>
      </c>
      <c r="C392" t="s">
        <v>941</v>
      </c>
      <c r="D392" s="3" t="s">
        <v>942</v>
      </c>
      <c r="E392" s="3" t="s">
        <v>942</v>
      </c>
      <c r="F392">
        <v>1</v>
      </c>
      <c r="G392" t="s">
        <v>96</v>
      </c>
      <c r="H392" t="s">
        <v>88</v>
      </c>
      <c r="I392" t="s">
        <v>941</v>
      </c>
      <c r="K392" t="s">
        <v>99</v>
      </c>
      <c r="L392" t="s">
        <v>88</v>
      </c>
      <c r="M392" t="s">
        <v>88</v>
      </c>
      <c r="N392" t="s">
        <v>5</v>
      </c>
      <c r="P392" t="s">
        <v>946</v>
      </c>
      <c r="Q392">
        <f>ROW(Guide[[#This Row],[Row]])</f>
        <v>392</v>
      </c>
      <c r="R392" cm="1">
        <f t="array" ref="R392">_xlfn.XLOOKUP(
Guide[[#This Row],[Dataset]]&amp;Guide[[#This Row],[Category_1]]&amp;Guide[[#This Row],[Category_2]]&amp;Guide[[#This Row],[Dim_Group]],_xlfn.ANCHORARRAY( Sheet1!$N$2),_xlfn.CHOOSECOLS(_xlfn.ANCHORARRAY(Sheet1!$I$2),5),0)</f>
        <v>392</v>
      </c>
    </row>
    <row r="393" spans="1:18" hidden="1" x14ac:dyDescent="0.3">
      <c r="A393" t="s">
        <v>939</v>
      </c>
      <c r="B393" t="s">
        <v>943</v>
      </c>
      <c r="C393" t="s">
        <v>941</v>
      </c>
      <c r="D393" s="3" t="s">
        <v>943</v>
      </c>
      <c r="E393" s="3" t="s">
        <v>943</v>
      </c>
      <c r="F393">
        <v>1</v>
      </c>
      <c r="G393" t="s">
        <v>96</v>
      </c>
      <c r="H393" t="s">
        <v>88</v>
      </c>
      <c r="I393" t="s">
        <v>941</v>
      </c>
      <c r="K393" t="s">
        <v>99</v>
      </c>
      <c r="L393" t="s">
        <v>88</v>
      </c>
      <c r="M393" t="s">
        <v>88</v>
      </c>
      <c r="N393" t="s">
        <v>5</v>
      </c>
      <c r="P393" t="s">
        <v>946</v>
      </c>
      <c r="Q393">
        <f>ROW(Guide[[#This Row],[Row]])</f>
        <v>393</v>
      </c>
      <c r="R393" cm="1">
        <f t="array" ref="R393">_xlfn.XLOOKUP(
Guide[[#This Row],[Dataset]]&amp;Guide[[#This Row],[Category_1]]&amp;Guide[[#This Row],[Category_2]]&amp;Guide[[#This Row],[Dim_Group]],_xlfn.ANCHORARRAY( Sheet1!$N$2),_xlfn.CHOOSECOLS(_xlfn.ANCHORARRAY(Sheet1!$I$2),5),0)</f>
        <v>393</v>
      </c>
    </row>
    <row r="394" spans="1:18" hidden="1" x14ac:dyDescent="0.3">
      <c r="A394" t="s">
        <v>939</v>
      </c>
      <c r="B394" t="s">
        <v>944</v>
      </c>
      <c r="C394" t="s">
        <v>941</v>
      </c>
      <c r="D394" s="3" t="s">
        <v>944</v>
      </c>
      <c r="E394" s="3" t="s">
        <v>944</v>
      </c>
      <c r="F394">
        <v>1</v>
      </c>
      <c r="G394" t="s">
        <v>96</v>
      </c>
      <c r="H394" t="s">
        <v>88</v>
      </c>
      <c r="I394" t="s">
        <v>941</v>
      </c>
      <c r="K394" t="s">
        <v>99</v>
      </c>
      <c r="L394" t="s">
        <v>88</v>
      </c>
      <c r="M394" t="s">
        <v>88</v>
      </c>
      <c r="N394" t="s">
        <v>5</v>
      </c>
      <c r="P394" t="s">
        <v>946</v>
      </c>
      <c r="Q394">
        <f>ROW(Guide[[#This Row],[Row]])</f>
        <v>394</v>
      </c>
      <c r="R394" cm="1">
        <f t="array" ref="R394">_xlfn.XLOOKUP(
Guide[[#This Row],[Dataset]]&amp;Guide[[#This Row],[Category_1]]&amp;Guide[[#This Row],[Category_2]]&amp;Guide[[#This Row],[Dim_Group]],_xlfn.ANCHORARRAY( Sheet1!$N$2),_xlfn.CHOOSECOLS(_xlfn.ANCHORARRAY(Sheet1!$I$2),5),0)</f>
        <v>394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DF226-C41A-45AC-9572-82A96DAAB11E}">
  <dimension ref="A2:N395"/>
  <sheetViews>
    <sheetView topLeftCell="A104" workbookViewId="0">
      <selection activeCell="O15" sqref="O15"/>
    </sheetView>
  </sheetViews>
  <sheetFormatPr defaultRowHeight="10.15" x14ac:dyDescent="0.3"/>
  <sheetData>
    <row r="2" spans="1:14" x14ac:dyDescent="0.3">
      <c r="A2" t="str" cm="1">
        <f t="array" ref="A2:G395">_xlfn.PIVOTBY(_xlfn.HSTACK(
Guide[Dataset],Guide[Category_1],Guide[Category_2],Guide[Level_1_Order],Guide[Level_2],Guide[Dim_Group]
),,Guide[Row],_xleta.MAX)</f>
        <v>adp</v>
      </c>
      <c r="B2" t="str">
        <v>NA</v>
      </c>
      <c r="C2" t="str">
        <v>NA</v>
      </c>
      <c r="D2">
        <v>1</v>
      </c>
      <c r="E2" t="str">
        <v>NA</v>
      </c>
      <c r="F2" t="str">
        <v>NA</v>
      </c>
      <c r="G2">
        <v>364</v>
      </c>
      <c r="I2" t="str" cm="1">
        <f t="array" ref="I2:M328">_xlfn.PIVOTBY(_xlfn.HSTACK(
Guide[Dataset],Guide[Category_1],Guide[Category_2],Guide[Dim_Group]
),,Guide[Row],_xleta.MAX)</f>
        <v>adp</v>
      </c>
      <c r="J2" t="str">
        <v>NA</v>
      </c>
      <c r="K2" t="str">
        <v>NA</v>
      </c>
      <c r="L2" t="str">
        <v>NA</v>
      </c>
      <c r="M2">
        <v>381</v>
      </c>
      <c r="N2" t="str" cm="1">
        <f t="array" ref="N2:N328">_xlfn.CHOOSECOLS(_xlfn.ANCHORARRAY(I2),1)&amp;_xlfn.CHOOSECOLS(_xlfn.ANCHORARRAY(I2),2)&amp;_xlfn.CHOOSECOLS(_xlfn.ANCHORARRAY(I2),3)&amp;_xlfn.CHOOSECOLS(_xlfn.ANCHORARRAY(I2),4)</f>
        <v>adpNANANA</v>
      </c>
    </row>
    <row r="3" spans="1:14" x14ac:dyDescent="0.3">
      <c r="A3" t="str">
        <v>adp</v>
      </c>
      <c r="B3" t="str">
        <v>NA</v>
      </c>
      <c r="C3" t="str">
        <v>NA</v>
      </c>
      <c r="D3">
        <v>2</v>
      </c>
      <c r="E3" t="str">
        <v>NA</v>
      </c>
      <c r="F3" t="str">
        <v>NA</v>
      </c>
      <c r="G3">
        <v>365</v>
      </c>
      <c r="I3" t="str">
        <v>bond</v>
      </c>
      <c r="J3" t="str">
        <v>Bonds</v>
      </c>
      <c r="K3">
        <v>0</v>
      </c>
      <c r="L3" t="str">
        <v>n</v>
      </c>
      <c r="M3">
        <v>5</v>
      </c>
      <c r="N3" t="str">
        <v>bondBonds0n</v>
      </c>
    </row>
    <row r="4" spans="1:14" x14ac:dyDescent="0.3">
      <c r="A4" t="str">
        <v>adp</v>
      </c>
      <c r="B4" t="str">
        <v>NA</v>
      </c>
      <c r="C4" t="str">
        <v>NA</v>
      </c>
      <c r="D4">
        <v>3</v>
      </c>
      <c r="E4" t="str">
        <v>NA</v>
      </c>
      <c r="F4" t="str">
        <v>NA</v>
      </c>
      <c r="G4">
        <v>366</v>
      </c>
      <c r="I4" t="str">
        <v>bond</v>
      </c>
      <c r="J4" t="str">
        <v>Change in Bonds</v>
      </c>
      <c r="K4" t="str">
        <v>Flow</v>
      </c>
      <c r="L4" t="str">
        <v>n</v>
      </c>
      <c r="M4">
        <v>2</v>
      </c>
      <c r="N4" t="str">
        <v>bondChange in BondsFlown</v>
      </c>
    </row>
    <row r="5" spans="1:14" x14ac:dyDescent="0.3">
      <c r="A5" t="str">
        <v>adp</v>
      </c>
      <c r="B5" t="str">
        <v>NA</v>
      </c>
      <c r="C5" t="str">
        <v>NA</v>
      </c>
      <c r="D5">
        <v>4</v>
      </c>
      <c r="E5" t="str">
        <v>NA</v>
      </c>
      <c r="F5" t="str">
        <v>NA</v>
      </c>
      <c r="G5">
        <v>367</v>
      </c>
      <c r="I5" t="str">
        <v>bond</v>
      </c>
      <c r="J5" t="str">
        <v>NA</v>
      </c>
      <c r="K5" t="str">
        <v>NA</v>
      </c>
      <c r="L5" t="str">
        <v>$</v>
      </c>
      <c r="M5">
        <v>389</v>
      </c>
      <c r="N5" t="str">
        <v>bondNANA$</v>
      </c>
    </row>
    <row r="6" spans="1:14" x14ac:dyDescent="0.3">
      <c r="A6" t="str">
        <v>adp</v>
      </c>
      <c r="B6" t="str">
        <v>NA</v>
      </c>
      <c r="C6" t="str">
        <v>NA</v>
      </c>
      <c r="D6">
        <v>5</v>
      </c>
      <c r="E6" t="str">
        <v>NA</v>
      </c>
      <c r="F6" t="str">
        <v>NA</v>
      </c>
      <c r="G6">
        <v>368</v>
      </c>
      <c r="I6" t="str">
        <v>bond</v>
      </c>
      <c r="J6" t="str">
        <v>Rent</v>
      </c>
      <c r="K6">
        <v>0</v>
      </c>
      <c r="L6" t="str">
        <v>$</v>
      </c>
      <c r="M6">
        <v>10</v>
      </c>
      <c r="N6" t="str">
        <v>bondRent0$</v>
      </c>
    </row>
    <row r="7" spans="1:14" x14ac:dyDescent="0.3">
      <c r="A7" t="str">
        <v>adp</v>
      </c>
      <c r="B7" t="str">
        <v>NA</v>
      </c>
      <c r="C7" t="str">
        <v>NA</v>
      </c>
      <c r="D7">
        <v>6</v>
      </c>
      <c r="E7" t="str">
        <v>NA</v>
      </c>
      <c r="F7" t="str">
        <v>NA</v>
      </c>
      <c r="G7">
        <v>369</v>
      </c>
      <c r="I7" t="str">
        <v>border</v>
      </c>
      <c r="J7" t="str">
        <v>-</v>
      </c>
      <c r="K7" t="str">
        <v>-</v>
      </c>
      <c r="L7" t="str">
        <v>-</v>
      </c>
      <c r="M7">
        <v>390</v>
      </c>
      <c r="N7" t="str">
        <v>border---</v>
      </c>
    </row>
    <row r="8" spans="1:14" x14ac:dyDescent="0.3">
      <c r="A8" t="str">
        <v>adp</v>
      </c>
      <c r="B8" t="str">
        <v>NA</v>
      </c>
      <c r="C8" t="str">
        <v>NA</v>
      </c>
      <c r="D8">
        <v>7</v>
      </c>
      <c r="E8" t="str">
        <v>NA</v>
      </c>
      <c r="F8" t="str">
        <v>NA</v>
      </c>
      <c r="G8">
        <v>370</v>
      </c>
      <c r="I8" t="str">
        <v>fuel</v>
      </c>
      <c r="J8" t="str">
        <v>NA</v>
      </c>
      <c r="K8" t="str">
        <v>NZD per Barrel</v>
      </c>
      <c r="L8" t="str">
        <v>$</v>
      </c>
      <c r="M8">
        <v>363</v>
      </c>
      <c r="N8" t="str">
        <v>fuelNANZD per Barrel$</v>
      </c>
    </row>
    <row r="9" spans="1:14" x14ac:dyDescent="0.3">
      <c r="A9" t="str">
        <v>adp</v>
      </c>
      <c r="B9" t="str">
        <v>NA</v>
      </c>
      <c r="C9" t="str">
        <v>NA</v>
      </c>
      <c r="D9">
        <v>8</v>
      </c>
      <c r="E9" t="str">
        <v>NA</v>
      </c>
      <c r="F9" t="str">
        <v>NA</v>
      </c>
      <c r="G9">
        <v>371</v>
      </c>
      <c r="I9" t="str">
        <v>fuel</v>
      </c>
      <c r="J9" t="str">
        <v>NA</v>
      </c>
      <c r="K9" t="str">
        <v>USD per Barrel</v>
      </c>
      <c r="L9" t="str">
        <v>$</v>
      </c>
      <c r="M9">
        <v>362</v>
      </c>
      <c r="N9" t="str">
        <v>fuelNAUSD per Barrel$</v>
      </c>
    </row>
    <row r="10" spans="1:14" x14ac:dyDescent="0.3">
      <c r="A10" t="str">
        <v>adp</v>
      </c>
      <c r="B10" t="str">
        <v>NA</v>
      </c>
      <c r="C10" t="str">
        <v>NA</v>
      </c>
      <c r="D10">
        <v>9</v>
      </c>
      <c r="E10" t="str">
        <v>NA</v>
      </c>
      <c r="F10" t="str">
        <v>NA</v>
      </c>
      <c r="G10">
        <v>372</v>
      </c>
      <c r="I10" t="str">
        <v>hb1</v>
      </c>
      <c r="J10" t="str">
        <v>Index</v>
      </c>
      <c r="K10" t="str">
        <v>TWI</v>
      </c>
      <c r="L10" t="str">
        <v>TWI</v>
      </c>
      <c r="M10">
        <v>11</v>
      </c>
      <c r="N10" t="str">
        <v>hb1IndexTWITWI</v>
      </c>
    </row>
    <row r="11" spans="1:14" x14ac:dyDescent="0.3">
      <c r="A11" t="str">
        <v>adp</v>
      </c>
      <c r="B11" t="str">
        <v>NA</v>
      </c>
      <c r="C11" t="str">
        <v>NA</v>
      </c>
      <c r="D11">
        <v>10</v>
      </c>
      <c r="E11" t="str">
        <v>NA</v>
      </c>
      <c r="F11" t="str">
        <v>NA</v>
      </c>
      <c r="G11">
        <v>373</v>
      </c>
      <c r="I11" t="str">
        <v>hb1</v>
      </c>
      <c r="J11" t="str">
        <v>Index Historic</v>
      </c>
      <c r="K11" t="str">
        <v>Historical TWI</v>
      </c>
      <c r="L11" t="str">
        <v>TWI (H)</v>
      </c>
      <c r="M11">
        <v>29</v>
      </c>
      <c r="N11" t="str">
        <v>hb1Index HistoricHistorical TWITWI (H)</v>
      </c>
    </row>
    <row r="12" spans="1:14" x14ac:dyDescent="0.3">
      <c r="A12" t="str">
        <v>adp</v>
      </c>
      <c r="B12" t="str">
        <v>NA</v>
      </c>
      <c r="C12" t="str">
        <v>NA</v>
      </c>
      <c r="D12">
        <v>11</v>
      </c>
      <c r="E12" t="str">
        <v>NA</v>
      </c>
      <c r="F12" t="str">
        <v>NA</v>
      </c>
      <c r="G12">
        <v>374</v>
      </c>
      <c r="I12" t="str">
        <v>hb1</v>
      </c>
      <c r="J12" t="str">
        <v>NZD/AUD</v>
      </c>
      <c r="K12" t="str">
        <v>Exchange rates (quoted per NZ$)</v>
      </c>
      <c r="L12" t="str">
        <v>NZD to $AUD</v>
      </c>
      <c r="M12">
        <v>14</v>
      </c>
      <c r="N12" t="str">
        <v>hb1NZD/AUDExchange rates (quoted per NZ$)NZD to $AUD</v>
      </c>
    </row>
    <row r="13" spans="1:14" x14ac:dyDescent="0.3">
      <c r="A13" t="str">
        <v>adp</v>
      </c>
      <c r="B13" t="str">
        <v>NA</v>
      </c>
      <c r="C13" t="str">
        <v>NA</v>
      </c>
      <c r="D13">
        <v>12</v>
      </c>
      <c r="E13" t="str">
        <v>NA</v>
      </c>
      <c r="F13" t="str">
        <v>NA</v>
      </c>
      <c r="G13">
        <v>375</v>
      </c>
      <c r="I13" t="str">
        <v>hb1</v>
      </c>
      <c r="J13" t="str">
        <v>NZD/CAD</v>
      </c>
      <c r="K13" t="str">
        <v>Exchange rates (quoted per NZ$)</v>
      </c>
      <c r="L13" t="str">
        <v>NZD to $CAD</v>
      </c>
      <c r="M13">
        <v>17</v>
      </c>
      <c r="N13" t="str">
        <v>hb1NZD/CADExchange rates (quoted per NZ$)NZD to $CAD</v>
      </c>
    </row>
    <row r="14" spans="1:14" x14ac:dyDescent="0.3">
      <c r="A14" t="str">
        <v>adp</v>
      </c>
      <c r="B14" t="str">
        <v>NA</v>
      </c>
      <c r="C14" t="str">
        <v>NA</v>
      </c>
      <c r="D14">
        <v>13</v>
      </c>
      <c r="E14" t="str">
        <v>NA</v>
      </c>
      <c r="F14" t="str">
        <v>NA</v>
      </c>
      <c r="G14">
        <v>376</v>
      </c>
      <c r="I14" t="str">
        <v>hb1</v>
      </c>
      <c r="J14" t="str">
        <v>NZD/CNY</v>
      </c>
      <c r="K14" t="str">
        <v>Exchange rates (quoted per NZ$)</v>
      </c>
      <c r="L14" t="str">
        <v>NZD to Â¥CNY</v>
      </c>
      <c r="M14">
        <v>19</v>
      </c>
      <c r="N14" t="str">
        <v>hb1NZD/CNYExchange rates (quoted per NZ$)NZD to Â¥CNY</v>
      </c>
    </row>
    <row r="15" spans="1:14" x14ac:dyDescent="0.3">
      <c r="A15" t="str">
        <v>adp</v>
      </c>
      <c r="B15" t="str">
        <v>NA</v>
      </c>
      <c r="C15" t="str">
        <v>NA</v>
      </c>
      <c r="D15">
        <v>14</v>
      </c>
      <c r="E15" t="str">
        <v>NA</v>
      </c>
      <c r="F15" t="str">
        <v>NA</v>
      </c>
      <c r="G15">
        <v>377</v>
      </c>
      <c r="I15" t="str">
        <v>hb1</v>
      </c>
      <c r="J15" t="str">
        <v>NZD/EUR</v>
      </c>
      <c r="K15" t="str">
        <v>Exchange rates (quoted per NZ$)</v>
      </c>
      <c r="L15" t="str">
        <v>NZD to â‚¬EUR</v>
      </c>
      <c r="M15">
        <v>16</v>
      </c>
      <c r="N15" t="str">
        <v>hb1NZD/EURExchange rates (quoted per NZ$)NZD to â‚¬EUR</v>
      </c>
    </row>
    <row r="16" spans="1:14" x14ac:dyDescent="0.3">
      <c r="A16" t="str">
        <v>adp</v>
      </c>
      <c r="B16" t="str">
        <v>NA</v>
      </c>
      <c r="C16" t="str">
        <v>NA</v>
      </c>
      <c r="D16">
        <v>15</v>
      </c>
      <c r="E16" t="str">
        <v>NA</v>
      </c>
      <c r="F16" t="str">
        <v>NA</v>
      </c>
      <c r="G16">
        <v>378</v>
      </c>
      <c r="I16" t="str">
        <v>hb1</v>
      </c>
      <c r="J16" t="str">
        <v>NZD/GBP</v>
      </c>
      <c r="K16" t="str">
        <v>Exchange rates (quoted per NZ$)</v>
      </c>
      <c r="L16" t="str">
        <v>NZD to Â£GBP</v>
      </c>
      <c r="M16">
        <v>13</v>
      </c>
      <c r="N16" t="str">
        <v>hb1NZD/GBPExchange rates (quoted per NZ$)NZD to Â£GBP</v>
      </c>
    </row>
    <row r="17" spans="1:14" x14ac:dyDescent="0.3">
      <c r="A17" t="str">
        <v>adp</v>
      </c>
      <c r="B17" t="str">
        <v>NA</v>
      </c>
      <c r="C17" t="str">
        <v>NA</v>
      </c>
      <c r="D17">
        <v>16</v>
      </c>
      <c r="E17" t="str">
        <v>NA</v>
      </c>
      <c r="F17" t="str">
        <v>NA</v>
      </c>
      <c r="G17">
        <v>379</v>
      </c>
      <c r="I17" t="str">
        <v>hb1</v>
      </c>
      <c r="J17" t="str">
        <v>NZD/HKD</v>
      </c>
      <c r="K17" t="str">
        <v>Exchange rates (quoted per NZ$)</v>
      </c>
      <c r="L17" t="str">
        <v>NZD to $HK</v>
      </c>
      <c r="M17">
        <v>21</v>
      </c>
      <c r="N17" t="str">
        <v>hb1NZD/HKDExchange rates (quoted per NZ$)NZD to $HK</v>
      </c>
    </row>
    <row r="18" spans="1:14" x14ac:dyDescent="0.3">
      <c r="A18" t="str">
        <v>adp</v>
      </c>
      <c r="B18" t="str">
        <v>NA</v>
      </c>
      <c r="C18" t="str">
        <v>NA</v>
      </c>
      <c r="D18">
        <v>17</v>
      </c>
      <c r="E18" t="str">
        <v>NA</v>
      </c>
      <c r="F18" t="str">
        <v>NA</v>
      </c>
      <c r="G18">
        <v>380</v>
      </c>
      <c r="I18" t="str">
        <v>hb1</v>
      </c>
      <c r="J18" t="str">
        <v>NZD/IDR</v>
      </c>
      <c r="K18" t="str">
        <v>Exchange rates (quoted per NZ$)</v>
      </c>
      <c r="L18" t="str">
        <v>NZD to p (IDR)</v>
      </c>
      <c r="M18">
        <v>22</v>
      </c>
      <c r="N18" t="str">
        <v>hb1NZD/IDRExchange rates (quoted per NZ$)NZD to p (IDR)</v>
      </c>
    </row>
    <row r="19" spans="1:14" x14ac:dyDescent="0.3">
      <c r="A19" t="str">
        <v>adp</v>
      </c>
      <c r="B19" t="str">
        <v>NA</v>
      </c>
      <c r="C19" t="str">
        <v>NA</v>
      </c>
      <c r="D19">
        <v>18</v>
      </c>
      <c r="E19" t="str">
        <v>NA</v>
      </c>
      <c r="F19" t="str">
        <v>NA</v>
      </c>
      <c r="G19">
        <v>381</v>
      </c>
      <c r="I19" t="str">
        <v>hb1</v>
      </c>
      <c r="J19" t="str">
        <v>NZD/INR</v>
      </c>
      <c r="K19" t="str">
        <v>Exchange rates (quoted per NZ$)</v>
      </c>
      <c r="L19" t="str">
        <v>NZD to â‚¹INR</v>
      </c>
      <c r="M19">
        <v>26</v>
      </c>
      <c r="N19" t="str">
        <v>hb1NZD/INRExchange rates (quoted per NZ$)NZD to â‚¹INR</v>
      </c>
    </row>
    <row r="20" spans="1:14" x14ac:dyDescent="0.3">
      <c r="A20" t="str">
        <v>bond</v>
      </c>
      <c r="B20" t="str">
        <v>Bonds</v>
      </c>
      <c r="C20">
        <v>0</v>
      </c>
      <c r="D20">
        <v>1</v>
      </c>
      <c r="E20">
        <v>0</v>
      </c>
      <c r="F20" t="str">
        <v>n</v>
      </c>
      <c r="G20">
        <v>3</v>
      </c>
      <c r="I20" t="str">
        <v>hb1</v>
      </c>
      <c r="J20" t="str">
        <v>NZD/JPY</v>
      </c>
      <c r="K20" t="str">
        <v>Exchange rates (quoted per NZ$)</v>
      </c>
      <c r="L20" t="str">
        <v>NZD to Â¥JPY</v>
      </c>
      <c r="M20">
        <v>15</v>
      </c>
      <c r="N20" t="str">
        <v>hb1NZD/JPYExchange rates (quoted per NZ$)NZD to Â¥JPY</v>
      </c>
    </row>
    <row r="21" spans="1:14" x14ac:dyDescent="0.3">
      <c r="A21" t="str">
        <v>bond</v>
      </c>
      <c r="B21" t="str">
        <v>Bonds</v>
      </c>
      <c r="C21">
        <v>0</v>
      </c>
      <c r="D21">
        <v>2</v>
      </c>
      <c r="E21">
        <v>0</v>
      </c>
      <c r="F21" t="str">
        <v>n</v>
      </c>
      <c r="G21">
        <v>4</v>
      </c>
      <c r="I21" t="str">
        <v>hb1</v>
      </c>
      <c r="J21" t="str">
        <v>NZD/KRW</v>
      </c>
      <c r="K21" t="str">
        <v>Exchange rates (quoted per NZ$)</v>
      </c>
      <c r="L21" t="str">
        <v>NZD to â‚©KRW</v>
      </c>
      <c r="M21">
        <v>18</v>
      </c>
      <c r="N21" t="str">
        <v>hb1NZD/KRWExchange rates (quoted per NZ$)NZD to â‚©KRW</v>
      </c>
    </row>
    <row r="22" spans="1:14" x14ac:dyDescent="0.3">
      <c r="A22" t="str">
        <v>bond</v>
      </c>
      <c r="B22" t="str">
        <v>Bonds</v>
      </c>
      <c r="C22">
        <v>0</v>
      </c>
      <c r="D22">
        <v>3</v>
      </c>
      <c r="E22">
        <v>0</v>
      </c>
      <c r="F22" t="str">
        <v>n</v>
      </c>
      <c r="G22">
        <v>5</v>
      </c>
      <c r="I22" t="str">
        <v>hb1</v>
      </c>
      <c r="J22" t="str">
        <v>NZD/MYR</v>
      </c>
      <c r="K22" t="str">
        <v>Exchange rates (quoted per NZ$)</v>
      </c>
      <c r="L22" t="str">
        <v>NZD to RM</v>
      </c>
      <c r="M22">
        <v>20</v>
      </c>
      <c r="N22" t="str">
        <v>hb1NZD/MYRExchange rates (quoted per NZ$)NZD to RM</v>
      </c>
    </row>
    <row r="23" spans="1:14" x14ac:dyDescent="0.3">
      <c r="A23" t="str">
        <v>bond</v>
      </c>
      <c r="B23" t="str">
        <v>Change in Bonds</v>
      </c>
      <c r="C23" t="str">
        <v>Flow</v>
      </c>
      <c r="D23">
        <v>0</v>
      </c>
      <c r="E23">
        <v>0</v>
      </c>
      <c r="F23" t="str">
        <v>n</v>
      </c>
      <c r="G23">
        <v>2</v>
      </c>
      <c r="I23" t="str">
        <v>hb1</v>
      </c>
      <c r="J23" t="str">
        <v>NZD/PHP</v>
      </c>
      <c r="K23" t="str">
        <v>Exchange rates (quoted per NZ$)</v>
      </c>
      <c r="L23" t="str">
        <v>NZD to â‚±PHP</v>
      </c>
      <c r="M23">
        <v>27</v>
      </c>
      <c r="N23" t="str">
        <v>hb1NZD/PHPExchange rates (quoted per NZ$)NZD to â‚±PHP</v>
      </c>
    </row>
    <row r="24" spans="1:14" x14ac:dyDescent="0.3">
      <c r="A24" t="str">
        <v>bond</v>
      </c>
      <c r="B24" t="str">
        <v>NA</v>
      </c>
      <c r="C24" t="str">
        <v>NA</v>
      </c>
      <c r="D24">
        <v>1</v>
      </c>
      <c r="E24" t="str">
        <v>NA</v>
      </c>
      <c r="F24" t="str">
        <v>$</v>
      </c>
      <c r="G24">
        <v>382</v>
      </c>
      <c r="I24" t="str">
        <v>hb1</v>
      </c>
      <c r="J24" t="str">
        <v>NZD/SGD</v>
      </c>
      <c r="K24" t="str">
        <v>Exchange rates (quoted per NZ$)</v>
      </c>
      <c r="L24" t="str">
        <v>NZD to $SGD</v>
      </c>
      <c r="M24">
        <v>24</v>
      </c>
      <c r="N24" t="str">
        <v>hb1NZD/SGDExchange rates (quoted per NZ$)NZD to $SGD</v>
      </c>
    </row>
    <row r="25" spans="1:14" x14ac:dyDescent="0.3">
      <c r="A25" t="str">
        <v>bond</v>
      </c>
      <c r="B25" t="str">
        <v>NA</v>
      </c>
      <c r="C25" t="str">
        <v>NA</v>
      </c>
      <c r="D25">
        <v>2</v>
      </c>
      <c r="E25" t="str">
        <v>NA</v>
      </c>
      <c r="F25" t="str">
        <v>$</v>
      </c>
      <c r="G25">
        <v>383</v>
      </c>
      <c r="I25" t="str">
        <v>hb1</v>
      </c>
      <c r="J25" t="str">
        <v>NZD/THB</v>
      </c>
      <c r="K25" t="str">
        <v>Exchange rates (quoted per NZ$)</v>
      </c>
      <c r="L25" t="str">
        <v>NZD to B (THB)</v>
      </c>
      <c r="M25">
        <v>23</v>
      </c>
      <c r="N25" t="str">
        <v>hb1NZD/THBExchange rates (quoted per NZ$)NZD to B (THB)</v>
      </c>
    </row>
    <row r="26" spans="1:14" x14ac:dyDescent="0.3">
      <c r="A26" t="str">
        <v>bond</v>
      </c>
      <c r="B26" t="str">
        <v>NA</v>
      </c>
      <c r="C26" t="str">
        <v>NA</v>
      </c>
      <c r="D26">
        <v>3</v>
      </c>
      <c r="E26" t="str">
        <v>NA</v>
      </c>
      <c r="F26" t="str">
        <v>$</v>
      </c>
      <c r="G26">
        <v>384</v>
      </c>
      <c r="I26" t="str">
        <v>hb1</v>
      </c>
      <c r="J26" t="str">
        <v>NZD/TWD</v>
      </c>
      <c r="K26" t="str">
        <v>Exchange rates (quoted per NZ$)</v>
      </c>
      <c r="L26" t="str">
        <v>NZD to $NT</v>
      </c>
      <c r="M26">
        <v>25</v>
      </c>
      <c r="N26" t="str">
        <v>hb1NZD/TWDExchange rates (quoted per NZ$)NZD to $NT</v>
      </c>
    </row>
    <row r="27" spans="1:14" x14ac:dyDescent="0.3">
      <c r="A27" t="str">
        <v>bond</v>
      </c>
      <c r="B27" t="str">
        <v>NA</v>
      </c>
      <c r="C27" t="str">
        <v>NA</v>
      </c>
      <c r="D27">
        <v>4</v>
      </c>
      <c r="E27" t="str">
        <v>NA</v>
      </c>
      <c r="F27" t="str">
        <v>$</v>
      </c>
      <c r="G27">
        <v>385</v>
      </c>
      <c r="I27" t="str">
        <v>hb1</v>
      </c>
      <c r="J27" t="str">
        <v>NZD/USD</v>
      </c>
      <c r="K27" t="str">
        <v>Exchange rates (quoted per NZ$)</v>
      </c>
      <c r="L27" t="str">
        <v>NZD to $USD</v>
      </c>
      <c r="M27">
        <v>12</v>
      </c>
      <c r="N27" t="str">
        <v>hb1NZD/USDExchange rates (quoted per NZ$)NZD to $USD</v>
      </c>
    </row>
    <row r="28" spans="1:14" x14ac:dyDescent="0.3">
      <c r="A28" t="str">
        <v>bond</v>
      </c>
      <c r="B28" t="str">
        <v>NA</v>
      </c>
      <c r="C28" t="str">
        <v>NA</v>
      </c>
      <c r="D28">
        <v>5</v>
      </c>
      <c r="E28" t="str">
        <v>NA</v>
      </c>
      <c r="F28" t="str">
        <v>$</v>
      </c>
      <c r="G28">
        <v>386</v>
      </c>
      <c r="I28" t="str">
        <v>hb1</v>
      </c>
      <c r="J28" t="str">
        <v>NZD/VND</v>
      </c>
      <c r="K28" t="str">
        <v>Exchange rates (quoted per NZ$)</v>
      </c>
      <c r="L28" t="str">
        <v>NZD to â‚«VND</v>
      </c>
      <c r="M28">
        <v>28</v>
      </c>
      <c r="N28" t="str">
        <v>hb1NZD/VNDExchange rates (quoted per NZ$)NZD to â‚«VND</v>
      </c>
    </row>
    <row r="29" spans="1:14" x14ac:dyDescent="0.3">
      <c r="A29" t="str">
        <v>bond</v>
      </c>
      <c r="B29" t="str">
        <v>NA</v>
      </c>
      <c r="C29" t="str">
        <v>NA</v>
      </c>
      <c r="D29">
        <v>6</v>
      </c>
      <c r="E29" t="str">
        <v>NA</v>
      </c>
      <c r="F29" t="str">
        <v>$</v>
      </c>
      <c r="G29">
        <v>387</v>
      </c>
      <c r="I29" t="str">
        <v>hb2</v>
      </c>
      <c r="J29" t="str">
        <v>OCR</v>
      </c>
      <c r="K29" t="str">
        <v>Official Cash Rate (OCR)</v>
      </c>
      <c r="L29" t="str">
        <v>%</v>
      </c>
      <c r="M29">
        <v>30</v>
      </c>
      <c r="N29" t="str">
        <v>hb2OCROfficial Cash Rate (OCR)%</v>
      </c>
    </row>
    <row r="30" spans="1:14" x14ac:dyDescent="0.3">
      <c r="A30" t="str">
        <v>bond</v>
      </c>
      <c r="B30" t="str">
        <v>NA</v>
      </c>
      <c r="C30" t="str">
        <v>NA</v>
      </c>
      <c r="D30">
        <v>7</v>
      </c>
      <c r="E30" t="str">
        <v>NA</v>
      </c>
      <c r="F30" t="str">
        <v>$</v>
      </c>
      <c r="G30">
        <v>388</v>
      </c>
      <c r="I30" t="str">
        <v>hb2</v>
      </c>
      <c r="J30" t="str">
        <v>Secondary market government bond closing yields</v>
      </c>
      <c r="K30" t="str">
        <v>1 year</v>
      </c>
      <c r="L30" t="str">
        <v>%</v>
      </c>
      <c r="M30">
        <v>31</v>
      </c>
      <c r="N30" t="str">
        <v>hb2Secondary market government bond closing yields1 year%</v>
      </c>
    </row>
    <row r="31" spans="1:14" x14ac:dyDescent="0.3">
      <c r="A31" t="str">
        <v>bond</v>
      </c>
      <c r="B31" t="str">
        <v>NA</v>
      </c>
      <c r="C31" t="str">
        <v>NA</v>
      </c>
      <c r="D31">
        <v>8</v>
      </c>
      <c r="E31" t="str">
        <v>NA</v>
      </c>
      <c r="F31" t="str">
        <v>$</v>
      </c>
      <c r="G31">
        <v>389</v>
      </c>
      <c r="I31" t="str">
        <v>hb2</v>
      </c>
      <c r="J31" t="str">
        <v>Secondary market government bond closing yields</v>
      </c>
      <c r="K31" t="str">
        <v>10 year</v>
      </c>
      <c r="L31" t="str">
        <v>%</v>
      </c>
      <c r="M31">
        <v>34</v>
      </c>
      <c r="N31" t="str">
        <v>hb2Secondary market government bond closing yields10 year%</v>
      </c>
    </row>
    <row r="32" spans="1:14" x14ac:dyDescent="0.3">
      <c r="A32" t="str">
        <v>bond</v>
      </c>
      <c r="B32" t="str">
        <v>Rent</v>
      </c>
      <c r="C32">
        <v>0</v>
      </c>
      <c r="D32">
        <v>1</v>
      </c>
      <c r="E32">
        <v>0</v>
      </c>
      <c r="F32" t="str">
        <v>$</v>
      </c>
      <c r="G32">
        <v>6</v>
      </c>
      <c r="I32" t="str">
        <v>hb2</v>
      </c>
      <c r="J32" t="str">
        <v>Secondary market government bond closing yields</v>
      </c>
      <c r="K32" t="str">
        <v>2 year</v>
      </c>
      <c r="L32" t="str">
        <v>%</v>
      </c>
      <c r="M32">
        <v>32</v>
      </c>
      <c r="N32" t="str">
        <v>hb2Secondary market government bond closing yields2 year%</v>
      </c>
    </row>
    <row r="33" spans="1:14" x14ac:dyDescent="0.3">
      <c r="A33" t="str">
        <v>bond</v>
      </c>
      <c r="B33" t="str">
        <v>Rent</v>
      </c>
      <c r="C33">
        <v>0</v>
      </c>
      <c r="D33">
        <v>2</v>
      </c>
      <c r="E33">
        <v>0</v>
      </c>
      <c r="F33" t="str">
        <v>$</v>
      </c>
      <c r="G33">
        <v>7</v>
      </c>
      <c r="I33" t="str">
        <v>hb2</v>
      </c>
      <c r="J33" t="str">
        <v>Secondary market government bond closing yields</v>
      </c>
      <c r="K33" t="str">
        <v>5 year</v>
      </c>
      <c r="L33" t="str">
        <v>%</v>
      </c>
      <c r="M33">
        <v>33</v>
      </c>
      <c r="N33" t="str">
        <v>hb2Secondary market government bond closing yields5 year%</v>
      </c>
    </row>
    <row r="34" spans="1:14" x14ac:dyDescent="0.3">
      <c r="A34" t="str">
        <v>bond</v>
      </c>
      <c r="B34" t="str">
        <v>Rent</v>
      </c>
      <c r="C34">
        <v>0</v>
      </c>
      <c r="D34">
        <v>3</v>
      </c>
      <c r="E34">
        <v>0</v>
      </c>
      <c r="F34" t="str">
        <v>$</v>
      </c>
      <c r="G34">
        <v>8</v>
      </c>
      <c r="I34" t="str">
        <v>hb2</v>
      </c>
      <c r="J34" t="str">
        <v>Swap rates close</v>
      </c>
      <c r="K34" t="str">
        <v>1 year</v>
      </c>
      <c r="L34" t="str">
        <v>%</v>
      </c>
      <c r="M34">
        <v>35</v>
      </c>
      <c r="N34" t="str">
        <v>hb2Swap rates close1 year%</v>
      </c>
    </row>
    <row r="35" spans="1:14" x14ac:dyDescent="0.3">
      <c r="A35" t="str">
        <v>bond</v>
      </c>
      <c r="B35" t="str">
        <v>Rent</v>
      </c>
      <c r="C35">
        <v>0</v>
      </c>
      <c r="D35">
        <v>4</v>
      </c>
      <c r="E35">
        <v>0</v>
      </c>
      <c r="F35" t="str">
        <v>$</v>
      </c>
      <c r="G35">
        <v>9</v>
      </c>
      <c r="I35" t="str">
        <v>hb2</v>
      </c>
      <c r="J35" t="str">
        <v>Swap rates close</v>
      </c>
      <c r="K35" t="str">
        <v>10 year</v>
      </c>
      <c r="L35" t="str">
        <v>%</v>
      </c>
      <c r="M35">
        <v>38</v>
      </c>
      <c r="N35" t="str">
        <v>hb2Swap rates close10 year%</v>
      </c>
    </row>
    <row r="36" spans="1:14" x14ac:dyDescent="0.3">
      <c r="A36" t="str">
        <v>bond</v>
      </c>
      <c r="B36" t="str">
        <v>Rent</v>
      </c>
      <c r="C36">
        <v>0</v>
      </c>
      <c r="D36">
        <v>5</v>
      </c>
      <c r="E36">
        <v>0</v>
      </c>
      <c r="F36" t="str">
        <v>$</v>
      </c>
      <c r="G36">
        <v>10</v>
      </c>
      <c r="I36" t="str">
        <v>hb2</v>
      </c>
      <c r="J36" t="str">
        <v>Swap rates close</v>
      </c>
      <c r="K36" t="str">
        <v>2 year</v>
      </c>
      <c r="L36" t="str">
        <v>%</v>
      </c>
      <c r="M36">
        <v>36</v>
      </c>
      <c r="N36" t="str">
        <v>hb2Swap rates close2 year%</v>
      </c>
    </row>
    <row r="37" spans="1:14" x14ac:dyDescent="0.3">
      <c r="A37" t="str">
        <v>border</v>
      </c>
      <c r="B37" t="str">
        <v>-</v>
      </c>
      <c r="C37" t="str">
        <v>-</v>
      </c>
      <c r="D37">
        <v>1</v>
      </c>
      <c r="E37" t="str">
        <v>-</v>
      </c>
      <c r="F37" t="str">
        <v>-</v>
      </c>
      <c r="G37">
        <v>390</v>
      </c>
      <c r="I37" t="str">
        <v>hb2</v>
      </c>
      <c r="J37" t="str">
        <v>Swap rates close</v>
      </c>
      <c r="K37" t="str">
        <v>5 year</v>
      </c>
      <c r="L37" t="str">
        <v>%</v>
      </c>
      <c r="M37">
        <v>37</v>
      </c>
      <c r="N37" t="str">
        <v>hb2Swap rates close5 year%</v>
      </c>
    </row>
    <row r="38" spans="1:14" x14ac:dyDescent="0.3">
      <c r="A38" t="str">
        <v>fuel</v>
      </c>
      <c r="B38" t="str">
        <v>NA</v>
      </c>
      <c r="C38" t="str">
        <v>NZD per Barrel</v>
      </c>
      <c r="D38">
        <v>1</v>
      </c>
      <c r="E38" t="str">
        <v>NA</v>
      </c>
      <c r="F38" t="str">
        <v>$</v>
      </c>
      <c r="G38">
        <v>363</v>
      </c>
      <c r="I38" t="str">
        <v>hb2</v>
      </c>
      <c r="J38" t="str">
        <v>Swap rates close</v>
      </c>
      <c r="K38" t="str">
        <v>Spread 2-10 year</v>
      </c>
      <c r="L38" t="str">
        <v>bps</v>
      </c>
      <c r="M38">
        <v>39</v>
      </c>
      <c r="N38" t="str">
        <v>hb2Swap rates closeSpread 2-10 yearbps</v>
      </c>
    </row>
    <row r="39" spans="1:14" x14ac:dyDescent="0.3">
      <c r="A39" t="str">
        <v>fuel</v>
      </c>
      <c r="B39" t="str">
        <v>NA</v>
      </c>
      <c r="C39" t="str">
        <v>USD per Barrel</v>
      </c>
      <c r="D39">
        <v>1</v>
      </c>
      <c r="E39" t="str">
        <v>NA</v>
      </c>
      <c r="F39" t="str">
        <v>$</v>
      </c>
      <c r="G39">
        <v>362</v>
      </c>
      <c r="I39" t="str">
        <v>hc35</v>
      </c>
      <c r="J39" t="str">
        <v>&lt;=80% LVR</v>
      </c>
      <c r="K39" t="str">
        <v>Drawdowns</v>
      </c>
      <c r="L39" t="str">
        <v>NZDm</v>
      </c>
      <c r="M39">
        <v>59</v>
      </c>
      <c r="N39" t="str">
        <v>hc35&lt;=80% LVRDrawdownsNZDm</v>
      </c>
    </row>
    <row r="40" spans="1:14" x14ac:dyDescent="0.3">
      <c r="A40" t="str">
        <v>hb1</v>
      </c>
      <c r="B40" t="str">
        <v>Index</v>
      </c>
      <c r="C40" t="str">
        <v>TWI</v>
      </c>
      <c r="D40">
        <v>1</v>
      </c>
      <c r="E40" t="str">
        <v>Index</v>
      </c>
      <c r="F40" t="str">
        <v>TWI</v>
      </c>
      <c r="G40">
        <v>11</v>
      </c>
      <c r="I40" t="str">
        <v>hc35</v>
      </c>
      <c r="J40" t="str">
        <v>&lt;=80% LVR</v>
      </c>
      <c r="K40" t="str">
        <v>Interest charged</v>
      </c>
      <c r="L40" t="str">
        <v>NZDm</v>
      </c>
      <c r="M40">
        <v>60</v>
      </c>
      <c r="N40" t="str">
        <v>hc35&lt;=80% LVRInterest chargedNZDm</v>
      </c>
    </row>
    <row r="41" spans="1:14" x14ac:dyDescent="0.3">
      <c r="A41" t="str">
        <v>hb1</v>
      </c>
      <c r="B41" t="str">
        <v>Index Historic</v>
      </c>
      <c r="C41" t="str">
        <v>Historical TWI</v>
      </c>
      <c r="D41">
        <v>1</v>
      </c>
      <c r="E41" t="str">
        <v>Index</v>
      </c>
      <c r="F41" t="str">
        <v>TWI (H)</v>
      </c>
      <c r="G41">
        <v>29</v>
      </c>
      <c r="I41" t="str">
        <v>hc35</v>
      </c>
      <c r="J41" t="str">
        <v>&lt;=80% LVR</v>
      </c>
      <c r="K41" t="str">
        <v>Net write-offs</v>
      </c>
      <c r="L41" t="str">
        <v>NZDm</v>
      </c>
      <c r="M41">
        <v>65</v>
      </c>
      <c r="N41" t="str">
        <v>hc35&lt;=80% LVRNet write-offsNZDm</v>
      </c>
    </row>
    <row r="42" spans="1:14" x14ac:dyDescent="0.3">
      <c r="A42" t="str">
        <v>hb1</v>
      </c>
      <c r="B42" t="str">
        <v>NZD/AUD</v>
      </c>
      <c r="C42" t="str">
        <v>Exchange rates (quoted per NZ$)</v>
      </c>
      <c r="D42">
        <v>1</v>
      </c>
      <c r="E42" t="str">
        <v>NZD/AUD</v>
      </c>
      <c r="F42" t="str">
        <v>NZD to $AUD</v>
      </c>
      <c r="G42">
        <v>14</v>
      </c>
      <c r="I42" t="str">
        <v>hc35</v>
      </c>
      <c r="J42" t="str">
        <v>&lt;=80% LVR</v>
      </c>
      <c r="K42" t="str">
        <v>Opening position</v>
      </c>
      <c r="L42" t="str">
        <v>NZDm</v>
      </c>
      <c r="M42">
        <v>58</v>
      </c>
      <c r="N42" t="str">
        <v>hc35&lt;=80% LVROpening positionNZDm</v>
      </c>
    </row>
    <row r="43" spans="1:14" x14ac:dyDescent="0.3">
      <c r="A43" t="str">
        <v>hb1</v>
      </c>
      <c r="B43" t="str">
        <v>NZD/CAD</v>
      </c>
      <c r="C43" t="str">
        <v>Exchange rates (quoted per NZ$)</v>
      </c>
      <c r="D43">
        <v>1</v>
      </c>
      <c r="E43" t="str">
        <v>NZD/CAD</v>
      </c>
      <c r="F43" t="str">
        <v>NZD to $CAD</v>
      </c>
      <c r="G43">
        <v>17</v>
      </c>
      <c r="I43" t="str">
        <v>hc35</v>
      </c>
      <c r="J43" t="str">
        <v>&lt;=80% LVR</v>
      </c>
      <c r="K43" t="str">
        <v>Other adjustments</v>
      </c>
      <c r="L43" t="str">
        <v>NZDm</v>
      </c>
      <c r="M43">
        <v>66</v>
      </c>
      <c r="N43" t="str">
        <v>hc35&lt;=80% LVROther adjustmentsNZDm</v>
      </c>
    </row>
    <row r="44" spans="1:14" x14ac:dyDescent="0.3">
      <c r="A44" t="str">
        <v>hb1</v>
      </c>
      <c r="B44" t="str">
        <v>NZD/CNY</v>
      </c>
      <c r="C44" t="str">
        <v>Exchange rates (quoted per NZ$)</v>
      </c>
      <c r="D44">
        <v>1</v>
      </c>
      <c r="E44" t="str">
        <v>NZD/CNY</v>
      </c>
      <c r="F44" t="str">
        <v>NZD to Â¥CNY</v>
      </c>
      <c r="G44">
        <v>19</v>
      </c>
      <c r="I44" t="str">
        <v>hc35</v>
      </c>
      <c r="J44" t="str">
        <v>&lt;=80% LVR</v>
      </c>
      <c r="K44" t="str">
        <v>Other excess repayments</v>
      </c>
      <c r="L44" t="str">
        <v>NZDm</v>
      </c>
      <c r="M44">
        <v>63</v>
      </c>
      <c r="N44" t="str">
        <v>hc35&lt;=80% LVROther excess repaymentsNZDm</v>
      </c>
    </row>
    <row r="45" spans="1:14" x14ac:dyDescent="0.3">
      <c r="A45" t="str">
        <v>hb1</v>
      </c>
      <c r="B45" t="str">
        <v>NZD/EUR</v>
      </c>
      <c r="C45" t="str">
        <v>Exchange rates (quoted per NZ$)</v>
      </c>
      <c r="D45">
        <v>1</v>
      </c>
      <c r="E45" t="str">
        <v>NZD/EUR</v>
      </c>
      <c r="F45" t="str">
        <v>NZD to â‚¬EUR</v>
      </c>
      <c r="G45">
        <v>16</v>
      </c>
      <c r="I45" t="str">
        <v>hc35</v>
      </c>
      <c r="J45" t="str">
        <v>&lt;=80% LVR</v>
      </c>
      <c r="K45" t="str">
        <v>Repayment deficiencies</v>
      </c>
      <c r="L45" t="str">
        <v>NZDm</v>
      </c>
      <c r="M45">
        <v>64</v>
      </c>
      <c r="N45" t="str">
        <v>hc35&lt;=80% LVRRepayment deficienciesNZDm</v>
      </c>
    </row>
    <row r="46" spans="1:14" x14ac:dyDescent="0.3">
      <c r="A46" t="str">
        <v>hb1</v>
      </c>
      <c r="B46" t="str">
        <v>NZD/GBP</v>
      </c>
      <c r="C46" t="str">
        <v>Exchange rates (quoted per NZ$)</v>
      </c>
      <c r="D46">
        <v>1</v>
      </c>
      <c r="E46" t="str">
        <v>NZD/GBP</v>
      </c>
      <c r="F46" t="str">
        <v>NZD to Â£GBP</v>
      </c>
      <c r="G46">
        <v>13</v>
      </c>
      <c r="I46" t="str">
        <v>hc35</v>
      </c>
      <c r="J46" t="str">
        <v>&lt;=80% LVR</v>
      </c>
      <c r="K46" t="str">
        <v>Repayment of loan in full</v>
      </c>
      <c r="L46" t="str">
        <v>NZDm</v>
      </c>
      <c r="M46">
        <v>62</v>
      </c>
      <c r="N46" t="str">
        <v>hc35&lt;=80% LVRRepayment of loan in fullNZDm</v>
      </c>
    </row>
    <row r="47" spans="1:14" x14ac:dyDescent="0.3">
      <c r="A47" t="str">
        <v>hb1</v>
      </c>
      <c r="B47" t="str">
        <v>NZD/HKD</v>
      </c>
      <c r="C47" t="str">
        <v>Exchange rates (quoted per NZ$)</v>
      </c>
      <c r="D47">
        <v>1</v>
      </c>
      <c r="E47" t="str">
        <v>NZD/HKD</v>
      </c>
      <c r="F47" t="str">
        <v>NZD to $HK</v>
      </c>
      <c r="G47">
        <v>21</v>
      </c>
      <c r="I47" t="str">
        <v>hc35</v>
      </c>
      <c r="J47" t="str">
        <v>&lt;=80% LVR</v>
      </c>
      <c r="K47" t="str">
        <v>Scheduled repayments</v>
      </c>
      <c r="L47" t="str">
        <v>NZDm</v>
      </c>
      <c r="M47">
        <v>61</v>
      </c>
      <c r="N47" t="str">
        <v>hc35&lt;=80% LVRScheduled repaymentsNZDm</v>
      </c>
    </row>
    <row r="48" spans="1:14" x14ac:dyDescent="0.3">
      <c r="A48" t="str">
        <v>hb1</v>
      </c>
      <c r="B48" t="str">
        <v>NZD/IDR</v>
      </c>
      <c r="C48" t="str">
        <v>Exchange rates (quoted per NZ$)</v>
      </c>
      <c r="D48">
        <v>1</v>
      </c>
      <c r="E48" t="str">
        <v>NZD/IDR</v>
      </c>
      <c r="F48" t="str">
        <v>NZD to p (IDR)</v>
      </c>
      <c r="G48">
        <v>22</v>
      </c>
      <c r="I48" t="str">
        <v>hc35</v>
      </c>
      <c r="J48" t="str">
        <v>&gt;80% LVR</v>
      </c>
      <c r="K48" t="str">
        <v>Drawdowns</v>
      </c>
      <c r="L48" t="str">
        <v>NZDm</v>
      </c>
      <c r="M48">
        <v>50</v>
      </c>
      <c r="N48" t="str">
        <v>hc35&gt;80% LVRDrawdownsNZDm</v>
      </c>
    </row>
    <row r="49" spans="1:14" x14ac:dyDescent="0.3">
      <c r="A49" t="str">
        <v>hb1</v>
      </c>
      <c r="B49" t="str">
        <v>NZD/INR</v>
      </c>
      <c r="C49" t="str">
        <v>Exchange rates (quoted per NZ$)</v>
      </c>
      <c r="D49">
        <v>1</v>
      </c>
      <c r="E49" t="str">
        <v>NZD/INR</v>
      </c>
      <c r="F49" t="str">
        <v>NZD to â‚¹INR</v>
      </c>
      <c r="G49">
        <v>26</v>
      </c>
      <c r="I49" t="str">
        <v>hc35</v>
      </c>
      <c r="J49" t="str">
        <v>&gt;80% LVR</v>
      </c>
      <c r="K49" t="str">
        <v>Interest charged</v>
      </c>
      <c r="L49" t="str">
        <v>NZDm</v>
      </c>
      <c r="M49">
        <v>51</v>
      </c>
      <c r="N49" t="str">
        <v>hc35&gt;80% LVRInterest chargedNZDm</v>
      </c>
    </row>
    <row r="50" spans="1:14" x14ac:dyDescent="0.3">
      <c r="A50" t="str">
        <v>hb1</v>
      </c>
      <c r="B50" t="str">
        <v>NZD/JPY</v>
      </c>
      <c r="C50" t="str">
        <v>Exchange rates (quoted per NZ$)</v>
      </c>
      <c r="D50">
        <v>1</v>
      </c>
      <c r="E50" t="str">
        <v>NZD/JPY</v>
      </c>
      <c r="F50" t="str">
        <v>NZD to Â¥JPY</v>
      </c>
      <c r="G50">
        <v>15</v>
      </c>
      <c r="I50" t="str">
        <v>hc35</v>
      </c>
      <c r="J50" t="str">
        <v>&gt;80% LVR</v>
      </c>
      <c r="K50" t="str">
        <v>Net write-offs</v>
      </c>
      <c r="L50" t="str">
        <v>NZDm</v>
      </c>
      <c r="M50">
        <v>56</v>
      </c>
      <c r="N50" t="str">
        <v>hc35&gt;80% LVRNet write-offsNZDm</v>
      </c>
    </row>
    <row r="51" spans="1:14" x14ac:dyDescent="0.3">
      <c r="A51" t="str">
        <v>hb1</v>
      </c>
      <c r="B51" t="str">
        <v>NZD/KRW</v>
      </c>
      <c r="C51" t="str">
        <v>Exchange rates (quoted per NZ$)</v>
      </c>
      <c r="D51">
        <v>1</v>
      </c>
      <c r="E51" t="str">
        <v>NZD/KRW</v>
      </c>
      <c r="F51" t="str">
        <v>NZD to â‚©KRW</v>
      </c>
      <c r="G51">
        <v>18</v>
      </c>
      <c r="I51" t="str">
        <v>hc35</v>
      </c>
      <c r="J51" t="str">
        <v>&gt;80% LVR</v>
      </c>
      <c r="K51" t="str">
        <v>Opening position</v>
      </c>
      <c r="L51" t="str">
        <v>NZDm</v>
      </c>
      <c r="M51">
        <v>49</v>
      </c>
      <c r="N51" t="str">
        <v>hc35&gt;80% LVROpening positionNZDm</v>
      </c>
    </row>
    <row r="52" spans="1:14" x14ac:dyDescent="0.3">
      <c r="A52" t="str">
        <v>hb1</v>
      </c>
      <c r="B52" t="str">
        <v>NZD/MYR</v>
      </c>
      <c r="C52" t="str">
        <v>Exchange rates (quoted per NZ$)</v>
      </c>
      <c r="D52">
        <v>1</v>
      </c>
      <c r="E52" t="str">
        <v>NZD/MYR</v>
      </c>
      <c r="F52" t="str">
        <v>NZD to RM</v>
      </c>
      <c r="G52">
        <v>20</v>
      </c>
      <c r="I52" t="str">
        <v>hc35</v>
      </c>
      <c r="J52" t="str">
        <v>&gt;80% LVR</v>
      </c>
      <c r="K52" t="str">
        <v>Other adjustments</v>
      </c>
      <c r="L52" t="str">
        <v>NZDm</v>
      </c>
      <c r="M52">
        <v>57</v>
      </c>
      <c r="N52" t="str">
        <v>hc35&gt;80% LVROther adjustmentsNZDm</v>
      </c>
    </row>
    <row r="53" spans="1:14" x14ac:dyDescent="0.3">
      <c r="A53" t="str">
        <v>hb1</v>
      </c>
      <c r="B53" t="str">
        <v>NZD/PHP</v>
      </c>
      <c r="C53" t="str">
        <v>Exchange rates (quoted per NZ$)</v>
      </c>
      <c r="D53">
        <v>1</v>
      </c>
      <c r="E53" t="str">
        <v>NZD/PHP</v>
      </c>
      <c r="F53" t="str">
        <v>NZD to â‚±PHP</v>
      </c>
      <c r="G53">
        <v>27</v>
      </c>
      <c r="I53" t="str">
        <v>hc35</v>
      </c>
      <c r="J53" t="str">
        <v>&gt;80% LVR</v>
      </c>
      <c r="K53" t="str">
        <v>Other excess repayment</v>
      </c>
      <c r="L53" t="str">
        <v>NZDm</v>
      </c>
      <c r="M53">
        <v>54</v>
      </c>
      <c r="N53" t="str">
        <v>hc35&gt;80% LVROther excess repaymentNZDm</v>
      </c>
    </row>
    <row r="54" spans="1:14" x14ac:dyDescent="0.3">
      <c r="A54" t="str">
        <v>hb1</v>
      </c>
      <c r="B54" t="str">
        <v>NZD/SGD</v>
      </c>
      <c r="C54" t="str">
        <v>Exchange rates (quoted per NZ$)</v>
      </c>
      <c r="D54">
        <v>1</v>
      </c>
      <c r="E54" t="str">
        <v>NZD/SGD</v>
      </c>
      <c r="F54" t="str">
        <v>NZD to $SGD</v>
      </c>
      <c r="G54">
        <v>24</v>
      </c>
      <c r="I54" t="str">
        <v>hc35</v>
      </c>
      <c r="J54" t="str">
        <v>&gt;80% LVR</v>
      </c>
      <c r="K54" t="str">
        <v>Repayment deficiencies</v>
      </c>
      <c r="L54" t="str">
        <v>NZDm</v>
      </c>
      <c r="M54">
        <v>55</v>
      </c>
      <c r="N54" t="str">
        <v>hc35&gt;80% LVRRepayment deficienciesNZDm</v>
      </c>
    </row>
    <row r="55" spans="1:14" x14ac:dyDescent="0.3">
      <c r="A55" t="str">
        <v>hb1</v>
      </c>
      <c r="B55" t="str">
        <v>NZD/THB</v>
      </c>
      <c r="C55" t="str">
        <v>Exchange rates (quoted per NZ$)</v>
      </c>
      <c r="D55">
        <v>1</v>
      </c>
      <c r="E55" t="str">
        <v>NZD/THB</v>
      </c>
      <c r="F55" t="str">
        <v>NZD to B (THB)</v>
      </c>
      <c r="G55">
        <v>23</v>
      </c>
      <c r="I55" t="str">
        <v>hc35</v>
      </c>
      <c r="J55" t="str">
        <v>&gt;80% LVR</v>
      </c>
      <c r="K55" t="str">
        <v>Repayment of loan in full</v>
      </c>
      <c r="L55" t="str">
        <v>NZDm</v>
      </c>
      <c r="M55">
        <v>53</v>
      </c>
      <c r="N55" t="str">
        <v>hc35&gt;80% LVRRepayment of loan in fullNZDm</v>
      </c>
    </row>
    <row r="56" spans="1:14" x14ac:dyDescent="0.3">
      <c r="A56" t="str">
        <v>hb1</v>
      </c>
      <c r="B56" t="str">
        <v>NZD/TWD</v>
      </c>
      <c r="C56" t="str">
        <v>Exchange rates (quoted per NZ$)</v>
      </c>
      <c r="D56">
        <v>1</v>
      </c>
      <c r="E56" t="str">
        <v>NZD/TWD</v>
      </c>
      <c r="F56" t="str">
        <v>NZD to $NT</v>
      </c>
      <c r="G56">
        <v>25</v>
      </c>
      <c r="I56" t="str">
        <v>hc35</v>
      </c>
      <c r="J56" t="str">
        <v>&gt;80% LVR</v>
      </c>
      <c r="K56" t="str">
        <v>Scheduled repayments</v>
      </c>
      <c r="L56" t="str">
        <v>NZDm</v>
      </c>
      <c r="M56">
        <v>52</v>
      </c>
      <c r="N56" t="str">
        <v>hc35&gt;80% LVRScheduled repaymentsNZDm</v>
      </c>
    </row>
    <row r="57" spans="1:14" x14ac:dyDescent="0.3">
      <c r="A57" t="str">
        <v>hb1</v>
      </c>
      <c r="B57" t="str">
        <v>NZD/USD</v>
      </c>
      <c r="C57" t="str">
        <v>Exchange rates (quoted per NZ$)</v>
      </c>
      <c r="D57">
        <v>1</v>
      </c>
      <c r="E57" t="str">
        <v>NZD/USD</v>
      </c>
      <c r="F57" t="str">
        <v>NZD to $USD</v>
      </c>
      <c r="G57">
        <v>12</v>
      </c>
      <c r="I57" t="str">
        <v>hc35</v>
      </c>
      <c r="J57" t="str">
        <v>Total</v>
      </c>
      <c r="K57" t="str">
        <v>Drawdowns</v>
      </c>
      <c r="L57" t="str">
        <v>NZDm</v>
      </c>
      <c r="M57">
        <v>41</v>
      </c>
      <c r="N57" t="str">
        <v>hc35TotalDrawdownsNZDm</v>
      </c>
    </row>
    <row r="58" spans="1:14" x14ac:dyDescent="0.3">
      <c r="A58" t="str">
        <v>hb1</v>
      </c>
      <c r="B58" t="str">
        <v>NZD/VND</v>
      </c>
      <c r="C58" t="str">
        <v>Exchange rates (quoted per NZ$)</v>
      </c>
      <c r="D58">
        <v>1</v>
      </c>
      <c r="E58" t="str">
        <v>NZD/VND</v>
      </c>
      <c r="F58" t="str">
        <v>NZD to â‚«VND</v>
      </c>
      <c r="G58">
        <v>28</v>
      </c>
      <c r="I58" t="str">
        <v>hc35</v>
      </c>
      <c r="J58" t="str">
        <v>Total</v>
      </c>
      <c r="K58" t="str">
        <v>Interest charged</v>
      </c>
      <c r="L58" t="str">
        <v>NZDm</v>
      </c>
      <c r="M58">
        <v>42</v>
      </c>
      <c r="N58" t="str">
        <v>hc35TotalInterest chargedNZDm</v>
      </c>
    </row>
    <row r="59" spans="1:14" x14ac:dyDescent="0.3">
      <c r="A59" t="str">
        <v>hb2</v>
      </c>
      <c r="B59" t="str">
        <v>OCR</v>
      </c>
      <c r="C59" t="str">
        <v>Official Cash Rate (OCR)</v>
      </c>
      <c r="D59">
        <v>1</v>
      </c>
      <c r="E59" t="str">
        <v>%pa</v>
      </c>
      <c r="F59" t="str">
        <v>%</v>
      </c>
      <c r="G59">
        <v>30</v>
      </c>
      <c r="I59" t="str">
        <v>hc35</v>
      </c>
      <c r="J59" t="str">
        <v>Total</v>
      </c>
      <c r="K59" t="str">
        <v>Net write-offs</v>
      </c>
      <c r="L59" t="str">
        <v>NZDm</v>
      </c>
      <c r="M59">
        <v>47</v>
      </c>
      <c r="N59" t="str">
        <v>hc35TotalNet write-offsNZDm</v>
      </c>
    </row>
    <row r="60" spans="1:14" x14ac:dyDescent="0.3">
      <c r="A60" t="str">
        <v>hb2</v>
      </c>
      <c r="B60" t="str">
        <v>Secondary market government bond closing yields</v>
      </c>
      <c r="C60" t="str">
        <v>1 year</v>
      </c>
      <c r="D60">
        <v>1</v>
      </c>
      <c r="E60" t="str">
        <v>%pa</v>
      </c>
      <c r="F60" t="str">
        <v>%</v>
      </c>
      <c r="G60">
        <v>31</v>
      </c>
      <c r="I60" t="str">
        <v>hc35</v>
      </c>
      <c r="J60" t="str">
        <v>Total</v>
      </c>
      <c r="K60" t="str">
        <v>Opening position</v>
      </c>
      <c r="L60" t="str">
        <v>NZDm</v>
      </c>
      <c r="M60">
        <v>40</v>
      </c>
      <c r="N60" t="str">
        <v>hc35TotalOpening positionNZDm</v>
      </c>
    </row>
    <row r="61" spans="1:14" x14ac:dyDescent="0.3">
      <c r="A61" t="str">
        <v>hb2</v>
      </c>
      <c r="B61" t="str">
        <v>Secondary market government bond closing yields</v>
      </c>
      <c r="C61" t="str">
        <v>10 year</v>
      </c>
      <c r="D61">
        <v>1</v>
      </c>
      <c r="E61" t="str">
        <v>%pa</v>
      </c>
      <c r="F61" t="str">
        <v>%</v>
      </c>
      <c r="G61">
        <v>34</v>
      </c>
      <c r="I61" t="str">
        <v>hc35</v>
      </c>
      <c r="J61" t="str">
        <v>Total</v>
      </c>
      <c r="K61" t="str">
        <v>Other adjustments</v>
      </c>
      <c r="L61" t="str">
        <v>NZDm</v>
      </c>
      <c r="M61">
        <v>48</v>
      </c>
      <c r="N61" t="str">
        <v>hc35TotalOther adjustmentsNZDm</v>
      </c>
    </row>
    <row r="62" spans="1:14" x14ac:dyDescent="0.3">
      <c r="A62" t="str">
        <v>hb2</v>
      </c>
      <c r="B62" t="str">
        <v>Secondary market government bond closing yields</v>
      </c>
      <c r="C62" t="str">
        <v>2 year</v>
      </c>
      <c r="D62">
        <v>1</v>
      </c>
      <c r="E62" t="str">
        <v>%pa</v>
      </c>
      <c r="F62" t="str">
        <v>%</v>
      </c>
      <c r="G62">
        <v>32</v>
      </c>
      <c r="I62" t="str">
        <v>hc35</v>
      </c>
      <c r="J62" t="str">
        <v>Total</v>
      </c>
      <c r="K62" t="str">
        <v>Other excess repayments</v>
      </c>
      <c r="L62" t="str">
        <v>NZDm</v>
      </c>
      <c r="M62">
        <v>45</v>
      </c>
      <c r="N62" t="str">
        <v>hc35TotalOther excess repaymentsNZDm</v>
      </c>
    </row>
    <row r="63" spans="1:14" x14ac:dyDescent="0.3">
      <c r="A63" t="str">
        <v>hb2</v>
      </c>
      <c r="B63" t="str">
        <v>Secondary market government bond closing yields</v>
      </c>
      <c r="C63" t="str">
        <v>5 year</v>
      </c>
      <c r="D63">
        <v>1</v>
      </c>
      <c r="E63" t="str">
        <v>%pa</v>
      </c>
      <c r="F63" t="str">
        <v>%</v>
      </c>
      <c r="G63">
        <v>33</v>
      </c>
      <c r="I63" t="str">
        <v>hc35</v>
      </c>
      <c r="J63" t="str">
        <v>Total</v>
      </c>
      <c r="K63" t="str">
        <v>Repayment deficiencies</v>
      </c>
      <c r="L63" t="str">
        <v>NZDm</v>
      </c>
      <c r="M63">
        <v>46</v>
      </c>
      <c r="N63" t="str">
        <v>hc35TotalRepayment deficienciesNZDm</v>
      </c>
    </row>
    <row r="64" spans="1:14" x14ac:dyDescent="0.3">
      <c r="A64" t="str">
        <v>hb2</v>
      </c>
      <c r="B64" t="str">
        <v>Swap rates close</v>
      </c>
      <c r="C64" t="str">
        <v>1 year</v>
      </c>
      <c r="D64">
        <v>1</v>
      </c>
      <c r="E64" t="str">
        <v>%pa</v>
      </c>
      <c r="F64" t="str">
        <v>%</v>
      </c>
      <c r="G64">
        <v>35</v>
      </c>
      <c r="I64" t="str">
        <v>hc35</v>
      </c>
      <c r="J64" t="str">
        <v>Total</v>
      </c>
      <c r="K64" t="str">
        <v>Repayment of loan in full</v>
      </c>
      <c r="L64" t="str">
        <v>NZDm</v>
      </c>
      <c r="M64">
        <v>44</v>
      </c>
      <c r="N64" t="str">
        <v>hc35TotalRepayment of loan in fullNZDm</v>
      </c>
    </row>
    <row r="65" spans="1:14" x14ac:dyDescent="0.3">
      <c r="A65" t="str">
        <v>hb2</v>
      </c>
      <c r="B65" t="str">
        <v>Swap rates close</v>
      </c>
      <c r="C65" t="str">
        <v>10 year</v>
      </c>
      <c r="D65">
        <v>1</v>
      </c>
      <c r="E65" t="str">
        <v>%pa</v>
      </c>
      <c r="F65" t="str">
        <v>%</v>
      </c>
      <c r="G65">
        <v>38</v>
      </c>
      <c r="I65" t="str">
        <v>hc35</v>
      </c>
      <c r="J65" t="str">
        <v>Total</v>
      </c>
      <c r="K65" t="str">
        <v>Scheduled repayments</v>
      </c>
      <c r="L65" t="str">
        <v>NZDm</v>
      </c>
      <c r="M65">
        <v>43</v>
      </c>
      <c r="N65" t="str">
        <v>hc35TotalScheduled repaymentsNZDm</v>
      </c>
    </row>
    <row r="66" spans="1:14" x14ac:dyDescent="0.3">
      <c r="A66" t="str">
        <v>hb2</v>
      </c>
      <c r="B66" t="str">
        <v>Swap rates close</v>
      </c>
      <c r="C66" t="str">
        <v>2 year</v>
      </c>
      <c r="D66">
        <v>1</v>
      </c>
      <c r="E66" t="str">
        <v>%pa</v>
      </c>
      <c r="F66" t="str">
        <v>%</v>
      </c>
      <c r="G66">
        <v>36</v>
      </c>
      <c r="I66" t="str">
        <v>hm1</v>
      </c>
      <c r="J66" t="str">
        <v>NA</v>
      </c>
      <c r="K66" t="str">
        <v>Consumers price index (CPI)</v>
      </c>
      <c r="L66" t="str">
        <v>Index</v>
      </c>
      <c r="M66">
        <v>67</v>
      </c>
      <c r="N66" t="str">
        <v>hm1NAConsumers price index (CPI)Index</v>
      </c>
    </row>
    <row r="67" spans="1:14" x14ac:dyDescent="0.3">
      <c r="A67" t="str">
        <v>hb2</v>
      </c>
      <c r="B67" t="str">
        <v>Swap rates close</v>
      </c>
      <c r="C67" t="str">
        <v>5 year</v>
      </c>
      <c r="D67">
        <v>1</v>
      </c>
      <c r="E67" t="str">
        <v>%pa</v>
      </c>
      <c r="F67" t="str">
        <v>%</v>
      </c>
      <c r="G67">
        <v>37</v>
      </c>
      <c r="I67" t="str">
        <v>hm1</v>
      </c>
      <c r="J67" t="str">
        <v>NA</v>
      </c>
      <c r="K67" t="str">
        <v>Consumers price index (CPI)</v>
      </c>
      <c r="L67" t="str">
        <v>q/q%</v>
      </c>
      <c r="M67">
        <v>68</v>
      </c>
      <c r="N67" t="str">
        <v>hm1NAConsumers price index (CPI)q/q%</v>
      </c>
    </row>
    <row r="68" spans="1:14" x14ac:dyDescent="0.3">
      <c r="A68" t="str">
        <v>hb2</v>
      </c>
      <c r="B68" t="str">
        <v>Swap rates close</v>
      </c>
      <c r="C68" t="str">
        <v>Spread 2-10 year</v>
      </c>
      <c r="D68">
        <v>1</v>
      </c>
      <c r="E68" t="str">
        <v>bps</v>
      </c>
      <c r="F68" t="str">
        <v>bps</v>
      </c>
      <c r="G68">
        <v>39</v>
      </c>
      <c r="I68" t="str">
        <v>hm1</v>
      </c>
      <c r="J68" t="str">
        <v>NA</v>
      </c>
      <c r="K68" t="str">
        <v>Consumers price index (CPI)</v>
      </c>
      <c r="L68" t="str">
        <v>y/y%</v>
      </c>
      <c r="M68">
        <v>69</v>
      </c>
      <c r="N68" t="str">
        <v>hm1NAConsumers price index (CPI)y/y%</v>
      </c>
    </row>
    <row r="69" spans="1:14" x14ac:dyDescent="0.3">
      <c r="A69" t="str">
        <v>hc35</v>
      </c>
      <c r="B69" t="str">
        <v>&lt;=80% LVR</v>
      </c>
      <c r="C69" t="str">
        <v>Drawdowns</v>
      </c>
      <c r="D69">
        <v>1</v>
      </c>
      <c r="E69" t="str">
        <v>NZDm</v>
      </c>
      <c r="F69" t="str">
        <v>NZDm</v>
      </c>
      <c r="G69">
        <v>59</v>
      </c>
      <c r="I69" t="str">
        <v>hm1</v>
      </c>
      <c r="J69" t="str">
        <v>NA</v>
      </c>
      <c r="K69" t="str">
        <v>CPI excluding petrol</v>
      </c>
      <c r="L69" t="str">
        <v>Index</v>
      </c>
      <c r="M69">
        <v>88</v>
      </c>
      <c r="N69" t="str">
        <v>hm1NACPI excluding petrolIndex</v>
      </c>
    </row>
    <row r="70" spans="1:14" x14ac:dyDescent="0.3">
      <c r="A70" t="str">
        <v>hc35</v>
      </c>
      <c r="B70" t="str">
        <v>&lt;=80% LVR</v>
      </c>
      <c r="C70" t="str">
        <v>Interest charged</v>
      </c>
      <c r="D70">
        <v>1</v>
      </c>
      <c r="E70" t="str">
        <v>NZDm</v>
      </c>
      <c r="F70" t="str">
        <v>NZDm</v>
      </c>
      <c r="G70">
        <v>60</v>
      </c>
      <c r="I70" t="str">
        <v>hm1</v>
      </c>
      <c r="J70" t="str">
        <v>NA</v>
      </c>
      <c r="K70" t="str">
        <v>CPI excluding petrol</v>
      </c>
      <c r="L70" t="str">
        <v>q/q%</v>
      </c>
      <c r="M70">
        <v>89</v>
      </c>
      <c r="N70" t="str">
        <v>hm1NACPI excluding petrolq/q%</v>
      </c>
    </row>
    <row r="71" spans="1:14" x14ac:dyDescent="0.3">
      <c r="A71" t="str">
        <v>hc35</v>
      </c>
      <c r="B71" t="str">
        <v>&lt;=80% LVR</v>
      </c>
      <c r="C71" t="str">
        <v>Net write-offs</v>
      </c>
      <c r="D71">
        <v>1</v>
      </c>
      <c r="E71" t="str">
        <v>NZDm</v>
      </c>
      <c r="F71" t="str">
        <v>NZDm</v>
      </c>
      <c r="G71">
        <v>65</v>
      </c>
      <c r="I71" t="str">
        <v>hm1</v>
      </c>
      <c r="J71" t="str">
        <v>NA</v>
      </c>
      <c r="K71" t="str">
        <v>CPI excluding petrol</v>
      </c>
      <c r="L71" t="str">
        <v>y/y%</v>
      </c>
      <c r="M71">
        <v>90</v>
      </c>
      <c r="N71" t="str">
        <v>hm1NACPI excluding petroly/y%</v>
      </c>
    </row>
    <row r="72" spans="1:14" x14ac:dyDescent="0.3">
      <c r="A72" t="str">
        <v>hc35</v>
      </c>
      <c r="B72" t="str">
        <v>&lt;=80% LVR</v>
      </c>
      <c r="C72" t="str">
        <v>Opening position</v>
      </c>
      <c r="D72">
        <v>1</v>
      </c>
      <c r="E72" t="str">
        <v>NZDm</v>
      </c>
      <c r="F72" t="str">
        <v>NZDm</v>
      </c>
      <c r="G72">
        <v>58</v>
      </c>
      <c r="I72" t="str">
        <v>hm1</v>
      </c>
      <c r="J72" t="str">
        <v>NA</v>
      </c>
      <c r="K72" t="str">
        <v>Factor model</v>
      </c>
      <c r="L72" t="str">
        <v>y/y%</v>
      </c>
      <c r="M72">
        <v>95</v>
      </c>
      <c r="N72" t="str">
        <v>hm1NAFactor modely/y%</v>
      </c>
    </row>
    <row r="73" spans="1:14" x14ac:dyDescent="0.3">
      <c r="A73" t="str">
        <v>hc35</v>
      </c>
      <c r="B73" t="str">
        <v>&lt;=80% LVR</v>
      </c>
      <c r="C73" t="str">
        <v>Other adjustments</v>
      </c>
      <c r="D73">
        <v>1</v>
      </c>
      <c r="E73" t="str">
        <v>NZDm</v>
      </c>
      <c r="F73" t="str">
        <v>NZDm</v>
      </c>
      <c r="G73">
        <v>66</v>
      </c>
      <c r="I73" t="str">
        <v>hm1</v>
      </c>
      <c r="J73" t="str">
        <v>NA</v>
      </c>
      <c r="K73" t="str">
        <v>Food</v>
      </c>
      <c r="L73" t="str">
        <v>Index</v>
      </c>
      <c r="M73">
        <v>76</v>
      </c>
      <c r="N73" t="str">
        <v>hm1NAFoodIndex</v>
      </c>
    </row>
    <row r="74" spans="1:14" x14ac:dyDescent="0.3">
      <c r="A74" t="str">
        <v>hc35</v>
      </c>
      <c r="B74" t="str">
        <v>&lt;=80% LVR</v>
      </c>
      <c r="C74" t="str">
        <v>Other excess repayments</v>
      </c>
      <c r="D74">
        <v>1</v>
      </c>
      <c r="E74" t="str">
        <v>NZDm</v>
      </c>
      <c r="F74" t="str">
        <v>NZDm</v>
      </c>
      <c r="G74">
        <v>63</v>
      </c>
      <c r="I74" t="str">
        <v>hm1</v>
      </c>
      <c r="J74" t="str">
        <v>NA</v>
      </c>
      <c r="K74" t="str">
        <v>Food</v>
      </c>
      <c r="L74" t="str">
        <v>q/q%</v>
      </c>
      <c r="M74">
        <v>77</v>
      </c>
      <c r="N74" t="str">
        <v>hm1NAFoodq/q%</v>
      </c>
    </row>
    <row r="75" spans="1:14" x14ac:dyDescent="0.3">
      <c r="A75" t="str">
        <v>hc35</v>
      </c>
      <c r="B75" t="str">
        <v>&lt;=80% LVR</v>
      </c>
      <c r="C75" t="str">
        <v>Repayment deficiencies</v>
      </c>
      <c r="D75">
        <v>1</v>
      </c>
      <c r="E75" t="str">
        <v>NZDm</v>
      </c>
      <c r="F75" t="str">
        <v>NZDm</v>
      </c>
      <c r="G75">
        <v>64</v>
      </c>
      <c r="I75" t="str">
        <v>hm1</v>
      </c>
      <c r="J75" t="str">
        <v>NA</v>
      </c>
      <c r="K75" t="str">
        <v>Food</v>
      </c>
      <c r="L75" t="str">
        <v>y/y%</v>
      </c>
      <c r="M75">
        <v>78</v>
      </c>
      <c r="N75" t="str">
        <v>hm1NAFoody/y%</v>
      </c>
    </row>
    <row r="76" spans="1:14" x14ac:dyDescent="0.3">
      <c r="A76" t="str">
        <v>hc35</v>
      </c>
      <c r="B76" t="str">
        <v>&lt;=80% LVR</v>
      </c>
      <c r="C76" t="str">
        <v>Repayment of loan in full</v>
      </c>
      <c r="D76">
        <v>1</v>
      </c>
      <c r="E76" t="str">
        <v>NZDm</v>
      </c>
      <c r="F76" t="str">
        <v>NZDm</v>
      </c>
      <c r="G76">
        <v>62</v>
      </c>
      <c r="I76" t="str">
        <v>hm1</v>
      </c>
      <c r="J76" t="str">
        <v>NA</v>
      </c>
      <c r="K76" t="str">
        <v>GDP deflator</v>
      </c>
      <c r="L76" t="str">
        <v>Index</v>
      </c>
      <c r="M76">
        <v>102</v>
      </c>
      <c r="N76" t="str">
        <v>hm1NAGDP deflatorIndex</v>
      </c>
    </row>
    <row r="77" spans="1:14" x14ac:dyDescent="0.3">
      <c r="A77" t="str">
        <v>hc35</v>
      </c>
      <c r="B77" t="str">
        <v>&lt;=80% LVR</v>
      </c>
      <c r="C77" t="str">
        <v>Scheduled repayments</v>
      </c>
      <c r="D77">
        <v>1</v>
      </c>
      <c r="E77" t="str">
        <v>NZDm</v>
      </c>
      <c r="F77" t="str">
        <v>NZDm</v>
      </c>
      <c r="G77">
        <v>61</v>
      </c>
      <c r="I77" t="str">
        <v>hm1</v>
      </c>
      <c r="J77" t="str">
        <v>NA</v>
      </c>
      <c r="K77" t="str">
        <v>GDP deflator</v>
      </c>
      <c r="L77" t="str">
        <v>q/q%</v>
      </c>
      <c r="M77">
        <v>103</v>
      </c>
      <c r="N77" t="str">
        <v>hm1NAGDP deflatorq/q%</v>
      </c>
    </row>
    <row r="78" spans="1:14" x14ac:dyDescent="0.3">
      <c r="A78" t="str">
        <v>hc35</v>
      </c>
      <c r="B78" t="str">
        <v>&gt;80% LVR</v>
      </c>
      <c r="C78" t="str">
        <v>Drawdowns</v>
      </c>
      <c r="D78">
        <v>1</v>
      </c>
      <c r="E78" t="str">
        <v>NZDm</v>
      </c>
      <c r="F78" t="str">
        <v>NZDm</v>
      </c>
      <c r="G78">
        <v>50</v>
      </c>
      <c r="I78" t="str">
        <v>hm1</v>
      </c>
      <c r="J78" t="str">
        <v>NA</v>
      </c>
      <c r="K78" t="str">
        <v>GDP deflator</v>
      </c>
      <c r="L78" t="str">
        <v>y/y%</v>
      </c>
      <c r="M78">
        <v>104</v>
      </c>
      <c r="N78" t="str">
        <v>hm1NAGDP deflatory/y%</v>
      </c>
    </row>
    <row r="79" spans="1:14" x14ac:dyDescent="0.3">
      <c r="A79" t="str">
        <v>hc35</v>
      </c>
      <c r="B79" t="str">
        <v>&gt;80% LVR</v>
      </c>
      <c r="C79" t="str">
        <v>Interest charged</v>
      </c>
      <c r="D79">
        <v>1</v>
      </c>
      <c r="E79" t="str">
        <v>NZDm</v>
      </c>
      <c r="F79" t="str">
        <v>NZDm</v>
      </c>
      <c r="G79">
        <v>51</v>
      </c>
      <c r="I79" t="str">
        <v>hm1</v>
      </c>
      <c r="J79" t="str">
        <v>NA</v>
      </c>
      <c r="K79" t="str">
        <v>Housing and household utilities</v>
      </c>
      <c r="L79" t="str">
        <v>Index</v>
      </c>
      <c r="M79">
        <v>79</v>
      </c>
      <c r="N79" t="str">
        <v>hm1NAHousing and household utilitiesIndex</v>
      </c>
    </row>
    <row r="80" spans="1:14" x14ac:dyDescent="0.3">
      <c r="A80" t="str">
        <v>hc35</v>
      </c>
      <c r="B80" t="str">
        <v>&gt;80% LVR</v>
      </c>
      <c r="C80" t="str">
        <v>Net write-offs</v>
      </c>
      <c r="D80">
        <v>1</v>
      </c>
      <c r="E80" t="str">
        <v>NZDm</v>
      </c>
      <c r="F80" t="str">
        <v>NZDm</v>
      </c>
      <c r="G80">
        <v>56</v>
      </c>
      <c r="I80" t="str">
        <v>hm1</v>
      </c>
      <c r="J80" t="str">
        <v>NA</v>
      </c>
      <c r="K80" t="str">
        <v>Housing and household utilities</v>
      </c>
      <c r="L80" t="str">
        <v>q/q%</v>
      </c>
      <c r="M80">
        <v>80</v>
      </c>
      <c r="N80" t="str">
        <v>hm1NAHousing and household utilitiesq/q%</v>
      </c>
    </row>
    <row r="81" spans="1:14" x14ac:dyDescent="0.3">
      <c r="A81" t="str">
        <v>hc35</v>
      </c>
      <c r="B81" t="str">
        <v>&gt;80% LVR</v>
      </c>
      <c r="C81" t="str">
        <v>Opening position</v>
      </c>
      <c r="D81">
        <v>1</v>
      </c>
      <c r="E81" t="str">
        <v>NZDm</v>
      </c>
      <c r="F81" t="str">
        <v>NZDm</v>
      </c>
      <c r="G81">
        <v>49</v>
      </c>
      <c r="I81" t="str">
        <v>hm1</v>
      </c>
      <c r="J81" t="str">
        <v>NA</v>
      </c>
      <c r="K81" t="str">
        <v>Housing and household utilities</v>
      </c>
      <c r="L81" t="str">
        <v>y/y%</v>
      </c>
      <c r="M81">
        <v>81</v>
      </c>
      <c r="N81" t="str">
        <v>hm1NAHousing and household utilitiesy/y%</v>
      </c>
    </row>
    <row r="82" spans="1:14" x14ac:dyDescent="0.3">
      <c r="A82" t="str">
        <v>hc35</v>
      </c>
      <c r="B82" t="str">
        <v>&gt;80% LVR</v>
      </c>
      <c r="C82" t="str">
        <v>Other adjustments</v>
      </c>
      <c r="D82">
        <v>1</v>
      </c>
      <c r="E82" t="str">
        <v>NZDm</v>
      </c>
      <c r="F82" t="str">
        <v>NZDm</v>
      </c>
      <c r="G82">
        <v>57</v>
      </c>
      <c r="I82" t="str">
        <v>hm1</v>
      </c>
      <c r="J82" t="str">
        <v>NA</v>
      </c>
      <c r="K82" t="str">
        <v>Non-tradable inflation</v>
      </c>
      <c r="L82" t="str">
        <v>Index</v>
      </c>
      <c r="M82">
        <v>73</v>
      </c>
      <c r="N82" t="str">
        <v>hm1NANon-tradable inflationIndex</v>
      </c>
    </row>
    <row r="83" spans="1:14" x14ac:dyDescent="0.3">
      <c r="A83" t="str">
        <v>hc35</v>
      </c>
      <c r="B83" t="str">
        <v>&gt;80% LVR</v>
      </c>
      <c r="C83" t="str">
        <v>Other excess repayment</v>
      </c>
      <c r="D83">
        <v>1</v>
      </c>
      <c r="E83" t="str">
        <v>NZDm</v>
      </c>
      <c r="F83" t="str">
        <v>NZDm</v>
      </c>
      <c r="G83">
        <v>54</v>
      </c>
      <c r="I83" t="str">
        <v>hm1</v>
      </c>
      <c r="J83" t="str">
        <v>NA</v>
      </c>
      <c r="K83" t="str">
        <v>Non-tradable inflation</v>
      </c>
      <c r="L83" t="str">
        <v>q/q%</v>
      </c>
      <c r="M83">
        <v>74</v>
      </c>
      <c r="N83" t="str">
        <v>hm1NANon-tradable inflationq/q%</v>
      </c>
    </row>
    <row r="84" spans="1:14" x14ac:dyDescent="0.3">
      <c r="A84" t="str">
        <v>hc35</v>
      </c>
      <c r="B84" t="str">
        <v>&gt;80% LVR</v>
      </c>
      <c r="C84" t="str">
        <v>Repayment deficiencies</v>
      </c>
      <c r="D84">
        <v>1</v>
      </c>
      <c r="E84" t="str">
        <v>NZDm</v>
      </c>
      <c r="F84" t="str">
        <v>NZDm</v>
      </c>
      <c r="G84">
        <v>55</v>
      </c>
      <c r="I84" t="str">
        <v>hm1</v>
      </c>
      <c r="J84" t="str">
        <v>NA</v>
      </c>
      <c r="K84" t="str">
        <v>Non-tradable inflation</v>
      </c>
      <c r="L84" t="str">
        <v>y/y%</v>
      </c>
      <c r="M84">
        <v>75</v>
      </c>
      <c r="N84" t="str">
        <v>hm1NANon-tradable inflationy/y%</v>
      </c>
    </row>
    <row r="85" spans="1:14" x14ac:dyDescent="0.3">
      <c r="A85" t="str">
        <v>hc35</v>
      </c>
      <c r="B85" t="str">
        <v>&gt;80% LVR</v>
      </c>
      <c r="C85" t="str">
        <v>Repayment of loan in full</v>
      </c>
      <c r="D85">
        <v>1</v>
      </c>
      <c r="E85" t="str">
        <v>NZDm</v>
      </c>
      <c r="F85" t="str">
        <v>NZDm</v>
      </c>
      <c r="G85">
        <v>53</v>
      </c>
      <c r="I85" t="str">
        <v>hm1</v>
      </c>
      <c r="J85" t="str">
        <v>NA</v>
      </c>
      <c r="K85" t="str">
        <v>Petrol</v>
      </c>
      <c r="L85" t="str">
        <v>Index</v>
      </c>
      <c r="M85">
        <v>85</v>
      </c>
      <c r="N85" t="str">
        <v>hm1NAPetrolIndex</v>
      </c>
    </row>
    <row r="86" spans="1:14" x14ac:dyDescent="0.3">
      <c r="A86" t="str">
        <v>hc35</v>
      </c>
      <c r="B86" t="str">
        <v>&gt;80% LVR</v>
      </c>
      <c r="C86" t="str">
        <v>Scheduled repayments</v>
      </c>
      <c r="D86">
        <v>1</v>
      </c>
      <c r="E86" t="str">
        <v>NZDm</v>
      </c>
      <c r="F86" t="str">
        <v>NZDm</v>
      </c>
      <c r="G86">
        <v>52</v>
      </c>
      <c r="I86" t="str">
        <v>hm1</v>
      </c>
      <c r="J86" t="str">
        <v>NA</v>
      </c>
      <c r="K86" t="str">
        <v>Petrol</v>
      </c>
      <c r="L86" t="str">
        <v>q/q%</v>
      </c>
      <c r="M86">
        <v>86</v>
      </c>
      <c r="N86" t="str">
        <v>hm1NAPetrolq/q%</v>
      </c>
    </row>
    <row r="87" spans="1:14" x14ac:dyDescent="0.3">
      <c r="A87" t="str">
        <v>hc35</v>
      </c>
      <c r="B87" t="str">
        <v>Total</v>
      </c>
      <c r="C87" t="str">
        <v>Drawdowns</v>
      </c>
      <c r="D87">
        <v>1</v>
      </c>
      <c r="E87" t="str">
        <v>NZDm</v>
      </c>
      <c r="F87" t="str">
        <v>NZDm</v>
      </c>
      <c r="G87">
        <v>41</v>
      </c>
      <c r="I87" t="str">
        <v>hm1</v>
      </c>
      <c r="J87" t="str">
        <v>NA</v>
      </c>
      <c r="K87" t="str">
        <v>Petrol</v>
      </c>
      <c r="L87" t="str">
        <v>y/y%</v>
      </c>
      <c r="M87">
        <v>87</v>
      </c>
      <c r="N87" t="str">
        <v>hm1NAPetroly/y%</v>
      </c>
    </row>
    <row r="88" spans="1:14" x14ac:dyDescent="0.3">
      <c r="A88" t="str">
        <v>hc35</v>
      </c>
      <c r="B88" t="str">
        <v>Total</v>
      </c>
      <c r="C88" t="str">
        <v>Interest charged</v>
      </c>
      <c r="D88">
        <v>1</v>
      </c>
      <c r="E88" t="str">
        <v>NZDm</v>
      </c>
      <c r="F88" t="str">
        <v>NZDm</v>
      </c>
      <c r="G88">
        <v>42</v>
      </c>
      <c r="I88" t="str">
        <v>hm1</v>
      </c>
      <c r="J88" t="str">
        <v>NA</v>
      </c>
      <c r="K88" t="str">
        <v>Producers price index (PPI) inputs</v>
      </c>
      <c r="L88" t="str">
        <v>Index</v>
      </c>
      <c r="M88">
        <v>105</v>
      </c>
      <c r="N88" t="str">
        <v>hm1NAProducers price index (PPI) inputsIndex</v>
      </c>
    </row>
    <row r="89" spans="1:14" x14ac:dyDescent="0.3">
      <c r="A89" t="str">
        <v>hc35</v>
      </c>
      <c r="B89" t="str">
        <v>Total</v>
      </c>
      <c r="C89" t="str">
        <v>Net write-offs</v>
      </c>
      <c r="D89">
        <v>1</v>
      </c>
      <c r="E89" t="str">
        <v>NZDm</v>
      </c>
      <c r="F89" t="str">
        <v>NZDm</v>
      </c>
      <c r="G89">
        <v>47</v>
      </c>
      <c r="I89" t="str">
        <v>hm1</v>
      </c>
      <c r="J89" t="str">
        <v>NA</v>
      </c>
      <c r="K89" t="str">
        <v>Producers price index (PPI) inputs</v>
      </c>
      <c r="L89" t="str">
        <v>q/q%</v>
      </c>
      <c r="M89">
        <v>106</v>
      </c>
      <c r="N89" t="str">
        <v>hm1NAProducers price index (PPI) inputsq/q%</v>
      </c>
    </row>
    <row r="90" spans="1:14" x14ac:dyDescent="0.3">
      <c r="A90" t="str">
        <v>hc35</v>
      </c>
      <c r="B90" t="str">
        <v>Total</v>
      </c>
      <c r="C90" t="str">
        <v>Opening position</v>
      </c>
      <c r="D90">
        <v>1</v>
      </c>
      <c r="E90" t="str">
        <v>NZDm</v>
      </c>
      <c r="F90" t="str">
        <v>NZDm</v>
      </c>
      <c r="G90">
        <v>40</v>
      </c>
      <c r="I90" t="str">
        <v>hm1</v>
      </c>
      <c r="J90" t="str">
        <v>NA</v>
      </c>
      <c r="K90" t="str">
        <v>Producers price index (PPI) inputs</v>
      </c>
      <c r="L90" t="str">
        <v>y/y%</v>
      </c>
      <c r="M90">
        <v>107</v>
      </c>
      <c r="N90" t="str">
        <v>hm1NAProducers price index (PPI) inputsy/y%</v>
      </c>
    </row>
    <row r="91" spans="1:14" x14ac:dyDescent="0.3">
      <c r="A91" t="str">
        <v>hc35</v>
      </c>
      <c r="B91" t="str">
        <v>Total</v>
      </c>
      <c r="C91" t="str">
        <v>Other adjustments</v>
      </c>
      <c r="D91">
        <v>1</v>
      </c>
      <c r="E91" t="str">
        <v>NZDm</v>
      </c>
      <c r="F91" t="str">
        <v>NZDm</v>
      </c>
      <c r="G91">
        <v>48</v>
      </c>
      <c r="I91" t="str">
        <v>hm1</v>
      </c>
      <c r="J91" t="str">
        <v>NA</v>
      </c>
      <c r="K91" t="str">
        <v>Producers price index (PPI) outputs</v>
      </c>
      <c r="L91" t="str">
        <v>Index</v>
      </c>
      <c r="M91">
        <v>108</v>
      </c>
      <c r="N91" t="str">
        <v>hm1NAProducers price index (PPI) outputsIndex</v>
      </c>
    </row>
    <row r="92" spans="1:14" x14ac:dyDescent="0.3">
      <c r="A92" t="str">
        <v>hc35</v>
      </c>
      <c r="B92" t="str">
        <v>Total</v>
      </c>
      <c r="C92" t="str">
        <v>Other excess repayments</v>
      </c>
      <c r="D92">
        <v>1</v>
      </c>
      <c r="E92" t="str">
        <v>NZDm</v>
      </c>
      <c r="F92" t="str">
        <v>NZDm</v>
      </c>
      <c r="G92">
        <v>45</v>
      </c>
      <c r="I92" t="str">
        <v>hm1</v>
      </c>
      <c r="J92" t="str">
        <v>NA</v>
      </c>
      <c r="K92" t="str">
        <v>Producers price index (PPI) outputs</v>
      </c>
      <c r="L92" t="str">
        <v>q/q%</v>
      </c>
      <c r="M92">
        <v>109</v>
      </c>
      <c r="N92" t="str">
        <v>hm1NAProducers price index (PPI) outputsq/q%</v>
      </c>
    </row>
    <row r="93" spans="1:14" x14ac:dyDescent="0.3">
      <c r="A93" t="str">
        <v>hc35</v>
      </c>
      <c r="B93" t="str">
        <v>Total</v>
      </c>
      <c r="C93" t="str">
        <v>Repayment deficiencies</v>
      </c>
      <c r="D93">
        <v>1</v>
      </c>
      <c r="E93" t="str">
        <v>NZDm</v>
      </c>
      <c r="F93" t="str">
        <v>NZDm</v>
      </c>
      <c r="G93">
        <v>46</v>
      </c>
      <c r="I93" t="str">
        <v>hm1</v>
      </c>
      <c r="J93" t="str">
        <v>NA</v>
      </c>
      <c r="K93" t="str">
        <v>Producers price index (PPI) outputs</v>
      </c>
      <c r="L93" t="str">
        <v>y/y%</v>
      </c>
      <c r="M93">
        <v>110</v>
      </c>
      <c r="N93" t="str">
        <v>hm1NAProducers price index (PPI) outputsy/y%</v>
      </c>
    </row>
    <row r="94" spans="1:14" x14ac:dyDescent="0.3">
      <c r="A94" t="str">
        <v>hc35</v>
      </c>
      <c r="B94" t="str">
        <v>Total</v>
      </c>
      <c r="C94" t="str">
        <v>Repayment of loan in full</v>
      </c>
      <c r="D94">
        <v>1</v>
      </c>
      <c r="E94" t="str">
        <v>NZDm</v>
      </c>
      <c r="F94" t="str">
        <v>NZDm</v>
      </c>
      <c r="G94">
        <v>44</v>
      </c>
      <c r="I94" t="str">
        <v>hm1</v>
      </c>
      <c r="J94" t="str">
        <v>NA</v>
      </c>
      <c r="K94" t="str">
        <v>PropertyIQ House price index (HPI)</v>
      </c>
      <c r="L94" t="str">
        <v>Index</v>
      </c>
      <c r="M94">
        <v>99</v>
      </c>
      <c r="N94" t="str">
        <v>hm1NAPropertyIQ House price index (HPI)Index</v>
      </c>
    </row>
    <row r="95" spans="1:14" x14ac:dyDescent="0.3">
      <c r="A95" t="str">
        <v>hc35</v>
      </c>
      <c r="B95" t="str">
        <v>Total</v>
      </c>
      <c r="C95" t="str">
        <v>Scheduled repayments</v>
      </c>
      <c r="D95">
        <v>1</v>
      </c>
      <c r="E95" t="str">
        <v>NZDm</v>
      </c>
      <c r="F95" t="str">
        <v>NZDm</v>
      </c>
      <c r="G95">
        <v>43</v>
      </c>
      <c r="I95" t="str">
        <v>hm1</v>
      </c>
      <c r="J95" t="str">
        <v>NA</v>
      </c>
      <c r="K95" t="str">
        <v>PropertyIQ House price index (HPI)</v>
      </c>
      <c r="L95" t="str">
        <v>q/q%</v>
      </c>
      <c r="M95">
        <v>100</v>
      </c>
      <c r="N95" t="str">
        <v>hm1NAPropertyIQ House price index (HPI)q/q%</v>
      </c>
    </row>
    <row r="96" spans="1:14" x14ac:dyDescent="0.3">
      <c r="A96" t="str">
        <v>hm1</v>
      </c>
      <c r="B96" t="str">
        <v>NA</v>
      </c>
      <c r="C96" t="str">
        <v>Consumers price index (CPI)</v>
      </c>
      <c r="D96">
        <v>1</v>
      </c>
      <c r="E96" t="str">
        <v>%</v>
      </c>
      <c r="F96" t="str">
        <v>q/q%</v>
      </c>
      <c r="G96">
        <v>68</v>
      </c>
      <c r="I96" t="str">
        <v>hm1</v>
      </c>
      <c r="J96" t="str">
        <v>NA</v>
      </c>
      <c r="K96" t="str">
        <v>PropertyIQ House price index (HPI)</v>
      </c>
      <c r="L96" t="str">
        <v>y/y%</v>
      </c>
      <c r="M96">
        <v>101</v>
      </c>
      <c r="N96" t="str">
        <v>hm1NAPropertyIQ House price index (HPI)y/y%</v>
      </c>
    </row>
    <row r="97" spans="1:14" x14ac:dyDescent="0.3">
      <c r="A97" t="str">
        <v>hm1</v>
      </c>
      <c r="B97" t="str">
        <v>NA</v>
      </c>
      <c r="C97" t="str">
        <v>Consumers price index (CPI)</v>
      </c>
      <c r="D97">
        <v>1</v>
      </c>
      <c r="E97" t="str">
        <v>%</v>
      </c>
      <c r="F97" t="str">
        <v>y/y%</v>
      </c>
      <c r="G97">
        <v>69</v>
      </c>
      <c r="I97" t="str">
        <v>hm1</v>
      </c>
      <c r="J97" t="str">
        <v>NA</v>
      </c>
      <c r="K97" t="str">
        <v>Sectoral factor model</v>
      </c>
      <c r="L97" t="str">
        <v>y/y%</v>
      </c>
      <c r="M97">
        <v>96</v>
      </c>
      <c r="N97" t="str">
        <v>hm1NASectoral factor modely/y%</v>
      </c>
    </row>
    <row r="98" spans="1:14" x14ac:dyDescent="0.3">
      <c r="A98" t="str">
        <v>hm1</v>
      </c>
      <c r="B98" t="str">
        <v>NA</v>
      </c>
      <c r="C98" t="str">
        <v>Consumers price index (CPI)</v>
      </c>
      <c r="D98">
        <v>1</v>
      </c>
      <c r="E98" t="str">
        <v>Index</v>
      </c>
      <c r="F98" t="str">
        <v>Index</v>
      </c>
      <c r="G98">
        <v>67</v>
      </c>
      <c r="I98" t="str">
        <v>hm1</v>
      </c>
      <c r="J98" t="str">
        <v>NA</v>
      </c>
      <c r="K98" t="str">
        <v>Sectoral factor model - non-tradable core</v>
      </c>
      <c r="L98" t="str">
        <v>y/y%</v>
      </c>
      <c r="M98">
        <v>98</v>
      </c>
      <c r="N98" t="str">
        <v>hm1NASectoral factor model - non-tradable corey/y%</v>
      </c>
    </row>
    <row r="99" spans="1:14" x14ac:dyDescent="0.3">
      <c r="A99" t="str">
        <v>hm1</v>
      </c>
      <c r="B99" t="str">
        <v>NA</v>
      </c>
      <c r="C99" t="str">
        <v>CPI excluding petrol</v>
      </c>
      <c r="D99">
        <v>1</v>
      </c>
      <c r="E99" t="str">
        <v>%</v>
      </c>
      <c r="F99" t="str">
        <v>q/q%</v>
      </c>
      <c r="G99">
        <v>89</v>
      </c>
      <c r="I99" t="str">
        <v>hm1</v>
      </c>
      <c r="J99" t="str">
        <v>NA</v>
      </c>
      <c r="K99" t="str">
        <v>Sectoral factor model - tradable core</v>
      </c>
      <c r="L99" t="str">
        <v>y/y%</v>
      </c>
      <c r="M99">
        <v>97</v>
      </c>
      <c r="N99" t="str">
        <v>hm1NASectoral factor model - tradable corey/y%</v>
      </c>
    </row>
    <row r="100" spans="1:14" x14ac:dyDescent="0.3">
      <c r="A100" t="str">
        <v>hm1</v>
      </c>
      <c r="B100" t="str">
        <v>NA</v>
      </c>
      <c r="C100" t="str">
        <v>CPI excluding petrol</v>
      </c>
      <c r="D100">
        <v>1</v>
      </c>
      <c r="E100" t="str">
        <v>%</v>
      </c>
      <c r="F100" t="str">
        <v>y/y%</v>
      </c>
      <c r="G100">
        <v>90</v>
      </c>
      <c r="I100" t="str">
        <v>hm1</v>
      </c>
      <c r="J100" t="str">
        <v>NA</v>
      </c>
      <c r="K100" t="str">
        <v>Tradable inflation</v>
      </c>
      <c r="L100" t="str">
        <v>Index</v>
      </c>
      <c r="M100">
        <v>70</v>
      </c>
      <c r="N100" t="str">
        <v>hm1NATradable inflationIndex</v>
      </c>
    </row>
    <row r="101" spans="1:14" x14ac:dyDescent="0.3">
      <c r="A101" t="str">
        <v>hm1</v>
      </c>
      <c r="B101" t="str">
        <v>NA</v>
      </c>
      <c r="C101" t="str">
        <v>CPI excluding petrol</v>
      </c>
      <c r="D101">
        <v>1</v>
      </c>
      <c r="E101" t="str">
        <v>Index</v>
      </c>
      <c r="F101" t="str">
        <v>Index</v>
      </c>
      <c r="G101">
        <v>88</v>
      </c>
      <c r="I101" t="str">
        <v>hm1</v>
      </c>
      <c r="J101" t="str">
        <v>NA</v>
      </c>
      <c r="K101" t="str">
        <v>Tradable inflation</v>
      </c>
      <c r="L101" t="str">
        <v>q/q%</v>
      </c>
      <c r="M101">
        <v>71</v>
      </c>
      <c r="N101" t="str">
        <v>hm1NATradable inflationq/q%</v>
      </c>
    </row>
    <row r="102" spans="1:14" x14ac:dyDescent="0.3">
      <c r="A102" t="str">
        <v>hm1</v>
      </c>
      <c r="B102" t="str">
        <v>NA</v>
      </c>
      <c r="C102" t="str">
        <v>Factor model</v>
      </c>
      <c r="D102">
        <v>1</v>
      </c>
      <c r="E102" t="str">
        <v>%</v>
      </c>
      <c r="F102" t="str">
        <v>y/y%</v>
      </c>
      <c r="G102">
        <v>95</v>
      </c>
      <c r="I102" t="str">
        <v>hm1</v>
      </c>
      <c r="J102" t="str">
        <v>NA</v>
      </c>
      <c r="K102" t="str">
        <v>Tradable inflation</v>
      </c>
      <c r="L102" t="str">
        <v>y/y%</v>
      </c>
      <c r="M102">
        <v>72</v>
      </c>
      <c r="N102" t="str">
        <v>hm1NATradable inflationy/y%</v>
      </c>
    </row>
    <row r="103" spans="1:14" x14ac:dyDescent="0.3">
      <c r="A103" t="str">
        <v>hm1</v>
      </c>
      <c r="B103" t="str">
        <v>NA</v>
      </c>
      <c r="C103" t="str">
        <v>Food</v>
      </c>
      <c r="D103">
        <v>1</v>
      </c>
      <c r="E103" t="str">
        <v>%</v>
      </c>
      <c r="F103" t="str">
        <v>q/q%</v>
      </c>
      <c r="G103">
        <v>77</v>
      </c>
      <c r="I103" t="str">
        <v>hm1</v>
      </c>
      <c r="J103" t="str">
        <v>NA</v>
      </c>
      <c r="K103" t="str">
        <v>Transportation</v>
      </c>
      <c r="L103" t="str">
        <v>Index</v>
      </c>
      <c r="M103">
        <v>82</v>
      </c>
      <c r="N103" t="str">
        <v>hm1NATransportationIndex</v>
      </c>
    </row>
    <row r="104" spans="1:14" x14ac:dyDescent="0.3">
      <c r="A104" t="str">
        <v>hm1</v>
      </c>
      <c r="B104" t="str">
        <v>NA</v>
      </c>
      <c r="C104" t="str">
        <v>Food</v>
      </c>
      <c r="D104">
        <v>1</v>
      </c>
      <c r="E104" t="str">
        <v>%</v>
      </c>
      <c r="F104" t="str">
        <v>y/y%</v>
      </c>
      <c r="G104">
        <v>78</v>
      </c>
      <c r="I104" t="str">
        <v>hm1</v>
      </c>
      <c r="J104" t="str">
        <v>NA</v>
      </c>
      <c r="K104" t="str">
        <v>Transportation</v>
      </c>
      <c r="L104" t="str">
        <v>q/q%</v>
      </c>
      <c r="M104">
        <v>83</v>
      </c>
      <c r="N104" t="str">
        <v>hm1NATransportationq/q%</v>
      </c>
    </row>
    <row r="105" spans="1:14" x14ac:dyDescent="0.3">
      <c r="A105" t="str">
        <v>hm1</v>
      </c>
      <c r="B105" t="str">
        <v>NA</v>
      </c>
      <c r="C105" t="str">
        <v>Food</v>
      </c>
      <c r="D105">
        <v>1</v>
      </c>
      <c r="E105" t="str">
        <v>Index</v>
      </c>
      <c r="F105" t="str">
        <v>Index</v>
      </c>
      <c r="G105">
        <v>76</v>
      </c>
      <c r="I105" t="str">
        <v>hm1</v>
      </c>
      <c r="J105" t="str">
        <v>NA</v>
      </c>
      <c r="K105" t="str">
        <v>Transportation</v>
      </c>
      <c r="L105" t="str">
        <v>y/y%</v>
      </c>
      <c r="M105">
        <v>84</v>
      </c>
      <c r="N105" t="str">
        <v>hm1NATransportationy/y%</v>
      </c>
    </row>
    <row r="106" spans="1:14" x14ac:dyDescent="0.3">
      <c r="A106" t="str">
        <v>hm1</v>
      </c>
      <c r="B106" t="str">
        <v>NA</v>
      </c>
      <c r="C106" t="str">
        <v>GDP deflator</v>
      </c>
      <c r="D106">
        <v>1</v>
      </c>
      <c r="E106" t="str">
        <v>%</v>
      </c>
      <c r="F106" t="str">
        <v>y/y%</v>
      </c>
      <c r="G106">
        <v>104</v>
      </c>
      <c r="I106" t="str">
        <v>hm1</v>
      </c>
      <c r="J106" t="str">
        <v>NA</v>
      </c>
      <c r="K106" t="str">
        <v>Trimmed mean</v>
      </c>
      <c r="L106" t="str">
        <v>q/q%</v>
      </c>
      <c r="M106">
        <v>91</v>
      </c>
      <c r="N106" t="str">
        <v>hm1NATrimmed meanq/q%</v>
      </c>
    </row>
    <row r="107" spans="1:14" x14ac:dyDescent="0.3">
      <c r="A107" t="str">
        <v>hm1</v>
      </c>
      <c r="B107" t="str">
        <v>NA</v>
      </c>
      <c r="C107" t="str">
        <v>GDP deflator</v>
      </c>
      <c r="D107">
        <v>1</v>
      </c>
      <c r="E107" t="str">
        <v>Index</v>
      </c>
      <c r="F107" t="str">
        <v>Index</v>
      </c>
      <c r="G107">
        <v>102</v>
      </c>
      <c r="I107" t="str">
        <v>hm1</v>
      </c>
      <c r="J107" t="str">
        <v>NA</v>
      </c>
      <c r="K107" t="str">
        <v>Trimmed mean</v>
      </c>
      <c r="L107" t="str">
        <v>y/y%</v>
      </c>
      <c r="M107">
        <v>92</v>
      </c>
      <c r="N107" t="str">
        <v>hm1NATrimmed meany/y%</v>
      </c>
    </row>
    <row r="108" spans="1:14" x14ac:dyDescent="0.3">
      <c r="A108" t="str">
        <v>hm1</v>
      </c>
      <c r="B108" t="str">
        <v>NA</v>
      </c>
      <c r="C108" t="str">
        <v>GDP deflator</v>
      </c>
      <c r="D108">
        <v>1</v>
      </c>
      <c r="E108" t="str">
        <v>NA</v>
      </c>
      <c r="F108" t="str">
        <v>q/q%</v>
      </c>
      <c r="G108">
        <v>103</v>
      </c>
      <c r="I108" t="str">
        <v>hm1</v>
      </c>
      <c r="J108" t="str">
        <v>NA</v>
      </c>
      <c r="K108" t="str">
        <v>Weighted median</v>
      </c>
      <c r="L108" t="str">
        <v>q/q%</v>
      </c>
      <c r="M108">
        <v>93</v>
      </c>
      <c r="N108" t="str">
        <v>hm1NAWeighted medianq/q%</v>
      </c>
    </row>
    <row r="109" spans="1:14" x14ac:dyDescent="0.3">
      <c r="A109" t="str">
        <v>hm1</v>
      </c>
      <c r="B109" t="str">
        <v>NA</v>
      </c>
      <c r="C109" t="str">
        <v>Housing and household utilities</v>
      </c>
      <c r="D109">
        <v>1</v>
      </c>
      <c r="E109" t="str">
        <v>%</v>
      </c>
      <c r="F109" t="str">
        <v>q/q%</v>
      </c>
      <c r="G109">
        <v>80</v>
      </c>
      <c r="I109" t="str">
        <v>hm1</v>
      </c>
      <c r="J109" t="str">
        <v>NA</v>
      </c>
      <c r="K109" t="str">
        <v>Weighted median</v>
      </c>
      <c r="L109" t="str">
        <v>y/y%</v>
      </c>
      <c r="M109">
        <v>94</v>
      </c>
      <c r="N109" t="str">
        <v>hm1NAWeighted mediany/y%</v>
      </c>
    </row>
    <row r="110" spans="1:14" x14ac:dyDescent="0.3">
      <c r="A110" t="str">
        <v>hm1</v>
      </c>
      <c r="B110" t="str">
        <v>NA</v>
      </c>
      <c r="C110" t="str">
        <v>Housing and household utilities</v>
      </c>
      <c r="D110">
        <v>1</v>
      </c>
      <c r="E110" t="str">
        <v>%</v>
      </c>
      <c r="F110" t="str">
        <v>y/y%</v>
      </c>
      <c r="G110">
        <v>81</v>
      </c>
      <c r="I110" t="str">
        <v>hm10</v>
      </c>
      <c r="J110" t="str">
        <v>NA</v>
      </c>
      <c r="K110" t="str">
        <v>House price index (HPI)</v>
      </c>
      <c r="L110" t="str">
        <v>Index</v>
      </c>
      <c r="M110">
        <v>299</v>
      </c>
      <c r="N110" t="str">
        <v>hm10NAHouse price index (HPI)Index</v>
      </c>
    </row>
    <row r="111" spans="1:14" x14ac:dyDescent="0.3">
      <c r="A111" t="str">
        <v>hm1</v>
      </c>
      <c r="B111" t="str">
        <v>NA</v>
      </c>
      <c r="C111" t="str">
        <v>Housing and household utilities</v>
      </c>
      <c r="D111">
        <v>1</v>
      </c>
      <c r="E111" t="str">
        <v>Index</v>
      </c>
      <c r="F111" t="str">
        <v>Index</v>
      </c>
      <c r="G111">
        <v>79</v>
      </c>
      <c r="I111" t="str">
        <v>hm10</v>
      </c>
      <c r="J111" t="str">
        <v>NA</v>
      </c>
      <c r="K111" t="str">
        <v>House sales</v>
      </c>
      <c r="L111" t="str">
        <v>no</v>
      </c>
      <c r="M111">
        <v>298</v>
      </c>
      <c r="N111" t="str">
        <v>hm10NAHouse salesno</v>
      </c>
    </row>
    <row r="112" spans="1:14" x14ac:dyDescent="0.3">
      <c r="A112" t="str">
        <v>hm1</v>
      </c>
      <c r="B112" t="str">
        <v>NA</v>
      </c>
      <c r="C112" t="str">
        <v>Non-tradable inflation</v>
      </c>
      <c r="D112">
        <v>1</v>
      </c>
      <c r="E112" t="str">
        <v>%</v>
      </c>
      <c r="F112" t="str">
        <v>q/q%</v>
      </c>
      <c r="G112">
        <v>74</v>
      </c>
      <c r="I112" t="str">
        <v>hm10</v>
      </c>
      <c r="J112" t="str">
        <v>NA</v>
      </c>
      <c r="K112" t="str">
        <v>Residential investment (GDP)</v>
      </c>
      <c r="L112" t="str">
        <v>NZDm (r.)</v>
      </c>
      <c r="M112">
        <v>301</v>
      </c>
      <c r="N112" t="str">
        <v>hm10NAResidential investment (GDP)NZDm (r.)</v>
      </c>
    </row>
    <row r="113" spans="1:14" x14ac:dyDescent="0.3">
      <c r="A113" t="str">
        <v>hm1</v>
      </c>
      <c r="B113" t="str">
        <v>NA</v>
      </c>
      <c r="C113" t="str">
        <v>Non-tradable inflation</v>
      </c>
      <c r="D113">
        <v>1</v>
      </c>
      <c r="E113" t="str">
        <v>%</v>
      </c>
      <c r="F113" t="str">
        <v>y/y%</v>
      </c>
      <c r="G113">
        <v>75</v>
      </c>
      <c r="I113" t="str">
        <v>hm10</v>
      </c>
      <c r="J113" t="str">
        <v>NA</v>
      </c>
      <c r="K113" t="str">
        <v>Total value of housing stock</v>
      </c>
      <c r="L113" t="str">
        <v>NZDm</v>
      </c>
      <c r="M113">
        <v>300</v>
      </c>
      <c r="N113" t="str">
        <v>hm10NATotal value of housing stockNZDm</v>
      </c>
    </row>
    <row r="114" spans="1:14" x14ac:dyDescent="0.3">
      <c r="A114" t="str">
        <v>hm1</v>
      </c>
      <c r="B114" t="str">
        <v>NA</v>
      </c>
      <c r="C114" t="str">
        <v>Non-tradable inflation</v>
      </c>
      <c r="D114">
        <v>1</v>
      </c>
      <c r="E114" t="str">
        <v>Index</v>
      </c>
      <c r="F114" t="str">
        <v>Index</v>
      </c>
      <c r="G114">
        <v>73</v>
      </c>
      <c r="I114" t="str">
        <v>hm14</v>
      </c>
      <c r="J114" t="str">
        <v>10 year government bond yields - 1 year out</v>
      </c>
      <c r="K114" t="str">
        <v>10 year government bond yields</v>
      </c>
      <c r="L114" t="str">
        <v>%</v>
      </c>
      <c r="M114">
        <v>314</v>
      </c>
      <c r="N114" t="str">
        <v>hm1410 year government bond yields - 1 year out10 year government bond yields%</v>
      </c>
    </row>
    <row r="115" spans="1:14" x14ac:dyDescent="0.3">
      <c r="A115" t="str">
        <v>hm1</v>
      </c>
      <c r="B115" t="str">
        <v>NA</v>
      </c>
      <c r="C115" t="str">
        <v>Petrol</v>
      </c>
      <c r="D115">
        <v>1</v>
      </c>
      <c r="E115" t="str">
        <v>%</v>
      </c>
      <c r="F115" t="str">
        <v>q/q%</v>
      </c>
      <c r="G115">
        <v>86</v>
      </c>
      <c r="I115" t="str">
        <v>hm14</v>
      </c>
      <c r="J115" t="str">
        <v>10 year government bond yields - End of current quarter</v>
      </c>
      <c r="K115" t="str">
        <v>10 year government bond yields</v>
      </c>
      <c r="L115" t="str">
        <v>%</v>
      </c>
      <c r="M115">
        <v>313</v>
      </c>
      <c r="N115" t="str">
        <v>hm1410 year government bond yields - End of current quarter10 year government bond yields%</v>
      </c>
    </row>
    <row r="116" spans="1:14" x14ac:dyDescent="0.3">
      <c r="A116" t="str">
        <v>hm1</v>
      </c>
      <c r="B116" t="str">
        <v>NA</v>
      </c>
      <c r="C116" t="str">
        <v>Petrol</v>
      </c>
      <c r="D116">
        <v>1</v>
      </c>
      <c r="E116" t="str">
        <v>%</v>
      </c>
      <c r="F116" t="str">
        <v>y/y%</v>
      </c>
      <c r="G116">
        <v>87</v>
      </c>
      <c r="I116" t="str">
        <v>hm14</v>
      </c>
      <c r="J116" t="str">
        <v>Annual CPI growth - 1 year out</v>
      </c>
      <c r="K116" t="str">
        <v>Annual CPI growth</v>
      </c>
      <c r="L116" t="str">
        <v>%</v>
      </c>
      <c r="M116">
        <v>305</v>
      </c>
      <c r="N116" t="str">
        <v>hm14Annual CPI growth - 1 year outAnnual CPI growth%</v>
      </c>
    </row>
    <row r="117" spans="1:14" x14ac:dyDescent="0.3">
      <c r="A117" t="str">
        <v>hm1</v>
      </c>
      <c r="B117" t="str">
        <v>NA</v>
      </c>
      <c r="C117" t="str">
        <v>Petrol</v>
      </c>
      <c r="D117">
        <v>1</v>
      </c>
      <c r="E117" t="str">
        <v>Index</v>
      </c>
      <c r="F117" t="str">
        <v>Index</v>
      </c>
      <c r="G117">
        <v>85</v>
      </c>
      <c r="I117" t="str">
        <v>hm14</v>
      </c>
      <c r="J117" t="str">
        <v>Annual CPI growth - 10 years out</v>
      </c>
      <c r="K117" t="str">
        <v>Annual CPI growth</v>
      </c>
      <c r="L117" t="str">
        <v>%</v>
      </c>
      <c r="M117">
        <v>308</v>
      </c>
      <c r="N117" t="str">
        <v>hm14Annual CPI growth - 10 years outAnnual CPI growth%</v>
      </c>
    </row>
    <row r="118" spans="1:14" x14ac:dyDescent="0.3">
      <c r="A118" t="str">
        <v>hm1</v>
      </c>
      <c r="B118" t="str">
        <v>NA</v>
      </c>
      <c r="C118" t="str">
        <v>Producers price index (PPI) inputs</v>
      </c>
      <c r="D118">
        <v>1</v>
      </c>
      <c r="E118" t="str">
        <v>%</v>
      </c>
      <c r="F118" t="str">
        <v>q/q%</v>
      </c>
      <c r="G118">
        <v>106</v>
      </c>
      <c r="I118" t="str">
        <v>hm14</v>
      </c>
      <c r="J118" t="str">
        <v>Annual CPI growth - 2 years out</v>
      </c>
      <c r="K118" t="str">
        <v>Annual CPI growth</v>
      </c>
      <c r="L118" t="str">
        <v>%</v>
      </c>
      <c r="M118">
        <v>306</v>
      </c>
      <c r="N118" t="str">
        <v>hm14Annual CPI growth - 2 years outAnnual CPI growth%</v>
      </c>
    </row>
    <row r="119" spans="1:14" x14ac:dyDescent="0.3">
      <c r="A119" t="str">
        <v>hm1</v>
      </c>
      <c r="B119" t="str">
        <v>NA</v>
      </c>
      <c r="C119" t="str">
        <v>Producers price index (PPI) inputs</v>
      </c>
      <c r="D119">
        <v>1</v>
      </c>
      <c r="E119" t="str">
        <v>%</v>
      </c>
      <c r="F119" t="str">
        <v>y/y%</v>
      </c>
      <c r="G119">
        <v>107</v>
      </c>
      <c r="I119" t="str">
        <v>hm14</v>
      </c>
      <c r="J119" t="str">
        <v>Annual CPI growth - 5 years out</v>
      </c>
      <c r="K119" t="str">
        <v>Annual CPI growth</v>
      </c>
      <c r="L119" t="str">
        <v>%</v>
      </c>
      <c r="M119">
        <v>307</v>
      </c>
      <c r="N119" t="str">
        <v>hm14Annual CPI growth - 5 years outAnnual CPI growth%</v>
      </c>
    </row>
    <row r="120" spans="1:14" x14ac:dyDescent="0.3">
      <c r="A120" t="str">
        <v>hm1</v>
      </c>
      <c r="B120" t="str">
        <v>NA</v>
      </c>
      <c r="C120" t="str">
        <v>Producers price index (PPI) inputs</v>
      </c>
      <c r="D120">
        <v>1</v>
      </c>
      <c r="E120" t="str">
        <v>NA</v>
      </c>
      <c r="F120" t="str">
        <v>Index</v>
      </c>
      <c r="G120">
        <v>105</v>
      </c>
      <c r="I120" t="str">
        <v>hm14</v>
      </c>
      <c r="J120" t="str">
        <v>Annual GDP growth - 1 year out</v>
      </c>
      <c r="K120" t="str">
        <v>Annual GDP growth</v>
      </c>
      <c r="L120" t="str">
        <v>%</v>
      </c>
      <c r="M120">
        <v>315</v>
      </c>
      <c r="N120" t="str">
        <v>hm14Annual GDP growth - 1 year outAnnual GDP growth%</v>
      </c>
    </row>
    <row r="121" spans="1:14" x14ac:dyDescent="0.3">
      <c r="A121" t="str">
        <v>hm1</v>
      </c>
      <c r="B121" t="str">
        <v>NA</v>
      </c>
      <c r="C121" t="str">
        <v>Producers price index (PPI) outputs</v>
      </c>
      <c r="D121">
        <v>1</v>
      </c>
      <c r="E121" t="str">
        <v>%</v>
      </c>
      <c r="F121" t="str">
        <v>q/q%</v>
      </c>
      <c r="G121">
        <v>109</v>
      </c>
      <c r="I121" t="str">
        <v>hm14</v>
      </c>
      <c r="J121" t="str">
        <v>Annual GDP growth - 2 years out</v>
      </c>
      <c r="K121" t="str">
        <v>Annual GDP growth</v>
      </c>
      <c r="L121" t="str">
        <v>%</v>
      </c>
      <c r="M121">
        <v>316</v>
      </c>
      <c r="N121" t="str">
        <v>hm14Annual GDP growth - 2 years outAnnual GDP growth%</v>
      </c>
    </row>
    <row r="122" spans="1:14" x14ac:dyDescent="0.3">
      <c r="A122" t="str">
        <v>hm1</v>
      </c>
      <c r="B122" t="str">
        <v>NA</v>
      </c>
      <c r="C122" t="str">
        <v>Producers price index (PPI) outputs</v>
      </c>
      <c r="D122">
        <v>1</v>
      </c>
      <c r="E122" t="str">
        <v>%</v>
      </c>
      <c r="F122" t="str">
        <v>y/y%</v>
      </c>
      <c r="G122">
        <v>110</v>
      </c>
      <c r="I122" t="str">
        <v>hm14</v>
      </c>
      <c r="J122" t="str">
        <v>Annual hourly wage growth - 1 year out</v>
      </c>
      <c r="K122" t="str">
        <v>Annual hourly wage growth</v>
      </c>
      <c r="L122" t="str">
        <v>%</v>
      </c>
      <c r="M122">
        <v>317</v>
      </c>
      <c r="N122" t="str">
        <v>hm14Annual hourly wage growth - 1 year outAnnual hourly wage growth%</v>
      </c>
    </row>
    <row r="123" spans="1:14" x14ac:dyDescent="0.3">
      <c r="A123" t="str">
        <v>hm1</v>
      </c>
      <c r="B123" t="str">
        <v>NA</v>
      </c>
      <c r="C123" t="str">
        <v>Producers price index (PPI) outputs</v>
      </c>
      <c r="D123">
        <v>1</v>
      </c>
      <c r="E123" t="str">
        <v>NA</v>
      </c>
      <c r="F123" t="str">
        <v>Index</v>
      </c>
      <c r="G123">
        <v>108</v>
      </c>
      <c r="I123" t="str">
        <v>hm14</v>
      </c>
      <c r="J123" t="str">
        <v>Annual hourly wage growth - 2 years out</v>
      </c>
      <c r="K123" t="str">
        <v>Annual hourly wage growth</v>
      </c>
      <c r="L123" t="str">
        <v>%</v>
      </c>
      <c r="M123">
        <v>318</v>
      </c>
      <c r="N123" t="str">
        <v>hm14Annual hourly wage growth - 2 years outAnnual hourly wage growth%</v>
      </c>
    </row>
    <row r="124" spans="1:14" x14ac:dyDescent="0.3">
      <c r="A124" t="str">
        <v>hm1</v>
      </c>
      <c r="B124" t="str">
        <v>NA</v>
      </c>
      <c r="C124" t="str">
        <v>PropertyIQ House price index (HPI)</v>
      </c>
      <c r="D124">
        <v>1</v>
      </c>
      <c r="E124" t="str">
        <v>%</v>
      </c>
      <c r="F124" t="str">
        <v>q/q%</v>
      </c>
      <c r="G124">
        <v>100</v>
      </c>
      <c r="I124" t="str">
        <v>hm14</v>
      </c>
      <c r="J124" t="str">
        <v>Australian dollar exchange rate - 1 year out</v>
      </c>
      <c r="K124" t="str">
        <v>Australian dollar exchange rate</v>
      </c>
      <c r="L124" t="str">
        <v>NZD/AUD</v>
      </c>
      <c r="M124">
        <v>324</v>
      </c>
      <c r="N124" t="str">
        <v>hm14Australian dollar exchange rate - 1 year outAustralian dollar exchange rateNZD/AUD</v>
      </c>
    </row>
    <row r="125" spans="1:14" x14ac:dyDescent="0.3">
      <c r="A125" t="str">
        <v>hm1</v>
      </c>
      <c r="B125" t="str">
        <v>NA</v>
      </c>
      <c r="C125" t="str">
        <v>PropertyIQ House price index (HPI)</v>
      </c>
      <c r="D125">
        <v>1</v>
      </c>
      <c r="E125" t="str">
        <v>%</v>
      </c>
      <c r="F125" t="str">
        <v>y/y%</v>
      </c>
      <c r="G125">
        <v>101</v>
      </c>
      <c r="I125" t="str">
        <v>hm14</v>
      </c>
      <c r="J125" t="str">
        <v>Australian dollar exchange rate - Next quarter</v>
      </c>
      <c r="K125" t="str">
        <v>Australian dollar exchange rate</v>
      </c>
      <c r="L125" t="str">
        <v>NZD/AUD</v>
      </c>
      <c r="M125">
        <v>323</v>
      </c>
      <c r="N125" t="str">
        <v>hm14Australian dollar exchange rate - Next quarterAustralian dollar exchange rateNZD/AUD</v>
      </c>
    </row>
    <row r="126" spans="1:14" x14ac:dyDescent="0.3">
      <c r="A126" t="str">
        <v>hm1</v>
      </c>
      <c r="B126" t="str">
        <v>NA</v>
      </c>
      <c r="C126" t="str">
        <v>PropertyIQ House price index (HPI)</v>
      </c>
      <c r="D126">
        <v>1</v>
      </c>
      <c r="E126" t="str">
        <v>Index</v>
      </c>
      <c r="F126" t="str">
        <v>Index</v>
      </c>
      <c r="G126">
        <v>99</v>
      </c>
      <c r="I126" t="str">
        <v>hm14</v>
      </c>
      <c r="J126" t="str">
        <v>House price index - 1 year out</v>
      </c>
      <c r="K126" t="str">
        <v>House price index</v>
      </c>
      <c r="L126" t="str">
        <v>%</v>
      </c>
      <c r="M126">
        <v>325</v>
      </c>
      <c r="N126" t="str">
        <v>hm14House price index - 1 year outHouse price index%</v>
      </c>
    </row>
    <row r="127" spans="1:14" x14ac:dyDescent="0.3">
      <c r="A127" t="str">
        <v>hm1</v>
      </c>
      <c r="B127" t="str">
        <v>NA</v>
      </c>
      <c r="C127" t="str">
        <v>Sectoral factor model</v>
      </c>
      <c r="D127">
        <v>1</v>
      </c>
      <c r="E127" t="str">
        <v>%</v>
      </c>
      <c r="F127" t="str">
        <v>y/y%</v>
      </c>
      <c r="G127">
        <v>96</v>
      </c>
      <c r="I127" t="str">
        <v>hm14</v>
      </c>
      <c r="J127" t="str">
        <v>House price index - 2 years out</v>
      </c>
      <c r="K127" t="str">
        <v>House price index</v>
      </c>
      <c r="L127" t="str">
        <v>%</v>
      </c>
      <c r="M127">
        <v>326</v>
      </c>
      <c r="N127" t="str">
        <v>hm14House price index - 2 years outHouse price index%</v>
      </c>
    </row>
    <row r="128" spans="1:14" x14ac:dyDescent="0.3">
      <c r="A128" t="str">
        <v>hm1</v>
      </c>
      <c r="B128" t="str">
        <v>NA</v>
      </c>
      <c r="C128" t="str">
        <v>Sectoral factor model - non-tradable core</v>
      </c>
      <c r="D128">
        <v>1</v>
      </c>
      <c r="E128" t="str">
        <v>NA</v>
      </c>
      <c r="F128" t="str">
        <v>y/y%</v>
      </c>
      <c r="G128">
        <v>98</v>
      </c>
      <c r="I128" t="str">
        <v>hm14</v>
      </c>
      <c r="J128" t="str">
        <v>Official Cash Rate (OCR) - 1 year out</v>
      </c>
      <c r="K128" t="str">
        <v>Official Cash Rate (OCR)</v>
      </c>
      <c r="L128" t="str">
        <v>%</v>
      </c>
      <c r="M128">
        <v>310</v>
      </c>
      <c r="N128" t="str">
        <v>hm14Official Cash Rate (OCR) - 1 year outOfficial Cash Rate (OCR)%</v>
      </c>
    </row>
    <row r="129" spans="1:14" x14ac:dyDescent="0.3">
      <c r="A129" t="str">
        <v>hm1</v>
      </c>
      <c r="B129" t="str">
        <v>NA</v>
      </c>
      <c r="C129" t="str">
        <v>Sectoral factor model - tradable core</v>
      </c>
      <c r="D129">
        <v>1</v>
      </c>
      <c r="E129" t="str">
        <v>NA</v>
      </c>
      <c r="F129" t="str">
        <v>y/y%</v>
      </c>
      <c r="G129">
        <v>97</v>
      </c>
      <c r="I129" t="str">
        <v>hm14</v>
      </c>
      <c r="J129" t="str">
        <v>Official Cash Rate (OCR) - 10 year average</v>
      </c>
      <c r="K129" t="str">
        <v>Official Cash Rate (OCR)</v>
      </c>
      <c r="L129" t="str">
        <v>%</v>
      </c>
      <c r="M129">
        <v>312</v>
      </c>
      <c r="N129" t="str">
        <v>hm14Official Cash Rate (OCR) - 10 year averageOfficial Cash Rate (OCR)%</v>
      </c>
    </row>
    <row r="130" spans="1:14" x14ac:dyDescent="0.3">
      <c r="A130" t="str">
        <v>hm1</v>
      </c>
      <c r="B130" t="str">
        <v>NA</v>
      </c>
      <c r="C130" t="str">
        <v>Tradable inflation</v>
      </c>
      <c r="D130">
        <v>1</v>
      </c>
      <c r="E130" t="str">
        <v>%</v>
      </c>
      <c r="F130" t="str">
        <v>q/q%</v>
      </c>
      <c r="G130">
        <v>71</v>
      </c>
      <c r="I130" t="str">
        <v>hm14</v>
      </c>
      <c r="J130" t="str">
        <v>Official Cash Rate (OCR) - 10 years out</v>
      </c>
      <c r="K130" t="str">
        <v>Official Cash Rate (OCR)</v>
      </c>
      <c r="L130" t="str">
        <v>%</v>
      </c>
      <c r="M130">
        <v>311</v>
      </c>
      <c r="N130" t="str">
        <v>hm14Official Cash Rate (OCR) - 10 years outOfficial Cash Rate (OCR)%</v>
      </c>
    </row>
    <row r="131" spans="1:14" x14ac:dyDescent="0.3">
      <c r="A131" t="str">
        <v>hm1</v>
      </c>
      <c r="B131" t="str">
        <v>NA</v>
      </c>
      <c r="C131" t="str">
        <v>Tradable inflation</v>
      </c>
      <c r="D131">
        <v>1</v>
      </c>
      <c r="E131" t="str">
        <v>%</v>
      </c>
      <c r="F131" t="str">
        <v>y/y%</v>
      </c>
      <c r="G131">
        <v>72</v>
      </c>
      <c r="I131" t="str">
        <v>hm14</v>
      </c>
      <c r="J131" t="str">
        <v>Official Cash Rate (OCR) - End of current quarter</v>
      </c>
      <c r="K131" t="str">
        <v>Official Cash Rate (OCR)</v>
      </c>
      <c r="L131" t="str">
        <v>%</v>
      </c>
      <c r="M131">
        <v>309</v>
      </c>
      <c r="N131" t="str">
        <v>hm14Official Cash Rate (OCR) - End of current quarterOfficial Cash Rate (OCR)%</v>
      </c>
    </row>
    <row r="132" spans="1:14" x14ac:dyDescent="0.3">
      <c r="A132" t="str">
        <v>hm1</v>
      </c>
      <c r="B132" t="str">
        <v>NA</v>
      </c>
      <c r="C132" t="str">
        <v>Tradable inflation</v>
      </c>
      <c r="D132">
        <v>1</v>
      </c>
      <c r="E132" t="str">
        <v>Index</v>
      </c>
      <c r="F132" t="str">
        <v>Index</v>
      </c>
      <c r="G132">
        <v>70</v>
      </c>
      <c r="I132" t="str">
        <v>hm14</v>
      </c>
      <c r="J132" t="str">
        <v>Perception of monetary conditions (net) - 1 year out</v>
      </c>
      <c r="K132" t="str">
        <v>Perception of monetary conditions (net)</v>
      </c>
      <c r="L132" t="str">
        <v>Total %</v>
      </c>
      <c r="M132">
        <v>304</v>
      </c>
      <c r="N132" t="str">
        <v>hm14Perception of monetary conditions (net) - 1 year outPerception of monetary conditions (net)Total %</v>
      </c>
    </row>
    <row r="133" spans="1:14" x14ac:dyDescent="0.3">
      <c r="A133" t="str">
        <v>hm1</v>
      </c>
      <c r="B133" t="str">
        <v>NA</v>
      </c>
      <c r="C133" t="str">
        <v>Transportation</v>
      </c>
      <c r="D133">
        <v>1</v>
      </c>
      <c r="E133" t="str">
        <v>%</v>
      </c>
      <c r="F133" t="str">
        <v>q/q%</v>
      </c>
      <c r="G133">
        <v>83</v>
      </c>
      <c r="I133" t="str">
        <v>hm14</v>
      </c>
      <c r="J133" t="str">
        <v>Perception of monetary conditions (net) - End of current quarter</v>
      </c>
      <c r="K133" t="str">
        <v>Perception of monetary conditions (net)</v>
      </c>
      <c r="L133" t="str">
        <v>Total %</v>
      </c>
      <c r="M133">
        <v>302</v>
      </c>
      <c r="N133" t="str">
        <v>hm14Perception of monetary conditions (net) - End of current quarterPerception of monetary conditions (net)Total %</v>
      </c>
    </row>
    <row r="134" spans="1:14" x14ac:dyDescent="0.3">
      <c r="A134" t="str">
        <v>hm1</v>
      </c>
      <c r="B134" t="str">
        <v>NA</v>
      </c>
      <c r="C134" t="str">
        <v>Transportation</v>
      </c>
      <c r="D134">
        <v>1</v>
      </c>
      <c r="E134" t="str">
        <v>%</v>
      </c>
      <c r="F134" t="str">
        <v>y/y%</v>
      </c>
      <c r="G134">
        <v>84</v>
      </c>
      <c r="I134" t="str">
        <v>hm14</v>
      </c>
      <c r="J134" t="str">
        <v>Perception of monetary conditions (net) - Next quarter</v>
      </c>
      <c r="K134" t="str">
        <v>Perception of monetary conditions (net)</v>
      </c>
      <c r="L134" t="str">
        <v>Total %</v>
      </c>
      <c r="M134">
        <v>303</v>
      </c>
      <c r="N134" t="str">
        <v>hm14Perception of monetary conditions (net) - Next quarterPerception of monetary conditions (net)Total %</v>
      </c>
    </row>
    <row r="135" spans="1:14" x14ac:dyDescent="0.3">
      <c r="A135" t="str">
        <v>hm1</v>
      </c>
      <c r="B135" t="str">
        <v>NA</v>
      </c>
      <c r="C135" t="str">
        <v>Transportation</v>
      </c>
      <c r="D135">
        <v>1</v>
      </c>
      <c r="E135" t="str">
        <v>Index</v>
      </c>
      <c r="F135" t="str">
        <v>Index</v>
      </c>
      <c r="G135">
        <v>82</v>
      </c>
      <c r="I135" t="str">
        <v>hm14</v>
      </c>
      <c r="J135" t="str">
        <v>Unemployment rate - 1 year out</v>
      </c>
      <c r="K135" t="str">
        <v>Unemployment rate</v>
      </c>
      <c r="L135" t="str">
        <v>Total %</v>
      </c>
      <c r="M135">
        <v>319</v>
      </c>
      <c r="N135" t="str">
        <v>hm14Unemployment rate - 1 year outUnemployment rateTotal %</v>
      </c>
    </row>
    <row r="136" spans="1:14" x14ac:dyDescent="0.3">
      <c r="A136" t="str">
        <v>hm1</v>
      </c>
      <c r="B136" t="str">
        <v>NA</v>
      </c>
      <c r="C136" t="str">
        <v>Trimmed mean</v>
      </c>
      <c r="D136">
        <v>1</v>
      </c>
      <c r="E136" t="str">
        <v>%</v>
      </c>
      <c r="F136" t="str">
        <v>q/q%</v>
      </c>
      <c r="G136">
        <v>91</v>
      </c>
      <c r="I136" t="str">
        <v>hm14</v>
      </c>
      <c r="J136" t="str">
        <v>Unemployment rate - 2 years out</v>
      </c>
      <c r="K136" t="str">
        <v>Unemployment rate</v>
      </c>
      <c r="L136" t="str">
        <v>Total %</v>
      </c>
      <c r="M136">
        <v>320</v>
      </c>
      <c r="N136" t="str">
        <v>hm14Unemployment rate - 2 years outUnemployment rateTotal %</v>
      </c>
    </row>
    <row r="137" spans="1:14" x14ac:dyDescent="0.3">
      <c r="A137" t="str">
        <v>hm1</v>
      </c>
      <c r="B137" t="str">
        <v>NA</v>
      </c>
      <c r="C137" t="str">
        <v>Trimmed mean</v>
      </c>
      <c r="D137">
        <v>1</v>
      </c>
      <c r="E137" t="str">
        <v>%</v>
      </c>
      <c r="F137" t="str">
        <v>y/y%</v>
      </c>
      <c r="G137">
        <v>92</v>
      </c>
      <c r="I137" t="str">
        <v>hm14</v>
      </c>
      <c r="J137" t="str">
        <v>US dollar exchange rate - 1 year out</v>
      </c>
      <c r="K137" t="str">
        <v>US dollar exchange rate</v>
      </c>
      <c r="L137" t="str">
        <v>NZD/USD</v>
      </c>
      <c r="M137">
        <v>322</v>
      </c>
      <c r="N137" t="str">
        <v>hm14US dollar exchange rate - 1 year outUS dollar exchange rateNZD/USD</v>
      </c>
    </row>
    <row r="138" spans="1:14" x14ac:dyDescent="0.3">
      <c r="A138" t="str">
        <v>hm1</v>
      </c>
      <c r="B138" t="str">
        <v>NA</v>
      </c>
      <c r="C138" t="str">
        <v>Weighted median</v>
      </c>
      <c r="D138">
        <v>1</v>
      </c>
      <c r="E138" t="str">
        <v>%</v>
      </c>
      <c r="F138" t="str">
        <v>q/q%</v>
      </c>
      <c r="G138">
        <v>93</v>
      </c>
      <c r="I138" t="str">
        <v>hm14</v>
      </c>
      <c r="J138" t="str">
        <v>US dollar exchange rate - Next quarter</v>
      </c>
      <c r="K138" t="str">
        <v>US dollar exchange rate</v>
      </c>
      <c r="L138" t="str">
        <v>NZD/USD</v>
      </c>
      <c r="M138">
        <v>321</v>
      </c>
      <c r="N138" t="str">
        <v>hm14US dollar exchange rate - Next quarterUS dollar exchange rateNZD/USD</v>
      </c>
    </row>
    <row r="139" spans="1:14" x14ac:dyDescent="0.3">
      <c r="A139" t="str">
        <v>hm1</v>
      </c>
      <c r="B139" t="str">
        <v>NA</v>
      </c>
      <c r="C139" t="str">
        <v>Weighted median</v>
      </c>
      <c r="D139">
        <v>1</v>
      </c>
      <c r="E139" t="str">
        <v>%</v>
      </c>
      <c r="F139" t="str">
        <v>y/y%</v>
      </c>
      <c r="G139">
        <v>94</v>
      </c>
      <c r="I139" t="str">
        <v>hm2</v>
      </c>
      <c r="J139" t="str">
        <v>NA</v>
      </c>
      <c r="K139" t="str">
        <v>General government consumption expenditure (GDP) %(r)</v>
      </c>
      <c r="L139" t="str">
        <v>%</v>
      </c>
      <c r="M139">
        <v>126</v>
      </c>
      <c r="N139" t="str">
        <v>hm2NAGeneral government consumption expenditure (GDP) %(r)%</v>
      </c>
    </row>
    <row r="140" spans="1:14" x14ac:dyDescent="0.3">
      <c r="A140" t="str">
        <v>hm10</v>
      </c>
      <c r="B140" t="str">
        <v>NA</v>
      </c>
      <c r="C140" t="str">
        <v>House price index (HPI)</v>
      </c>
      <c r="D140">
        <v>1</v>
      </c>
      <c r="E140" t="str">
        <v>Index</v>
      </c>
      <c r="F140" t="str">
        <v>Index</v>
      </c>
      <c r="G140">
        <v>299</v>
      </c>
      <c r="I140" t="str">
        <v>hm2</v>
      </c>
      <c r="J140" t="str">
        <v>NA</v>
      </c>
      <c r="K140" t="str">
        <v>General government consumption expenditure (GDP) %(r) s.a.</v>
      </c>
      <c r="L140" t="str">
        <v>%</v>
      </c>
      <c r="M140">
        <v>125</v>
      </c>
      <c r="N140" t="str">
        <v>hm2NAGeneral government consumption expenditure (GDP) %(r) s.a.%</v>
      </c>
    </row>
    <row r="141" spans="1:14" x14ac:dyDescent="0.3">
      <c r="A141" t="str">
        <v>hm10</v>
      </c>
      <c r="B141" t="str">
        <v>NA</v>
      </c>
      <c r="C141" t="str">
        <v>House sales</v>
      </c>
      <c r="D141">
        <v>1</v>
      </c>
      <c r="E141" t="str">
        <v>no</v>
      </c>
      <c r="F141" t="str">
        <v>no</v>
      </c>
      <c r="G141">
        <v>298</v>
      </c>
      <c r="I141" t="str">
        <v>hm2</v>
      </c>
      <c r="J141" t="str">
        <v>NA</v>
      </c>
      <c r="K141" t="str">
        <v>General government consumption expenditure (GDP) NZDm(r)</v>
      </c>
      <c r="L141" t="str">
        <v>NZDm</v>
      </c>
      <c r="M141">
        <v>123</v>
      </c>
      <c r="N141" t="str">
        <v>hm2NAGeneral government consumption expenditure (GDP) NZDm(r)NZDm</v>
      </c>
    </row>
    <row r="142" spans="1:14" x14ac:dyDescent="0.3">
      <c r="A142" t="str">
        <v>hm10</v>
      </c>
      <c r="B142" t="str">
        <v>NA</v>
      </c>
      <c r="C142" t="str">
        <v>Residential investment (GDP)</v>
      </c>
      <c r="D142">
        <v>1</v>
      </c>
      <c r="E142" t="str">
        <v>NZDm(r)</v>
      </c>
      <c r="F142" t="str">
        <v>NZDm (r.)</v>
      </c>
      <c r="G142">
        <v>301</v>
      </c>
      <c r="I142" t="str">
        <v>hm2</v>
      </c>
      <c r="J142" t="str">
        <v>NA</v>
      </c>
      <c r="K142" t="str">
        <v>General government consumption expenditure (GDP) NZDm(r) s.a.</v>
      </c>
      <c r="L142" t="str">
        <v>NZDm</v>
      </c>
      <c r="M142">
        <v>124</v>
      </c>
      <c r="N142" t="str">
        <v>hm2NAGeneral government consumption expenditure (GDP) NZDm(r) s.a.NZDm</v>
      </c>
    </row>
    <row r="143" spans="1:14" x14ac:dyDescent="0.3">
      <c r="A143" t="str">
        <v>hm10</v>
      </c>
      <c r="B143" t="str">
        <v>NA</v>
      </c>
      <c r="C143" t="str">
        <v>Total value of housing stock</v>
      </c>
      <c r="D143">
        <v>1</v>
      </c>
      <c r="E143" t="str">
        <v>NZDm</v>
      </c>
      <c r="F143" t="str">
        <v>NZDm</v>
      </c>
      <c r="G143">
        <v>300</v>
      </c>
      <c r="I143" t="str">
        <v>hm2</v>
      </c>
      <c r="J143" t="str">
        <v>NA</v>
      </c>
      <c r="K143" t="str">
        <v>Private consumption expenditure (GDP) %(r)</v>
      </c>
      <c r="L143" t="str">
        <v>%</v>
      </c>
      <c r="M143">
        <v>122</v>
      </c>
      <c r="N143" t="str">
        <v>hm2NAPrivate consumption expenditure (GDP) %(r)%</v>
      </c>
    </row>
    <row r="144" spans="1:14" x14ac:dyDescent="0.3">
      <c r="A144" t="str">
        <v>hm14</v>
      </c>
      <c r="B144" t="str">
        <v>10 year government bond yields - 1 year out</v>
      </c>
      <c r="C144" t="str">
        <v>10 year government bond yields</v>
      </c>
      <c r="D144">
        <v>1</v>
      </c>
      <c r="E144" t="str">
        <v>%pa</v>
      </c>
      <c r="F144" t="str">
        <v>%</v>
      </c>
      <c r="G144">
        <v>314</v>
      </c>
      <c r="I144" t="str">
        <v>hm2</v>
      </c>
      <c r="J144" t="str">
        <v>NA</v>
      </c>
      <c r="K144" t="str">
        <v>Private consumption expenditure (GDP) %(r) s.a.</v>
      </c>
      <c r="L144" t="str">
        <v>%</v>
      </c>
      <c r="M144">
        <v>121</v>
      </c>
      <c r="N144" t="str">
        <v>hm2NAPrivate consumption expenditure (GDP) %(r) s.a.%</v>
      </c>
    </row>
    <row r="145" spans="1:14" x14ac:dyDescent="0.3">
      <c r="A145" t="str">
        <v>hm14</v>
      </c>
      <c r="B145" t="str">
        <v>10 year government bond yields - End of current quarter</v>
      </c>
      <c r="C145" t="str">
        <v>10 year government bond yields</v>
      </c>
      <c r="D145">
        <v>1</v>
      </c>
      <c r="E145" t="str">
        <v>%pa</v>
      </c>
      <c r="F145" t="str">
        <v>%</v>
      </c>
      <c r="G145">
        <v>313</v>
      </c>
      <c r="I145" t="str">
        <v>hm2</v>
      </c>
      <c r="J145" t="str">
        <v>NA</v>
      </c>
      <c r="K145" t="str">
        <v>Private consumption expenditure (GDP) NZDm(r)</v>
      </c>
      <c r="L145" t="str">
        <v>NZDm</v>
      </c>
      <c r="M145">
        <v>119</v>
      </c>
      <c r="N145" t="str">
        <v>hm2NAPrivate consumption expenditure (GDP) NZDm(r)NZDm</v>
      </c>
    </row>
    <row r="146" spans="1:14" x14ac:dyDescent="0.3">
      <c r="A146" t="str">
        <v>hm14</v>
      </c>
      <c r="B146" t="str">
        <v>Annual CPI growth - 1 year out</v>
      </c>
      <c r="C146" t="str">
        <v>Annual CPI growth</v>
      </c>
      <c r="D146">
        <v>1</v>
      </c>
      <c r="E146" t="str">
        <v>%</v>
      </c>
      <c r="F146" t="str">
        <v>%</v>
      </c>
      <c r="G146">
        <v>305</v>
      </c>
      <c r="I146" t="str">
        <v>hm2</v>
      </c>
      <c r="J146" t="str">
        <v>NA</v>
      </c>
      <c r="K146" t="str">
        <v>Private consumption expenditure (GDP) NZDm(r) s.a.</v>
      </c>
      <c r="L146" t="str">
        <v>NZDm</v>
      </c>
      <c r="M146">
        <v>120</v>
      </c>
      <c r="N146" t="str">
        <v>hm2NAPrivate consumption expenditure (GDP) NZDm(r) s.a.NZDm</v>
      </c>
    </row>
    <row r="147" spans="1:14" x14ac:dyDescent="0.3">
      <c r="A147" t="str">
        <v>hm14</v>
      </c>
      <c r="B147" t="str">
        <v>Annual CPI growth - 10 years out</v>
      </c>
      <c r="C147" t="str">
        <v>Annual CPI growth</v>
      </c>
      <c r="D147">
        <v>1</v>
      </c>
      <c r="E147" t="str">
        <v>%</v>
      </c>
      <c r="F147" t="str">
        <v>%</v>
      </c>
      <c r="G147">
        <v>308</v>
      </c>
      <c r="I147" t="str">
        <v>hm2</v>
      </c>
      <c r="J147" t="str">
        <v>NA</v>
      </c>
      <c r="K147" t="str">
        <v>Retail trade %</v>
      </c>
      <c r="L147" t="str">
        <v>%</v>
      </c>
      <c r="M147">
        <v>114</v>
      </c>
      <c r="N147" t="str">
        <v>hm2NARetail trade %%</v>
      </c>
    </row>
    <row r="148" spans="1:14" x14ac:dyDescent="0.3">
      <c r="A148" t="str">
        <v>hm14</v>
      </c>
      <c r="B148" t="str">
        <v>Annual CPI growth - 2 years out</v>
      </c>
      <c r="C148" t="str">
        <v>Annual CPI growth</v>
      </c>
      <c r="D148">
        <v>1</v>
      </c>
      <c r="E148" t="str">
        <v>%</v>
      </c>
      <c r="F148" t="str">
        <v>%</v>
      </c>
      <c r="G148">
        <v>306</v>
      </c>
      <c r="I148" t="str">
        <v>hm2</v>
      </c>
      <c r="J148" t="str">
        <v>NA</v>
      </c>
      <c r="K148" t="str">
        <v>Retail trade % s.a.</v>
      </c>
      <c r="L148" t="str">
        <v>%</v>
      </c>
      <c r="M148">
        <v>113</v>
      </c>
      <c r="N148" t="str">
        <v>hm2NARetail trade % s.a.%</v>
      </c>
    </row>
    <row r="149" spans="1:14" x14ac:dyDescent="0.3">
      <c r="A149" t="str">
        <v>hm14</v>
      </c>
      <c r="B149" t="str">
        <v>Annual CPI growth - 5 years out</v>
      </c>
      <c r="C149" t="str">
        <v>Annual CPI growth</v>
      </c>
      <c r="D149">
        <v>1</v>
      </c>
      <c r="E149" t="str">
        <v>%</v>
      </c>
      <c r="F149" t="str">
        <v>%</v>
      </c>
      <c r="G149">
        <v>307</v>
      </c>
      <c r="I149" t="str">
        <v>hm2</v>
      </c>
      <c r="J149" t="str">
        <v>NA</v>
      </c>
      <c r="K149" t="str">
        <v>Retail trade %(r)</v>
      </c>
      <c r="L149" t="str">
        <v>%</v>
      </c>
      <c r="M149">
        <v>118</v>
      </c>
      <c r="N149" t="str">
        <v>hm2NARetail trade %(r)%</v>
      </c>
    </row>
    <row r="150" spans="1:14" x14ac:dyDescent="0.3">
      <c r="A150" t="str">
        <v>hm14</v>
      </c>
      <c r="B150" t="str">
        <v>Annual GDP growth - 1 year out</v>
      </c>
      <c r="C150" t="str">
        <v>Annual GDP growth</v>
      </c>
      <c r="D150">
        <v>1</v>
      </c>
      <c r="E150" t="str">
        <v>%</v>
      </c>
      <c r="F150" t="str">
        <v>%</v>
      </c>
      <c r="G150">
        <v>315</v>
      </c>
      <c r="I150" t="str">
        <v>hm2</v>
      </c>
      <c r="J150" t="str">
        <v>NA</v>
      </c>
      <c r="K150" t="str">
        <v>Retail trade sales NZDm</v>
      </c>
      <c r="L150" t="str">
        <v>NZDm</v>
      </c>
      <c r="M150">
        <v>111</v>
      </c>
      <c r="N150" t="str">
        <v>hm2NARetail trade sales NZDmNZDm</v>
      </c>
    </row>
    <row r="151" spans="1:14" x14ac:dyDescent="0.3">
      <c r="A151" t="str">
        <v>hm14</v>
      </c>
      <c r="B151" t="str">
        <v>Annual GDP growth - 2 years out</v>
      </c>
      <c r="C151" t="str">
        <v>Annual GDP growth</v>
      </c>
      <c r="D151">
        <v>1</v>
      </c>
      <c r="E151" t="str">
        <v>%</v>
      </c>
      <c r="F151" t="str">
        <v>%</v>
      </c>
      <c r="G151">
        <v>316</v>
      </c>
      <c r="I151" t="str">
        <v>hm2</v>
      </c>
      <c r="J151" t="str">
        <v>NA</v>
      </c>
      <c r="K151" t="str">
        <v>Retail trade sales NZDm s.a.</v>
      </c>
      <c r="L151" t="str">
        <v>NZDm</v>
      </c>
      <c r="M151">
        <v>112</v>
      </c>
      <c r="N151" t="str">
        <v>hm2NARetail trade sales NZDm s.a.NZDm</v>
      </c>
    </row>
    <row r="152" spans="1:14" x14ac:dyDescent="0.3">
      <c r="A152" t="str">
        <v>hm14</v>
      </c>
      <c r="B152" t="str">
        <v>Annual hourly wage growth - 1 year out</v>
      </c>
      <c r="C152" t="str">
        <v>Annual hourly wage growth</v>
      </c>
      <c r="D152">
        <v>1</v>
      </c>
      <c r="E152" t="str">
        <v>%</v>
      </c>
      <c r="F152" t="str">
        <v>%</v>
      </c>
      <c r="G152">
        <v>317</v>
      </c>
      <c r="I152" t="str">
        <v>hm2</v>
      </c>
      <c r="J152" t="str">
        <v>NA</v>
      </c>
      <c r="K152" t="str">
        <v>Retail trade volumes %(r) s.a.</v>
      </c>
      <c r="L152" t="str">
        <v>%</v>
      </c>
      <c r="M152">
        <v>117</v>
      </c>
      <c r="N152" t="str">
        <v>hm2NARetail trade volumes %(r) s.a.%</v>
      </c>
    </row>
    <row r="153" spans="1:14" x14ac:dyDescent="0.3">
      <c r="A153" t="str">
        <v>hm14</v>
      </c>
      <c r="B153" t="str">
        <v>Annual hourly wage growth - 2 years out</v>
      </c>
      <c r="C153" t="str">
        <v>Annual hourly wage growth</v>
      </c>
      <c r="D153">
        <v>1</v>
      </c>
      <c r="E153" t="str">
        <v>%</v>
      </c>
      <c r="F153" t="str">
        <v>%</v>
      </c>
      <c r="G153">
        <v>318</v>
      </c>
      <c r="I153" t="str">
        <v>hm2</v>
      </c>
      <c r="J153" t="str">
        <v>NA</v>
      </c>
      <c r="K153" t="str">
        <v>Retail trade volumes NZDm(r)</v>
      </c>
      <c r="L153" t="str">
        <v>NZDm</v>
      </c>
      <c r="M153">
        <v>115</v>
      </c>
      <c r="N153" t="str">
        <v>hm2NARetail trade volumes NZDm(r)NZDm</v>
      </c>
    </row>
    <row r="154" spans="1:14" x14ac:dyDescent="0.3">
      <c r="A154" t="str">
        <v>hm14</v>
      </c>
      <c r="B154" t="str">
        <v>Australian dollar exchange rate - 1 year out</v>
      </c>
      <c r="C154" t="str">
        <v>Australian dollar exchange rate</v>
      </c>
      <c r="D154">
        <v>1</v>
      </c>
      <c r="E154" t="str">
        <v>NZD/AUD</v>
      </c>
      <c r="F154" t="str">
        <v>NZD/AUD</v>
      </c>
      <c r="G154">
        <v>324</v>
      </c>
      <c r="I154" t="str">
        <v>hm2</v>
      </c>
      <c r="J154" t="str">
        <v>NA</v>
      </c>
      <c r="K154" t="str">
        <v>Retail trade volumes NZDm(r) s.a.</v>
      </c>
      <c r="L154" t="str">
        <v>NZDm</v>
      </c>
      <c r="M154">
        <v>116</v>
      </c>
      <c r="N154" t="str">
        <v>hm2NARetail trade volumes NZDm(r) s.a.NZDm</v>
      </c>
    </row>
    <row r="155" spans="1:14" x14ac:dyDescent="0.3">
      <c r="A155" t="str">
        <v>hm14</v>
      </c>
      <c r="B155" t="str">
        <v>Australian dollar exchange rate - Next quarter</v>
      </c>
      <c r="C155" t="str">
        <v>Australian dollar exchange rate</v>
      </c>
      <c r="D155">
        <v>1</v>
      </c>
      <c r="E155" t="str">
        <v>NZD/AUD</v>
      </c>
      <c r="F155" t="str">
        <v>NZD/AUD</v>
      </c>
      <c r="G155">
        <v>323</v>
      </c>
      <c r="I155" t="str">
        <v>hm3</v>
      </c>
      <c r="J155" t="str">
        <v>Change in inventories</v>
      </c>
      <c r="K155" t="str">
        <v>Change in inventories (GDP) (Real $m s.a.)</v>
      </c>
      <c r="L155" t="str">
        <v>Real $m</v>
      </c>
      <c r="M155">
        <v>138</v>
      </c>
      <c r="N155" t="str">
        <v>hm3Change in inventoriesChange in inventories (GDP) (Real $m s.a.)Real $m</v>
      </c>
    </row>
    <row r="156" spans="1:14" x14ac:dyDescent="0.3">
      <c r="A156" t="str">
        <v>hm14</v>
      </c>
      <c r="B156" t="str">
        <v>House price index - 1 year out</v>
      </c>
      <c r="C156" t="str">
        <v>House price index</v>
      </c>
      <c r="D156">
        <v>1</v>
      </c>
      <c r="E156" t="str">
        <v>%</v>
      </c>
      <c r="F156" t="str">
        <v>%</v>
      </c>
      <c r="G156">
        <v>325</v>
      </c>
      <c r="I156" t="str">
        <v>hm3</v>
      </c>
      <c r="J156" t="str">
        <v>Change in inventories</v>
      </c>
      <c r="K156" t="str">
        <v>Change in inventories (GDP) (Real $m)</v>
      </c>
      <c r="L156" t="str">
        <v>Real $m</v>
      </c>
      <c r="M156">
        <v>137</v>
      </c>
      <c r="N156" t="str">
        <v>hm3Change in inventoriesChange in inventories (GDP) (Real $m)Real $m</v>
      </c>
    </row>
    <row r="157" spans="1:14" x14ac:dyDescent="0.3">
      <c r="A157" t="str">
        <v>hm14</v>
      </c>
      <c r="B157" t="str">
        <v>House price index - 2 years out</v>
      </c>
      <c r="C157" t="str">
        <v>House price index</v>
      </c>
      <c r="D157">
        <v>1</v>
      </c>
      <c r="E157" t="str">
        <v>%</v>
      </c>
      <c r="F157" t="str">
        <v>%</v>
      </c>
      <c r="G157">
        <v>326</v>
      </c>
      <c r="I157" t="str">
        <v>hm3</v>
      </c>
      <c r="J157" t="str">
        <v>Gross fixed capital formation</v>
      </c>
      <c r="K157" t="str">
        <v>Gross fixed capital formation - other fixed assets (GDP) (Real $m s.a.)</v>
      </c>
      <c r="L157" t="str">
        <v>Real $m</v>
      </c>
      <c r="M157">
        <v>134</v>
      </c>
      <c r="N157" t="str">
        <v>hm3Gross fixed capital formationGross fixed capital formation - other fixed assets (GDP) (Real $m s.a.)Real $m</v>
      </c>
    </row>
    <row r="158" spans="1:14" x14ac:dyDescent="0.3">
      <c r="A158" t="str">
        <v>hm14</v>
      </c>
      <c r="B158" t="str">
        <v>Official Cash Rate (OCR) - 1 year out</v>
      </c>
      <c r="C158" t="str">
        <v>Official Cash Rate (OCR)</v>
      </c>
      <c r="D158">
        <v>1</v>
      </c>
      <c r="E158" t="str">
        <v>%pa</v>
      </c>
      <c r="F158" t="str">
        <v>%</v>
      </c>
      <c r="G158">
        <v>310</v>
      </c>
      <c r="I158" t="str">
        <v>hm3</v>
      </c>
      <c r="J158" t="str">
        <v>Gross fixed capital formation</v>
      </c>
      <c r="K158" t="str">
        <v>Gross fixed capital formation - other fixed assets (GDP) (Real $m)</v>
      </c>
      <c r="L158" t="str">
        <v>Real $m</v>
      </c>
      <c r="M158">
        <v>133</v>
      </c>
      <c r="N158" t="str">
        <v>hm3Gross fixed capital formationGross fixed capital formation - other fixed assets (GDP) (Real $m)Real $m</v>
      </c>
    </row>
    <row r="159" spans="1:14" x14ac:dyDescent="0.3">
      <c r="A159" t="str">
        <v>hm14</v>
      </c>
      <c r="B159" t="str">
        <v>Official Cash Rate (OCR) - 10 year average</v>
      </c>
      <c r="C159" t="str">
        <v>Official Cash Rate (OCR)</v>
      </c>
      <c r="D159">
        <v>1</v>
      </c>
      <c r="E159" t="str">
        <v>%pa</v>
      </c>
      <c r="F159" t="str">
        <v>%</v>
      </c>
      <c r="G159">
        <v>312</v>
      </c>
      <c r="I159" t="str">
        <v>hm3</v>
      </c>
      <c r="J159" t="str">
        <v>Gross fixed capital formation</v>
      </c>
      <c r="K159" t="str">
        <v>Gross fixed capital formation - other fixed assets (GDP) (Real q/q% s.a.)</v>
      </c>
      <c r="L159" t="str">
        <v>Real q/q</v>
      </c>
      <c r="M159">
        <v>135</v>
      </c>
      <c r="N159" t="str">
        <v>hm3Gross fixed capital formationGross fixed capital formation - other fixed assets (GDP) (Real q/q% s.a.)Real q/q</v>
      </c>
    </row>
    <row r="160" spans="1:14" x14ac:dyDescent="0.3">
      <c r="A160" t="str">
        <v>hm14</v>
      </c>
      <c r="B160" t="str">
        <v>Official Cash Rate (OCR) - 10 years out</v>
      </c>
      <c r="C160" t="str">
        <v>Official Cash Rate (OCR)</v>
      </c>
      <c r="D160">
        <v>1</v>
      </c>
      <c r="E160" t="str">
        <v>%pa</v>
      </c>
      <c r="F160" t="str">
        <v>%</v>
      </c>
      <c r="G160">
        <v>311</v>
      </c>
      <c r="I160" t="str">
        <v>hm3</v>
      </c>
      <c r="J160" t="str">
        <v>Gross fixed capital formation</v>
      </c>
      <c r="K160" t="str">
        <v>Gross fixed capital formation - other fixed assets (GDP) (Real y/y%)</v>
      </c>
      <c r="L160" t="str">
        <v>Real y/y</v>
      </c>
      <c r="M160">
        <v>136</v>
      </c>
      <c r="N160" t="str">
        <v>hm3Gross fixed capital formationGross fixed capital formation - other fixed assets (GDP) (Real y/y%)Real y/y</v>
      </c>
    </row>
    <row r="161" spans="1:14" x14ac:dyDescent="0.3">
      <c r="A161" t="str">
        <v>hm14</v>
      </c>
      <c r="B161" t="str">
        <v>Official Cash Rate (OCR) - End of current quarter</v>
      </c>
      <c r="C161" t="str">
        <v>Official Cash Rate (OCR)</v>
      </c>
      <c r="D161">
        <v>1</v>
      </c>
      <c r="E161" t="str">
        <v>%pa</v>
      </c>
      <c r="F161" t="str">
        <v>%</v>
      </c>
      <c r="G161">
        <v>309</v>
      </c>
      <c r="I161" t="str">
        <v>hm3</v>
      </c>
      <c r="J161" t="str">
        <v>Gross fixed capital formation</v>
      </c>
      <c r="K161" t="str">
        <v>Gross fixed capital formation - residential buildings (GDP) (Real $m s.a.)</v>
      </c>
      <c r="L161" t="str">
        <v>Real $m</v>
      </c>
      <c r="M161">
        <v>130</v>
      </c>
      <c r="N161" t="str">
        <v>hm3Gross fixed capital formationGross fixed capital formation - residential buildings (GDP) (Real $m s.a.)Real $m</v>
      </c>
    </row>
    <row r="162" spans="1:14" x14ac:dyDescent="0.3">
      <c r="A162" t="str">
        <v>hm14</v>
      </c>
      <c r="B162" t="str">
        <v>Perception of monetary conditions (net) - 1 year out</v>
      </c>
      <c r="C162" t="str">
        <v>Perception of monetary conditions (net)</v>
      </c>
      <c r="D162">
        <v>1</v>
      </c>
      <c r="E162" t="str">
        <v>%</v>
      </c>
      <c r="F162" t="str">
        <v>Total %</v>
      </c>
      <c r="G162">
        <v>304</v>
      </c>
      <c r="I162" t="str">
        <v>hm3</v>
      </c>
      <c r="J162" t="str">
        <v>Gross fixed capital formation</v>
      </c>
      <c r="K162" t="str">
        <v>Gross fixed capital formation - residential buildings (GDP) (Real $m)</v>
      </c>
      <c r="L162" t="str">
        <v>Real $m</v>
      </c>
      <c r="M162">
        <v>129</v>
      </c>
      <c r="N162" t="str">
        <v>hm3Gross fixed capital formationGross fixed capital formation - residential buildings (GDP) (Real $m)Real $m</v>
      </c>
    </row>
    <row r="163" spans="1:14" x14ac:dyDescent="0.3">
      <c r="A163" t="str">
        <v>hm14</v>
      </c>
      <c r="B163" t="str">
        <v>Perception of monetary conditions (net) - End of current quarter</v>
      </c>
      <c r="C163" t="str">
        <v>Perception of monetary conditions (net)</v>
      </c>
      <c r="D163">
        <v>1</v>
      </c>
      <c r="E163" t="str">
        <v>%</v>
      </c>
      <c r="F163" t="str">
        <v>Total %</v>
      </c>
      <c r="G163">
        <v>302</v>
      </c>
      <c r="I163" t="str">
        <v>hm3</v>
      </c>
      <c r="J163" t="str">
        <v>Gross fixed capital formation</v>
      </c>
      <c r="K163" t="str">
        <v>Gross fixed capital formation - residential buildings (GDP) (Real q/q% s.a)</v>
      </c>
      <c r="L163" t="str">
        <v>Real q/q</v>
      </c>
      <c r="M163">
        <v>131</v>
      </c>
      <c r="N163" t="str">
        <v>hm3Gross fixed capital formationGross fixed capital formation - residential buildings (GDP) (Real q/q% s.a)Real q/q</v>
      </c>
    </row>
    <row r="164" spans="1:14" x14ac:dyDescent="0.3">
      <c r="A164" t="str">
        <v>hm14</v>
      </c>
      <c r="B164" t="str">
        <v>Perception of monetary conditions (net) - Next quarter</v>
      </c>
      <c r="C164" t="str">
        <v>Perception of monetary conditions (net)</v>
      </c>
      <c r="D164">
        <v>1</v>
      </c>
      <c r="E164" t="str">
        <v>%</v>
      </c>
      <c r="F164" t="str">
        <v>Total %</v>
      </c>
      <c r="G164">
        <v>303</v>
      </c>
      <c r="I164" t="str">
        <v>hm3</v>
      </c>
      <c r="J164" t="str">
        <v>Gross fixed capital formation</v>
      </c>
      <c r="K164" t="str">
        <v>Gross fixed capital formation - residential buildings (GDP) (Real y/y%)</v>
      </c>
      <c r="L164" t="str">
        <v>Real y/y</v>
      </c>
      <c r="M164">
        <v>132</v>
      </c>
      <c r="N164" t="str">
        <v>hm3Gross fixed capital formationGross fixed capital formation - residential buildings (GDP) (Real y/y%)Real y/y</v>
      </c>
    </row>
    <row r="165" spans="1:14" x14ac:dyDescent="0.3">
      <c r="A165" t="str">
        <v>hm14</v>
      </c>
      <c r="B165" t="str">
        <v>Unemployment rate - 1 year out</v>
      </c>
      <c r="C165" t="str">
        <v>Unemployment rate</v>
      </c>
      <c r="D165">
        <v>1</v>
      </c>
      <c r="E165" t="str">
        <v>%</v>
      </c>
      <c r="F165" t="str">
        <v>Total %</v>
      </c>
      <c r="G165">
        <v>319</v>
      </c>
      <c r="I165" t="str">
        <v>hm3</v>
      </c>
      <c r="J165" t="str">
        <v>Residential consents</v>
      </c>
      <c r="K165" t="str">
        <v>Building consents - residential dwellings (Number s.a.)</v>
      </c>
      <c r="L165" t="str">
        <v>Number</v>
      </c>
      <c r="M165">
        <v>127</v>
      </c>
      <c r="N165" t="str">
        <v>hm3Residential consentsBuilding consents - residential dwellings (Number s.a.)Number</v>
      </c>
    </row>
    <row r="166" spans="1:14" x14ac:dyDescent="0.3">
      <c r="A166" t="str">
        <v>hm14</v>
      </c>
      <c r="B166" t="str">
        <v>Unemployment rate - 2 years out</v>
      </c>
      <c r="C166" t="str">
        <v>Unemployment rate</v>
      </c>
      <c r="D166">
        <v>1</v>
      </c>
      <c r="E166" t="str">
        <v>%</v>
      </c>
      <c r="F166" t="str">
        <v>Total %</v>
      </c>
      <c r="G166">
        <v>320</v>
      </c>
      <c r="I166" t="str">
        <v>hm3</v>
      </c>
      <c r="J166" t="str">
        <v>Residential consents</v>
      </c>
      <c r="K166" t="str">
        <v>Building consents - residential dwellings (q/q% s.a.)</v>
      </c>
      <c r="L166" t="str">
        <v>q/q%</v>
      </c>
      <c r="M166">
        <v>128</v>
      </c>
      <c r="N166" t="str">
        <v>hm3Residential consentsBuilding consents - residential dwellings (q/q% s.a.)q/q%</v>
      </c>
    </row>
    <row r="167" spans="1:14" x14ac:dyDescent="0.3">
      <c r="A167" t="str">
        <v>hm14</v>
      </c>
      <c r="B167" t="str">
        <v>US dollar exchange rate - 1 year out</v>
      </c>
      <c r="C167" t="str">
        <v>US dollar exchange rate</v>
      </c>
      <c r="D167">
        <v>1</v>
      </c>
      <c r="E167" t="str">
        <v>NZD/USD</v>
      </c>
      <c r="F167" t="str">
        <v>NZD/USD</v>
      </c>
      <c r="G167">
        <v>322</v>
      </c>
      <c r="I167" t="str">
        <v>hm4</v>
      </c>
      <c r="J167" t="str">
        <v>Operating income $m</v>
      </c>
      <c r="K167" t="str">
        <v>Manufacturing</v>
      </c>
      <c r="L167" t="str">
        <v>$m</v>
      </c>
      <c r="M167">
        <v>140</v>
      </c>
      <c r="N167" t="str">
        <v>hm4Operating income $mManufacturing$m</v>
      </c>
    </row>
    <row r="168" spans="1:14" x14ac:dyDescent="0.3">
      <c r="A168" t="str">
        <v>hm14</v>
      </c>
      <c r="B168" t="str">
        <v>US dollar exchange rate - Next quarter</v>
      </c>
      <c r="C168" t="str">
        <v>US dollar exchange rate</v>
      </c>
      <c r="D168">
        <v>1</v>
      </c>
      <c r="E168" t="str">
        <v>NZD/USD</v>
      </c>
      <c r="F168" t="str">
        <v>NZD/USD</v>
      </c>
      <c r="G168">
        <v>321</v>
      </c>
      <c r="I168" t="str">
        <v>hm4</v>
      </c>
      <c r="J168" t="str">
        <v>Operating income $m</v>
      </c>
      <c r="K168" t="str">
        <v>Meat and dairy</v>
      </c>
      <c r="L168" t="str">
        <v>$m</v>
      </c>
      <c r="M168">
        <v>146</v>
      </c>
      <c r="N168" t="str">
        <v>hm4Operating income $mMeat and dairy$m</v>
      </c>
    </row>
    <row r="169" spans="1:14" x14ac:dyDescent="0.3">
      <c r="A169" t="str">
        <v>hm2</v>
      </c>
      <c r="B169" t="str">
        <v>NA</v>
      </c>
      <c r="C169" t="str">
        <v>General government consumption expenditure (GDP) %(r)</v>
      </c>
      <c r="D169">
        <v>1</v>
      </c>
      <c r="E169" t="str">
        <v>%(r)</v>
      </c>
      <c r="F169" t="str">
        <v>%</v>
      </c>
      <c r="G169">
        <v>126</v>
      </c>
      <c r="I169" t="str">
        <v>hm4</v>
      </c>
      <c r="J169" t="str">
        <v>Operating income $m s.a.</v>
      </c>
      <c r="K169" t="str">
        <v>Manufacturing</v>
      </c>
      <c r="L169" t="str">
        <v>$m s.a.</v>
      </c>
      <c r="M169">
        <v>139</v>
      </c>
      <c r="N169" t="str">
        <v>hm4Operating income $m s.a.Manufacturing$m s.a.</v>
      </c>
    </row>
    <row r="170" spans="1:14" x14ac:dyDescent="0.3">
      <c r="A170" t="str">
        <v>hm2</v>
      </c>
      <c r="B170" t="str">
        <v>NA</v>
      </c>
      <c r="C170" t="str">
        <v>General government consumption expenditure (GDP) %(r) s.a.</v>
      </c>
      <c r="D170">
        <v>1</v>
      </c>
      <c r="E170" t="str">
        <v>%(r) s.a.</v>
      </c>
      <c r="F170" t="str">
        <v>%</v>
      </c>
      <c r="G170">
        <v>125</v>
      </c>
      <c r="I170" t="str">
        <v>hm4</v>
      </c>
      <c r="J170" t="str">
        <v>Operating income $m s.a.</v>
      </c>
      <c r="K170" t="str">
        <v>Meat and dairy</v>
      </c>
      <c r="L170" t="str">
        <v>$m s.a.</v>
      </c>
      <c r="M170">
        <v>145</v>
      </c>
      <c r="N170" t="str">
        <v>hm4Operating income $m s.a.Meat and dairy$m s.a.</v>
      </c>
    </row>
    <row r="171" spans="1:14" x14ac:dyDescent="0.3">
      <c r="A171" t="str">
        <v>hm2</v>
      </c>
      <c r="B171" t="str">
        <v>NA</v>
      </c>
      <c r="C171" t="str">
        <v>General government consumption expenditure (GDP) NZDm(r)</v>
      </c>
      <c r="D171">
        <v>1</v>
      </c>
      <c r="E171" t="str">
        <v>NZDm(r)</v>
      </c>
      <c r="F171" t="str">
        <v>NZDm</v>
      </c>
      <c r="G171">
        <v>123</v>
      </c>
      <c r="I171" t="str">
        <v>hm4</v>
      </c>
      <c r="J171" t="str">
        <v>Operating income q/q% s.a.</v>
      </c>
      <c r="K171" t="str">
        <v>Manufacturing</v>
      </c>
      <c r="L171" t="str">
        <v>q/q% s.a.</v>
      </c>
      <c r="M171">
        <v>141</v>
      </c>
      <c r="N171" t="str">
        <v>hm4Operating income q/q% s.a.Manufacturingq/q% s.a.</v>
      </c>
    </row>
    <row r="172" spans="1:14" x14ac:dyDescent="0.3">
      <c r="A172" t="str">
        <v>hm2</v>
      </c>
      <c r="B172" t="str">
        <v>NA</v>
      </c>
      <c r="C172" t="str">
        <v>General government consumption expenditure (GDP) NZDm(r) s.a.</v>
      </c>
      <c r="D172">
        <v>1</v>
      </c>
      <c r="E172" t="str">
        <v>NZDm(r) s.a.</v>
      </c>
      <c r="F172" t="str">
        <v>NZDm</v>
      </c>
      <c r="G172">
        <v>124</v>
      </c>
      <c r="I172" t="str">
        <v>hm4</v>
      </c>
      <c r="J172" t="str">
        <v>Operating income q/q% s.a.</v>
      </c>
      <c r="K172" t="str">
        <v>Meat and dairy</v>
      </c>
      <c r="L172" t="str">
        <v>q/q% s.a.</v>
      </c>
      <c r="M172">
        <v>147</v>
      </c>
      <c r="N172" t="str">
        <v>hm4Operating income q/q% s.a.Meat and dairyq/q% s.a.</v>
      </c>
    </row>
    <row r="173" spans="1:14" x14ac:dyDescent="0.3">
      <c r="A173" t="str">
        <v>hm2</v>
      </c>
      <c r="B173" t="str">
        <v>NA</v>
      </c>
      <c r="C173" t="str">
        <v>Private consumption expenditure (GDP) %(r)</v>
      </c>
      <c r="D173">
        <v>1</v>
      </c>
      <c r="E173" t="str">
        <v>%(r)</v>
      </c>
      <c r="F173" t="str">
        <v>%</v>
      </c>
      <c r="G173">
        <v>122</v>
      </c>
      <c r="I173" t="str">
        <v>hm4</v>
      </c>
      <c r="J173" t="str">
        <v>Operating income y/y%</v>
      </c>
      <c r="K173" t="str">
        <v>Manufacturing</v>
      </c>
      <c r="L173" t="str">
        <v>y/y%</v>
      </c>
      <c r="M173">
        <v>142</v>
      </c>
      <c r="N173" t="str">
        <v>hm4Operating income y/y%Manufacturingy/y%</v>
      </c>
    </row>
    <row r="174" spans="1:14" x14ac:dyDescent="0.3">
      <c r="A174" t="str">
        <v>hm2</v>
      </c>
      <c r="B174" t="str">
        <v>NA</v>
      </c>
      <c r="C174" t="str">
        <v>Private consumption expenditure (GDP) %(r) s.a.</v>
      </c>
      <c r="D174">
        <v>1</v>
      </c>
      <c r="E174" t="str">
        <v>%(r) s.a.</v>
      </c>
      <c r="F174" t="str">
        <v>%</v>
      </c>
      <c r="G174">
        <v>121</v>
      </c>
      <c r="I174" t="str">
        <v>hm4</v>
      </c>
      <c r="J174" t="str">
        <v>Operating income y/y%</v>
      </c>
      <c r="K174" t="str">
        <v>Meat and dairy</v>
      </c>
      <c r="L174" t="str">
        <v>y/y%</v>
      </c>
      <c r="M174">
        <v>148</v>
      </c>
      <c r="N174" t="str">
        <v>hm4Operating income y/y%Meat and dairyy/y%</v>
      </c>
    </row>
    <row r="175" spans="1:14" x14ac:dyDescent="0.3">
      <c r="A175" t="str">
        <v>hm2</v>
      </c>
      <c r="B175" t="str">
        <v>NA</v>
      </c>
      <c r="C175" t="str">
        <v>Private consumption expenditure (GDP) NZDm(r)</v>
      </c>
      <c r="D175">
        <v>1</v>
      </c>
      <c r="E175" t="str">
        <v>NZDm(r)</v>
      </c>
      <c r="F175" t="str">
        <v>NZDm</v>
      </c>
      <c r="G175">
        <v>119</v>
      </c>
      <c r="I175" t="str">
        <v>hm4</v>
      </c>
      <c r="J175" t="str">
        <v>Sales $m</v>
      </c>
      <c r="K175" t="str">
        <v>Retail trade</v>
      </c>
      <c r="L175" t="str">
        <v>$m</v>
      </c>
      <c r="M175">
        <v>153</v>
      </c>
      <c r="N175" t="str">
        <v>hm4Sales $mRetail trade$m</v>
      </c>
    </row>
    <row r="176" spans="1:14" x14ac:dyDescent="0.3">
      <c r="A176" t="str">
        <v>hm2</v>
      </c>
      <c r="B176" t="str">
        <v>NA</v>
      </c>
      <c r="C176" t="str">
        <v>Private consumption expenditure (GDP) NZDm(r) s.a.</v>
      </c>
      <c r="D176">
        <v>1</v>
      </c>
      <c r="E176" t="str">
        <v>NZDm(r) s.a.</v>
      </c>
      <c r="F176" t="str">
        <v>NZDm</v>
      </c>
      <c r="G176">
        <v>120</v>
      </c>
      <c r="I176" t="str">
        <v>hm4</v>
      </c>
      <c r="J176" t="str">
        <v>Sales $m</v>
      </c>
      <c r="K176" t="str">
        <v>Wholesale trade</v>
      </c>
      <c r="L176" t="str">
        <v>$m</v>
      </c>
      <c r="M176">
        <v>156</v>
      </c>
      <c r="N176" t="str">
        <v>hm4Sales $mWholesale trade$m</v>
      </c>
    </row>
    <row r="177" spans="1:14" x14ac:dyDescent="0.3">
      <c r="A177" t="str">
        <v>hm2</v>
      </c>
      <c r="B177" t="str">
        <v>NA</v>
      </c>
      <c r="C177" t="str">
        <v>Retail trade %</v>
      </c>
      <c r="D177">
        <v>1</v>
      </c>
      <c r="E177" t="str">
        <v>%</v>
      </c>
      <c r="F177" t="str">
        <v>%</v>
      </c>
      <c r="G177">
        <v>114</v>
      </c>
      <c r="I177" t="str">
        <v>hm4</v>
      </c>
      <c r="J177" t="str">
        <v>Sales $m s.a.</v>
      </c>
      <c r="K177" t="str">
        <v>Retail trade</v>
      </c>
      <c r="L177" t="str">
        <v>$m s.a.</v>
      </c>
      <c r="M177">
        <v>149</v>
      </c>
      <c r="N177" t="str">
        <v>hm4Sales $m s.a.Retail trade$m s.a.</v>
      </c>
    </row>
    <row r="178" spans="1:14" x14ac:dyDescent="0.3">
      <c r="A178" t="str">
        <v>hm2</v>
      </c>
      <c r="B178" t="str">
        <v>NA</v>
      </c>
      <c r="C178" t="str">
        <v>Retail trade % s.a.</v>
      </c>
      <c r="D178">
        <v>1</v>
      </c>
      <c r="E178" t="str">
        <v>% s.a.</v>
      </c>
      <c r="F178" t="str">
        <v>%</v>
      </c>
      <c r="G178">
        <v>113</v>
      </c>
      <c r="I178" t="str">
        <v>hm4</v>
      </c>
      <c r="J178" t="str">
        <v>Sales $m s.a.</v>
      </c>
      <c r="K178" t="str">
        <v>Wholesale trade</v>
      </c>
      <c r="L178" t="str">
        <v>$m s.a.</v>
      </c>
      <c r="M178">
        <v>155</v>
      </c>
      <c r="N178" t="str">
        <v>hm4Sales $m s.a.Wholesale trade$m s.a.</v>
      </c>
    </row>
    <row r="179" spans="1:14" x14ac:dyDescent="0.3">
      <c r="A179" t="str">
        <v>hm2</v>
      </c>
      <c r="B179" t="str">
        <v>NA</v>
      </c>
      <c r="C179" t="str">
        <v>Retail trade %(r)</v>
      </c>
      <c r="D179">
        <v>1</v>
      </c>
      <c r="E179" t="str">
        <v>%(r)</v>
      </c>
      <c r="F179" t="str">
        <v>%</v>
      </c>
      <c r="G179">
        <v>118</v>
      </c>
      <c r="I179" t="str">
        <v>hm4</v>
      </c>
      <c r="J179" t="str">
        <v>Sales q/q% s.a.</v>
      </c>
      <c r="K179" t="str">
        <v>Retail trade</v>
      </c>
      <c r="L179" t="str">
        <v>q/q% s.a.</v>
      </c>
      <c r="M179">
        <v>151</v>
      </c>
      <c r="N179" t="str">
        <v>hm4Sales q/q% s.a.Retail tradeq/q% s.a.</v>
      </c>
    </row>
    <row r="180" spans="1:14" x14ac:dyDescent="0.3">
      <c r="A180" t="str">
        <v>hm2</v>
      </c>
      <c r="B180" t="str">
        <v>NA</v>
      </c>
      <c r="C180" t="str">
        <v>Retail trade sales NZDm</v>
      </c>
      <c r="D180">
        <v>1</v>
      </c>
      <c r="E180" t="str">
        <v>NZDm</v>
      </c>
      <c r="F180" t="str">
        <v>NZDm</v>
      </c>
      <c r="G180">
        <v>111</v>
      </c>
      <c r="I180" t="str">
        <v>hm4</v>
      </c>
      <c r="J180" t="str">
        <v>Sales q/q% s.a.</v>
      </c>
      <c r="K180" t="str">
        <v>Wholesale trade</v>
      </c>
      <c r="L180" t="str">
        <v>q/q% s.a.</v>
      </c>
      <c r="M180">
        <v>157</v>
      </c>
      <c r="N180" t="str">
        <v>hm4Sales q/q% s.a.Wholesale tradeq/q% s.a.</v>
      </c>
    </row>
    <row r="181" spans="1:14" x14ac:dyDescent="0.3">
      <c r="A181" t="str">
        <v>hm2</v>
      </c>
      <c r="B181" t="str">
        <v>NA</v>
      </c>
      <c r="C181" t="str">
        <v>Retail trade sales NZDm s.a.</v>
      </c>
      <c r="D181">
        <v>1</v>
      </c>
      <c r="E181" t="str">
        <v>NZDm s.a.</v>
      </c>
      <c r="F181" t="str">
        <v>NZDm</v>
      </c>
      <c r="G181">
        <v>112</v>
      </c>
      <c r="I181" t="str">
        <v>hm4</v>
      </c>
      <c r="J181" t="str">
        <v>Sales y/y%</v>
      </c>
      <c r="K181" t="str">
        <v>Retail trade</v>
      </c>
      <c r="L181" t="str">
        <v>y/y%</v>
      </c>
      <c r="M181">
        <v>154</v>
      </c>
      <c r="N181" t="str">
        <v>hm4Sales y/y%Retail tradey/y%</v>
      </c>
    </row>
    <row r="182" spans="1:14" x14ac:dyDescent="0.3">
      <c r="A182" t="str">
        <v>hm2</v>
      </c>
      <c r="B182" t="str">
        <v>NA</v>
      </c>
      <c r="C182" t="str">
        <v>Retail trade volumes %(r) s.a.</v>
      </c>
      <c r="D182">
        <v>1</v>
      </c>
      <c r="E182" t="str">
        <v>%(r) s.a.</v>
      </c>
      <c r="F182" t="str">
        <v>%</v>
      </c>
      <c r="G182">
        <v>117</v>
      </c>
      <c r="I182" t="str">
        <v>hm4</v>
      </c>
      <c r="J182" t="str">
        <v>Sales y/y%</v>
      </c>
      <c r="K182" t="str">
        <v>Wholesale trade</v>
      </c>
      <c r="L182" t="str">
        <v>y/y%</v>
      </c>
      <c r="M182">
        <v>158</v>
      </c>
      <c r="N182" t="str">
        <v>hm4Sales y/y%Wholesale tradey/y%</v>
      </c>
    </row>
    <row r="183" spans="1:14" x14ac:dyDescent="0.3">
      <c r="A183" t="str">
        <v>hm2</v>
      </c>
      <c r="B183" t="str">
        <v>NA</v>
      </c>
      <c r="C183" t="str">
        <v>Retail trade volumes NZDm(r)</v>
      </c>
      <c r="D183">
        <v>1</v>
      </c>
      <c r="E183" t="str">
        <v>NZDm(r)</v>
      </c>
      <c r="F183" t="str">
        <v>NZDm</v>
      </c>
      <c r="G183">
        <v>115</v>
      </c>
      <c r="I183" t="str">
        <v>hm4</v>
      </c>
      <c r="J183" t="str">
        <v>Stocks $m</v>
      </c>
      <c r="K183" t="str">
        <v>Manufacturing</v>
      </c>
      <c r="L183" t="str">
        <v>$m</v>
      </c>
      <c r="M183">
        <v>143</v>
      </c>
      <c r="N183" t="str">
        <v>hm4Stocks $mManufacturing$m</v>
      </c>
    </row>
    <row r="184" spans="1:14" x14ac:dyDescent="0.3">
      <c r="A184" t="str">
        <v>hm2</v>
      </c>
      <c r="B184" t="str">
        <v>NA</v>
      </c>
      <c r="C184" t="str">
        <v>Retail trade volumes NZDm(r) s.a.</v>
      </c>
      <c r="D184">
        <v>1</v>
      </c>
      <c r="E184" t="str">
        <v>NZDm(r) s.a.</v>
      </c>
      <c r="F184" t="str">
        <v>NZDm</v>
      </c>
      <c r="G184">
        <v>116</v>
      </c>
      <c r="I184" t="str">
        <v>hm4</v>
      </c>
      <c r="J184" t="str">
        <v>Stocks $m</v>
      </c>
      <c r="K184" t="str">
        <v>Wholesale trade</v>
      </c>
      <c r="L184" t="str">
        <v>$m</v>
      </c>
      <c r="M184">
        <v>159</v>
      </c>
      <c r="N184" t="str">
        <v>hm4Stocks $mWholesale trade$m</v>
      </c>
    </row>
    <row r="185" spans="1:14" x14ac:dyDescent="0.3">
      <c r="A185" t="str">
        <v>hm3</v>
      </c>
      <c r="B185" t="str">
        <v>Change in inventories</v>
      </c>
      <c r="C185" t="str">
        <v>Change in inventories (GDP) (Real $m s.a.)</v>
      </c>
      <c r="D185">
        <v>1</v>
      </c>
      <c r="E185" t="str">
        <v>NZDm(r) s.a.</v>
      </c>
      <c r="F185" t="str">
        <v>Real $m</v>
      </c>
      <c r="G185">
        <v>138</v>
      </c>
      <c r="I185" t="str">
        <v>hm4</v>
      </c>
      <c r="J185" t="str">
        <v>Stocks y/y%</v>
      </c>
      <c r="K185" t="str">
        <v>Manufacturing</v>
      </c>
      <c r="L185" t="str">
        <v>y/y%</v>
      </c>
      <c r="M185">
        <v>144</v>
      </c>
      <c r="N185" t="str">
        <v>hm4Stocks y/y%Manufacturingy/y%</v>
      </c>
    </row>
    <row r="186" spans="1:14" x14ac:dyDescent="0.3">
      <c r="A186" t="str">
        <v>hm3</v>
      </c>
      <c r="B186" t="str">
        <v>Change in inventories</v>
      </c>
      <c r="C186" t="str">
        <v>Change in inventories (GDP) (Real $m)</v>
      </c>
      <c r="D186">
        <v>1</v>
      </c>
      <c r="E186" t="str">
        <v>NZDm(r)</v>
      </c>
      <c r="F186" t="str">
        <v>Real $m</v>
      </c>
      <c r="G186">
        <v>137</v>
      </c>
      <c r="I186" t="str">
        <v>hm4</v>
      </c>
      <c r="J186" t="str">
        <v>Stocks y/y%</v>
      </c>
      <c r="K186" t="str">
        <v>Wholesale trade</v>
      </c>
      <c r="L186" t="str">
        <v>y/y%</v>
      </c>
      <c r="M186">
        <v>160</v>
      </c>
      <c r="N186" t="str">
        <v>hm4Stocks y/y%Wholesale tradey/y%</v>
      </c>
    </row>
    <row r="187" spans="1:14" x14ac:dyDescent="0.3">
      <c r="A187" t="str">
        <v>hm3</v>
      </c>
      <c r="B187" t="str">
        <v>Gross fixed capital formation</v>
      </c>
      <c r="C187" t="str">
        <v>Gross fixed capital formation - other fixed assets (GDP) (Real $m s.a.)</v>
      </c>
      <c r="D187">
        <v>1</v>
      </c>
      <c r="E187" t="str">
        <v>NZDm(r) s.a.</v>
      </c>
      <c r="F187" t="str">
        <v>Real $m</v>
      </c>
      <c r="G187">
        <v>134</v>
      </c>
      <c r="I187" t="str">
        <v>hm5</v>
      </c>
      <c r="J187" t="str">
        <v>Change in inventoriesNominal $m</v>
      </c>
      <c r="K187" t="str">
        <v>Change in inventories</v>
      </c>
      <c r="L187" t="str">
        <v>$m</v>
      </c>
      <c r="M187">
        <v>189</v>
      </c>
      <c r="N187" t="str">
        <v>hm5Change in inventoriesNominal $mChange in inventories$m</v>
      </c>
    </row>
    <row r="188" spans="1:14" x14ac:dyDescent="0.3">
      <c r="A188" t="str">
        <v>hm3</v>
      </c>
      <c r="B188" t="str">
        <v>Gross fixed capital formation</v>
      </c>
      <c r="C188" t="str">
        <v>Gross fixed capital formation - other fixed assets (GDP) (Real $m)</v>
      </c>
      <c r="D188">
        <v>1</v>
      </c>
      <c r="E188" t="str">
        <v>NZDm(r)</v>
      </c>
      <c r="F188" t="str">
        <v>Real $m</v>
      </c>
      <c r="G188">
        <v>133</v>
      </c>
      <c r="I188" t="str">
        <v>hm5</v>
      </c>
      <c r="J188" t="str">
        <v>Change in inventoriesNominal $m s.a.</v>
      </c>
      <c r="K188" t="str">
        <v>Change in inventories</v>
      </c>
      <c r="L188" t="str">
        <v>$m</v>
      </c>
      <c r="M188">
        <v>190</v>
      </c>
      <c r="N188" t="str">
        <v>hm5Change in inventoriesNominal $m s.a.Change in inventories$m</v>
      </c>
    </row>
    <row r="189" spans="1:14" x14ac:dyDescent="0.3">
      <c r="A189" t="str">
        <v>hm3</v>
      </c>
      <c r="B189" t="str">
        <v>Gross fixed capital formation</v>
      </c>
      <c r="C189" t="str">
        <v>Gross fixed capital formation - other fixed assets (GDP) (Real q/q% s.a.)</v>
      </c>
      <c r="D189">
        <v>1</v>
      </c>
      <c r="E189" t="str">
        <v>%(r) s.a.</v>
      </c>
      <c r="F189" t="str">
        <v>Real q/q</v>
      </c>
      <c r="G189">
        <v>135</v>
      </c>
      <c r="I189" t="str">
        <v>hm5</v>
      </c>
      <c r="J189" t="str">
        <v>Change in inventoriesReal $m</v>
      </c>
      <c r="K189" t="str">
        <v>Change in inventories</v>
      </c>
      <c r="L189" t="str">
        <v>$m</v>
      </c>
      <c r="M189">
        <v>191</v>
      </c>
      <c r="N189" t="str">
        <v>hm5Change in inventoriesReal $mChange in inventories$m</v>
      </c>
    </row>
    <row r="190" spans="1:14" x14ac:dyDescent="0.3">
      <c r="A190" t="str">
        <v>hm3</v>
      </c>
      <c r="B190" t="str">
        <v>Gross fixed capital formation</v>
      </c>
      <c r="C190" t="str">
        <v>Gross fixed capital formation - other fixed assets (GDP) (Real y/y%)</v>
      </c>
      <c r="D190">
        <v>1</v>
      </c>
      <c r="E190" t="str">
        <v>%(r)</v>
      </c>
      <c r="F190" t="str">
        <v>Real y/y</v>
      </c>
      <c r="G190">
        <v>136</v>
      </c>
      <c r="I190" t="str">
        <v>hm5</v>
      </c>
      <c r="J190" t="str">
        <v>Change in inventoriesReal $m s.a.</v>
      </c>
      <c r="K190" t="str">
        <v>Change in inventories</v>
      </c>
      <c r="L190" t="str">
        <v>$m</v>
      </c>
      <c r="M190">
        <v>192</v>
      </c>
      <c r="N190" t="str">
        <v>hm5Change in inventoriesReal $m s.a.Change in inventories$m</v>
      </c>
    </row>
    <row r="191" spans="1:14" x14ac:dyDescent="0.3">
      <c r="A191" t="str">
        <v>hm3</v>
      </c>
      <c r="B191" t="str">
        <v>Gross fixed capital formation</v>
      </c>
      <c r="C191" t="str">
        <v>Gross fixed capital formation - residential buildings (GDP) (Real $m s.a.)</v>
      </c>
      <c r="D191">
        <v>1</v>
      </c>
      <c r="E191" t="str">
        <v>NZDm(r) s.a.</v>
      </c>
      <c r="F191" t="str">
        <v>Real $m</v>
      </c>
      <c r="G191">
        <v>130</v>
      </c>
      <c r="I191" t="str">
        <v>hm5</v>
      </c>
      <c r="J191" t="str">
        <v>Consumption expenditureNominal $m</v>
      </c>
      <c r="K191" t="str">
        <v>Consumption expenditure</v>
      </c>
      <c r="L191" t="str">
        <v>$m</v>
      </c>
      <c r="M191">
        <v>209</v>
      </c>
      <c r="N191" t="str">
        <v>hm5Consumption expenditureNominal $mConsumption expenditure$m</v>
      </c>
    </row>
    <row r="192" spans="1:14" x14ac:dyDescent="0.3">
      <c r="A192" t="str">
        <v>hm3</v>
      </c>
      <c r="B192" t="str">
        <v>Gross fixed capital formation</v>
      </c>
      <c r="C192" t="str">
        <v>Gross fixed capital formation - residential buildings (GDP) (Real $m)</v>
      </c>
      <c r="D192">
        <v>1</v>
      </c>
      <c r="E192" t="str">
        <v>NZDm(r)</v>
      </c>
      <c r="F192" t="str">
        <v>Real $m</v>
      </c>
      <c r="G192">
        <v>129</v>
      </c>
      <c r="I192" t="str">
        <v>hm5</v>
      </c>
      <c r="J192" t="str">
        <v>Consumption expenditureNominal $m s.a.</v>
      </c>
      <c r="K192" t="str">
        <v>Consumption expenditure</v>
      </c>
      <c r="L192" t="str">
        <v>$m</v>
      </c>
      <c r="M192">
        <v>210</v>
      </c>
      <c r="N192" t="str">
        <v>hm5Consumption expenditureNominal $m s.a.Consumption expenditure$m</v>
      </c>
    </row>
    <row r="193" spans="1:14" x14ac:dyDescent="0.3">
      <c r="A193" t="str">
        <v>hm3</v>
      </c>
      <c r="B193" t="str">
        <v>Gross fixed capital formation</v>
      </c>
      <c r="C193" t="str">
        <v>Gross fixed capital formation - residential buildings (GDP) (Real q/q% s.a)</v>
      </c>
      <c r="D193">
        <v>1</v>
      </c>
      <c r="E193" t="str">
        <v>%(r) s.a.</v>
      </c>
      <c r="F193" t="str">
        <v>Real q/q</v>
      </c>
      <c r="G193">
        <v>131</v>
      </c>
      <c r="I193" t="str">
        <v>hm5</v>
      </c>
      <c r="J193" t="str">
        <v>Consumption expenditureNominal $m)</v>
      </c>
      <c r="K193" t="str">
        <v>Consumption expenditure</v>
      </c>
      <c r="L193" t="str">
        <v>$m</v>
      </c>
      <c r="M193">
        <v>173</v>
      </c>
      <c r="N193" t="str">
        <v>hm5Consumption expenditureNominal $m)Consumption expenditure$m</v>
      </c>
    </row>
    <row r="194" spans="1:14" x14ac:dyDescent="0.3">
      <c r="A194" t="str">
        <v>hm3</v>
      </c>
      <c r="B194" t="str">
        <v>Gross fixed capital formation</v>
      </c>
      <c r="C194" t="str">
        <v>Gross fixed capital formation - residential buildings (GDP) (Real y/y%)</v>
      </c>
      <c r="D194">
        <v>1</v>
      </c>
      <c r="E194" t="str">
        <v>%(r)</v>
      </c>
      <c r="F194" t="str">
        <v>Real y/y</v>
      </c>
      <c r="G194">
        <v>132</v>
      </c>
      <c r="I194" t="str">
        <v>hm5</v>
      </c>
      <c r="J194" t="str">
        <v>Consumption expenditureNominal q/q% s.a.</v>
      </c>
      <c r="K194" t="str">
        <v>Consumption expenditure</v>
      </c>
      <c r="L194" t="str">
        <v>q/q%</v>
      </c>
      <c r="M194">
        <v>211</v>
      </c>
      <c r="N194" t="str">
        <v>hm5Consumption expenditureNominal q/q% s.a.Consumption expenditureq/q%</v>
      </c>
    </row>
    <row r="195" spans="1:14" x14ac:dyDescent="0.3">
      <c r="A195" t="str">
        <v>hm3</v>
      </c>
      <c r="B195" t="str">
        <v>Residential consents</v>
      </c>
      <c r="C195" t="str">
        <v>Building consents - residential dwellings (Number s.a.)</v>
      </c>
      <c r="D195">
        <v>1</v>
      </c>
      <c r="E195" t="str">
        <v>no s.a.</v>
      </c>
      <c r="F195" t="str">
        <v>Number</v>
      </c>
      <c r="G195">
        <v>127</v>
      </c>
      <c r="I195" t="str">
        <v>hm5</v>
      </c>
      <c r="J195" t="str">
        <v>Consumption expenditureNominal y/y%</v>
      </c>
      <c r="K195" t="str">
        <v>Consumption expenditure</v>
      </c>
      <c r="L195" t="str">
        <v>y/y%</v>
      </c>
      <c r="M195">
        <v>212</v>
      </c>
      <c r="N195" t="str">
        <v>hm5Consumption expenditureNominal y/y%Consumption expenditurey/y%</v>
      </c>
    </row>
    <row r="196" spans="1:14" x14ac:dyDescent="0.3">
      <c r="A196" t="str">
        <v>hm3</v>
      </c>
      <c r="B196" t="str">
        <v>Residential consents</v>
      </c>
      <c r="C196" t="str">
        <v>Building consents - residential dwellings (q/q% s.a.)</v>
      </c>
      <c r="D196">
        <v>1</v>
      </c>
      <c r="E196" t="str">
        <v>% s.a.</v>
      </c>
      <c r="F196" t="str">
        <v>q/q%</v>
      </c>
      <c r="G196">
        <v>128</v>
      </c>
      <c r="I196" t="str">
        <v>hm5</v>
      </c>
      <c r="J196" t="str">
        <v>Consumption expenditureReal $m</v>
      </c>
      <c r="K196" t="str">
        <v>Consumption expenditure</v>
      </c>
      <c r="L196" t="str">
        <v>$m</v>
      </c>
      <c r="M196">
        <v>213</v>
      </c>
      <c r="N196" t="str">
        <v>hm5Consumption expenditureReal $mConsumption expenditure$m</v>
      </c>
    </row>
    <row r="197" spans="1:14" x14ac:dyDescent="0.3">
      <c r="A197" t="str">
        <v>hm4</v>
      </c>
      <c r="B197" t="str">
        <v>Operating income $m</v>
      </c>
      <c r="C197" t="str">
        <v>Manufacturing</v>
      </c>
      <c r="D197">
        <v>1</v>
      </c>
      <c r="E197" t="str">
        <v>m</v>
      </c>
      <c r="F197" t="str">
        <v>$m</v>
      </c>
      <c r="G197">
        <v>140</v>
      </c>
      <c r="I197" t="str">
        <v>hm5</v>
      </c>
      <c r="J197" t="str">
        <v>Consumption expenditureReal $m s.a.</v>
      </c>
      <c r="K197" t="str">
        <v>Consumption expenditure</v>
      </c>
      <c r="L197" t="str">
        <v>$m</v>
      </c>
      <c r="M197">
        <v>214</v>
      </c>
      <c r="N197" t="str">
        <v>hm5Consumption expenditureReal $m s.a.Consumption expenditure$m</v>
      </c>
    </row>
    <row r="198" spans="1:14" x14ac:dyDescent="0.3">
      <c r="A198" t="str">
        <v>hm4</v>
      </c>
      <c r="B198" t="str">
        <v>Operating income $m</v>
      </c>
      <c r="C198" t="str">
        <v>Meat and dairy</v>
      </c>
      <c r="D198">
        <v>1</v>
      </c>
      <c r="E198" t="str">
        <v>m</v>
      </c>
      <c r="F198" t="str">
        <v>$m</v>
      </c>
      <c r="G198">
        <v>146</v>
      </c>
      <c r="I198" t="str">
        <v>hm5</v>
      </c>
      <c r="J198" t="str">
        <v>Consumption expenditureReal q/q% s.a.</v>
      </c>
      <c r="K198" t="str">
        <v>Consumption expenditure</v>
      </c>
      <c r="L198" t="str">
        <v>q/q%</v>
      </c>
      <c r="M198">
        <v>215</v>
      </c>
      <c r="N198" t="str">
        <v>hm5Consumption expenditureReal q/q% s.a.Consumption expenditureq/q%</v>
      </c>
    </row>
    <row r="199" spans="1:14" x14ac:dyDescent="0.3">
      <c r="A199" t="str">
        <v>hm4</v>
      </c>
      <c r="B199" t="str">
        <v>Operating income $m s.a.</v>
      </c>
      <c r="C199" t="str">
        <v>Manufacturing</v>
      </c>
      <c r="D199">
        <v>1</v>
      </c>
      <c r="E199" t="str">
        <v>m</v>
      </c>
      <c r="F199" t="str">
        <v>$m s.a.</v>
      </c>
      <c r="G199">
        <v>139</v>
      </c>
      <c r="I199" t="str">
        <v>hm5</v>
      </c>
      <c r="J199" t="str">
        <v>Consumption expenditureReal y/y%</v>
      </c>
      <c r="K199" t="str">
        <v>Consumption expenditure</v>
      </c>
      <c r="L199" t="str">
        <v>y/y%</v>
      </c>
      <c r="M199">
        <v>216</v>
      </c>
      <c r="N199" t="str">
        <v>hm5Consumption expenditureReal y/y%Consumption expenditurey/y%</v>
      </c>
    </row>
    <row r="200" spans="1:14" x14ac:dyDescent="0.3">
      <c r="A200" t="str">
        <v>hm4</v>
      </c>
      <c r="B200" t="str">
        <v>Operating income $m s.a.</v>
      </c>
      <c r="C200" t="str">
        <v>Meat and dairy</v>
      </c>
      <c r="D200">
        <v>1</v>
      </c>
      <c r="E200" t="str">
        <v>m</v>
      </c>
      <c r="F200" t="str">
        <v>$m s.a.</v>
      </c>
      <c r="G200">
        <v>145</v>
      </c>
      <c r="I200" t="str">
        <v>hm5</v>
      </c>
      <c r="J200" t="str">
        <v>GDPNominal $m</v>
      </c>
      <c r="K200" t="str">
        <v>GDP</v>
      </c>
      <c r="L200" t="str">
        <v>$m</v>
      </c>
      <c r="M200">
        <v>165</v>
      </c>
      <c r="N200" t="str">
        <v>hm5GDPNominal $mGDP$m</v>
      </c>
    </row>
    <row r="201" spans="1:14" x14ac:dyDescent="0.3">
      <c r="A201" t="str">
        <v>hm4</v>
      </c>
      <c r="B201" t="str">
        <v>Operating income q/q% s.a.</v>
      </c>
      <c r="C201" t="str">
        <v>Manufacturing</v>
      </c>
      <c r="D201">
        <v>1</v>
      </c>
      <c r="E201" t="str">
        <v>NA</v>
      </c>
      <c r="F201" t="str">
        <v>q/q% s.a.</v>
      </c>
      <c r="G201">
        <v>141</v>
      </c>
      <c r="I201" t="str">
        <v>hm5</v>
      </c>
      <c r="J201" t="str">
        <v>GDPNominal $m s.a.</v>
      </c>
      <c r="K201" t="str">
        <v>GDP</v>
      </c>
      <c r="L201" t="str">
        <v>$m</v>
      </c>
      <c r="M201">
        <v>166</v>
      </c>
      <c r="N201" t="str">
        <v>hm5GDPNominal $m s.a.GDP$m</v>
      </c>
    </row>
    <row r="202" spans="1:14" x14ac:dyDescent="0.3">
      <c r="A202" t="str">
        <v>hm4</v>
      </c>
      <c r="B202" t="str">
        <v>Operating income q/q% s.a.</v>
      </c>
      <c r="C202" t="str">
        <v>Meat and dairy</v>
      </c>
      <c r="D202">
        <v>1</v>
      </c>
      <c r="E202" t="str">
        <v>NA</v>
      </c>
      <c r="F202" t="str">
        <v>q/q% s.a.</v>
      </c>
      <c r="G202">
        <v>147</v>
      </c>
      <c r="I202" t="str">
        <v>hm5</v>
      </c>
      <c r="J202" t="str">
        <v>GDPNominal q/q% s.a.</v>
      </c>
      <c r="K202" t="str">
        <v>GDP</v>
      </c>
      <c r="L202" t="str">
        <v>q/q%</v>
      </c>
      <c r="M202">
        <v>167</v>
      </c>
      <c r="N202" t="str">
        <v>hm5GDPNominal q/q% s.a.GDPq/q%</v>
      </c>
    </row>
    <row r="203" spans="1:14" x14ac:dyDescent="0.3">
      <c r="A203" t="str">
        <v>hm4</v>
      </c>
      <c r="B203" t="str">
        <v>Operating income y/y%</v>
      </c>
      <c r="C203" t="str">
        <v>Manufacturing</v>
      </c>
      <c r="D203">
        <v>1</v>
      </c>
      <c r="E203" t="str">
        <v>NA</v>
      </c>
      <c r="F203" t="str">
        <v>y/y%</v>
      </c>
      <c r="G203">
        <v>142</v>
      </c>
      <c r="I203" t="str">
        <v>hm5</v>
      </c>
      <c r="J203" t="str">
        <v>GDPNominal y/y%</v>
      </c>
      <c r="K203" t="str">
        <v>GDP</v>
      </c>
      <c r="L203" t="str">
        <v>y/y%</v>
      </c>
      <c r="M203">
        <v>168</v>
      </c>
      <c r="N203" t="str">
        <v>hm5GDPNominal y/y%GDPy/y%</v>
      </c>
    </row>
    <row r="204" spans="1:14" x14ac:dyDescent="0.3">
      <c r="A204" t="str">
        <v>hm4</v>
      </c>
      <c r="B204" t="str">
        <v>Operating income y/y%</v>
      </c>
      <c r="C204" t="str">
        <v>Meat and dairy</v>
      </c>
      <c r="D204">
        <v>1</v>
      </c>
      <c r="E204" t="str">
        <v>NA</v>
      </c>
      <c r="F204" t="str">
        <v>y/y%</v>
      </c>
      <c r="G204">
        <v>148</v>
      </c>
      <c r="I204" t="str">
        <v>hm5</v>
      </c>
      <c r="J204" t="str">
        <v>GDPReal $m</v>
      </c>
      <c r="K204" t="str">
        <v>GDP</v>
      </c>
      <c r="L204" t="str">
        <v>$m</v>
      </c>
      <c r="M204">
        <v>169</v>
      </c>
      <c r="N204" t="str">
        <v>hm5GDPReal $mGDP$m</v>
      </c>
    </row>
    <row r="205" spans="1:14" x14ac:dyDescent="0.3">
      <c r="A205" t="str">
        <v>hm4</v>
      </c>
      <c r="B205" t="str">
        <v>Sales $m</v>
      </c>
      <c r="C205" t="str">
        <v>Retail trade</v>
      </c>
      <c r="D205">
        <v>1</v>
      </c>
      <c r="E205" t="str">
        <v>NZDm</v>
      </c>
      <c r="F205" t="str">
        <v>$m</v>
      </c>
      <c r="G205">
        <v>150</v>
      </c>
      <c r="I205" t="str">
        <v>hm5</v>
      </c>
      <c r="J205" t="str">
        <v>GDPReal $m s.a.</v>
      </c>
      <c r="K205" t="str">
        <v>GDP</v>
      </c>
      <c r="L205" t="str">
        <v>$m</v>
      </c>
      <c r="M205">
        <v>170</v>
      </c>
      <c r="N205" t="str">
        <v>hm5GDPReal $m s.a.GDP$m</v>
      </c>
    </row>
    <row r="206" spans="1:14" x14ac:dyDescent="0.3">
      <c r="A206" t="str">
        <v>hm4</v>
      </c>
      <c r="B206" t="str">
        <v>Sales $m</v>
      </c>
      <c r="C206" t="str">
        <v>Retail trade</v>
      </c>
      <c r="D206">
        <v>2</v>
      </c>
      <c r="E206" t="str">
        <v>NZDm</v>
      </c>
      <c r="F206" t="str">
        <v>$m</v>
      </c>
      <c r="G206">
        <v>153</v>
      </c>
      <c r="I206" t="str">
        <v>hm5</v>
      </c>
      <c r="J206" t="str">
        <v>GDPReal q/q% s.a.</v>
      </c>
      <c r="K206" t="str">
        <v>GDP</v>
      </c>
      <c r="L206" t="str">
        <v>q/q%</v>
      </c>
      <c r="M206">
        <v>171</v>
      </c>
      <c r="N206" t="str">
        <v>hm5GDPReal q/q% s.a.GDPq/q%</v>
      </c>
    </row>
    <row r="207" spans="1:14" x14ac:dyDescent="0.3">
      <c r="A207" t="str">
        <v>hm4</v>
      </c>
      <c r="B207" t="str">
        <v>Sales $m</v>
      </c>
      <c r="C207" t="str">
        <v>Wholesale trade</v>
      </c>
      <c r="D207">
        <v>1</v>
      </c>
      <c r="E207" t="str">
        <v>NZDm</v>
      </c>
      <c r="F207" t="str">
        <v>$m</v>
      </c>
      <c r="G207">
        <v>156</v>
      </c>
      <c r="I207" t="str">
        <v>hm5</v>
      </c>
      <c r="J207" t="str">
        <v>GDPReal y/y%</v>
      </c>
      <c r="K207" t="str">
        <v>GDP</v>
      </c>
      <c r="L207" t="str">
        <v>y/y%</v>
      </c>
      <c r="M207">
        <v>172</v>
      </c>
      <c r="N207" t="str">
        <v>hm5GDPReal y/y%GDPy/y%</v>
      </c>
    </row>
    <row r="208" spans="1:14" x14ac:dyDescent="0.3">
      <c r="A208" t="str">
        <v>hm4</v>
      </c>
      <c r="B208" t="str">
        <v>Sales $m s.a.</v>
      </c>
      <c r="C208" t="str">
        <v>Retail trade</v>
      </c>
      <c r="D208">
        <v>1</v>
      </c>
      <c r="E208" t="str">
        <v>NZDm s.a.</v>
      </c>
      <c r="F208" t="str">
        <v>$m s.a.</v>
      </c>
      <c r="G208">
        <v>149</v>
      </c>
      <c r="I208" t="str">
        <v>hm5</v>
      </c>
      <c r="J208" t="str">
        <v>Gross fixed capital formationNominal $m</v>
      </c>
      <c r="K208" t="str">
        <v>Gross fixed capital formation</v>
      </c>
      <c r="L208" t="str">
        <v>$m</v>
      </c>
      <c r="M208">
        <v>201</v>
      </c>
      <c r="N208" t="str">
        <v>hm5Gross fixed capital formationNominal $mGross fixed capital formation$m</v>
      </c>
    </row>
    <row r="209" spans="1:14" x14ac:dyDescent="0.3">
      <c r="A209" t="str">
        <v>hm4</v>
      </c>
      <c r="B209" t="str">
        <v>Sales $m s.a.</v>
      </c>
      <c r="C209" t="str">
        <v>Wholesale trade</v>
      </c>
      <c r="D209">
        <v>1</v>
      </c>
      <c r="E209" t="str">
        <v>NZDm s.a.</v>
      </c>
      <c r="F209" t="str">
        <v>$m s.a.</v>
      </c>
      <c r="G209">
        <v>155</v>
      </c>
      <c r="I209" t="str">
        <v>hm5</v>
      </c>
      <c r="J209" t="str">
        <v>Gross fixed capital formationNominal $m s.a.</v>
      </c>
      <c r="K209" t="str">
        <v>Gross fixed capital formation</v>
      </c>
      <c r="L209" t="str">
        <v>$m</v>
      </c>
      <c r="M209">
        <v>202</v>
      </c>
      <c r="N209" t="str">
        <v>hm5Gross fixed capital formationNominal $m s.a.Gross fixed capital formation$m</v>
      </c>
    </row>
    <row r="210" spans="1:14" x14ac:dyDescent="0.3">
      <c r="A210" t="str">
        <v>hm4</v>
      </c>
      <c r="B210" t="str">
        <v>Sales q/q% s.a.</v>
      </c>
      <c r="C210" t="str">
        <v>Retail trade</v>
      </c>
      <c r="D210">
        <v>1</v>
      </c>
      <c r="E210" t="str">
        <v>% s.a.</v>
      </c>
      <c r="F210" t="str">
        <v>q/q% s.a.</v>
      </c>
      <c r="G210">
        <v>151</v>
      </c>
      <c r="I210" t="str">
        <v>hm5</v>
      </c>
      <c r="J210" t="str">
        <v>Gross fixed capital formationNominal q/q% s.a.</v>
      </c>
      <c r="K210" t="str">
        <v>Gross fixed capital formation</v>
      </c>
      <c r="L210" t="str">
        <v>q/q%</v>
      </c>
      <c r="M210">
        <v>203</v>
      </c>
      <c r="N210" t="str">
        <v>hm5Gross fixed capital formationNominal q/q% s.a.Gross fixed capital formationq/q%</v>
      </c>
    </row>
    <row r="211" spans="1:14" x14ac:dyDescent="0.3">
      <c r="A211" t="str">
        <v>hm4</v>
      </c>
      <c r="B211" t="str">
        <v>Sales q/q% s.a.</v>
      </c>
      <c r="C211" t="str">
        <v>Wholesale trade</v>
      </c>
      <c r="D211">
        <v>1</v>
      </c>
      <c r="E211" t="str">
        <v>% s.a.</v>
      </c>
      <c r="F211" t="str">
        <v>q/q% s.a.</v>
      </c>
      <c r="G211">
        <v>157</v>
      </c>
      <c r="I211" t="str">
        <v>hm5</v>
      </c>
      <c r="J211" t="str">
        <v>Gross fixed capital formationNominal y/y%</v>
      </c>
      <c r="K211" t="str">
        <v>Gross fixed capital formation</v>
      </c>
      <c r="L211" t="str">
        <v>y/y%</v>
      </c>
      <c r="M211">
        <v>204</v>
      </c>
      <c r="N211" t="str">
        <v>hm5Gross fixed capital formationNominal y/y%Gross fixed capital formationy/y%</v>
      </c>
    </row>
    <row r="212" spans="1:14" x14ac:dyDescent="0.3">
      <c r="A212" t="str">
        <v>hm4</v>
      </c>
      <c r="B212" t="str">
        <v>Sales y/y%</v>
      </c>
      <c r="C212" t="str">
        <v>Retail trade</v>
      </c>
      <c r="D212">
        <v>1</v>
      </c>
      <c r="E212" t="str">
        <v>%</v>
      </c>
      <c r="F212" t="str">
        <v>y/y%</v>
      </c>
      <c r="G212">
        <v>152</v>
      </c>
      <c r="I212" t="str">
        <v>hm5</v>
      </c>
      <c r="J212" t="str">
        <v>Gross fixed capital formationReal $m</v>
      </c>
      <c r="K212" t="str">
        <v>Gross fixed capital formation</v>
      </c>
      <c r="L212" t="str">
        <v>$m</v>
      </c>
      <c r="M212">
        <v>205</v>
      </c>
      <c r="N212" t="str">
        <v>hm5Gross fixed capital formationReal $mGross fixed capital formation$m</v>
      </c>
    </row>
    <row r="213" spans="1:14" x14ac:dyDescent="0.3">
      <c r="A213" t="str">
        <v>hm4</v>
      </c>
      <c r="B213" t="str">
        <v>Sales y/y%</v>
      </c>
      <c r="C213" t="str">
        <v>Retail trade</v>
      </c>
      <c r="D213">
        <v>2</v>
      </c>
      <c r="E213" t="str">
        <v>%</v>
      </c>
      <c r="F213" t="str">
        <v>y/y%</v>
      </c>
      <c r="G213">
        <v>154</v>
      </c>
      <c r="I213" t="str">
        <v>hm5</v>
      </c>
      <c r="J213" t="str">
        <v>Gross fixed capital formationReal $m s.a.</v>
      </c>
      <c r="K213" t="str">
        <v>Gross fixed capital formation</v>
      </c>
      <c r="L213" t="str">
        <v>$m</v>
      </c>
      <c r="M213">
        <v>206</v>
      </c>
      <c r="N213" t="str">
        <v>hm5Gross fixed capital formationReal $m s.a.Gross fixed capital formation$m</v>
      </c>
    </row>
    <row r="214" spans="1:14" x14ac:dyDescent="0.3">
      <c r="A214" t="str">
        <v>hm4</v>
      </c>
      <c r="B214" t="str">
        <v>Sales y/y%</v>
      </c>
      <c r="C214" t="str">
        <v>Wholesale trade</v>
      </c>
      <c r="D214">
        <v>1</v>
      </c>
      <c r="E214" t="str">
        <v>%</v>
      </c>
      <c r="F214" t="str">
        <v>y/y%</v>
      </c>
      <c r="G214">
        <v>158</v>
      </c>
      <c r="I214" t="str">
        <v>hm5</v>
      </c>
      <c r="J214" t="str">
        <v>Gross fixed capital formationReal q/q% s.a.</v>
      </c>
      <c r="K214" t="str">
        <v>Gross fixed capital formation</v>
      </c>
      <c r="L214" t="str">
        <v>q/q%</v>
      </c>
      <c r="M214">
        <v>207</v>
      </c>
      <c r="N214" t="str">
        <v>hm5Gross fixed capital formationReal q/q% s.a.Gross fixed capital formationq/q%</v>
      </c>
    </row>
    <row r="215" spans="1:14" x14ac:dyDescent="0.3">
      <c r="A215" t="str">
        <v>hm4</v>
      </c>
      <c r="B215" t="str">
        <v>Stocks $m</v>
      </c>
      <c r="C215" t="str">
        <v>Manufacturing</v>
      </c>
      <c r="D215">
        <v>1</v>
      </c>
      <c r="E215" t="str">
        <v>m</v>
      </c>
      <c r="F215" t="str">
        <v>$m</v>
      </c>
      <c r="G215">
        <v>143</v>
      </c>
      <c r="I215" t="str">
        <v>hm5</v>
      </c>
      <c r="J215" t="str">
        <v>Gross fixed capital formationReal y/y%</v>
      </c>
      <c r="K215" t="str">
        <v>Gross fixed capital formation</v>
      </c>
      <c r="L215" t="str">
        <v>y/y%</v>
      </c>
      <c r="M215">
        <v>208</v>
      </c>
      <c r="N215" t="str">
        <v>hm5Gross fixed capital formationReal y/y%Gross fixed capital formationy/y%</v>
      </c>
    </row>
    <row r="216" spans="1:14" x14ac:dyDescent="0.3">
      <c r="A216" t="str">
        <v>hm4</v>
      </c>
      <c r="B216" t="str">
        <v>Stocks $m</v>
      </c>
      <c r="C216" t="str">
        <v>Wholesale trade</v>
      </c>
      <c r="D216">
        <v>1</v>
      </c>
      <c r="E216" t="str">
        <v>NZDm</v>
      </c>
      <c r="F216" t="str">
        <v>$m</v>
      </c>
      <c r="G216">
        <v>159</v>
      </c>
      <c r="I216" t="str">
        <v>hm5</v>
      </c>
      <c r="J216" t="str">
        <v>Import/Export of G&amp;SNominal $m</v>
      </c>
      <c r="K216" t="str">
        <v>Import/Export of G&amp;S</v>
      </c>
      <c r="L216" t="str">
        <v>$m</v>
      </c>
      <c r="M216">
        <v>225</v>
      </c>
      <c r="N216" t="str">
        <v>hm5Import/Export of G&amp;SNominal $mImport/Export of G&amp;S$m</v>
      </c>
    </row>
    <row r="217" spans="1:14" x14ac:dyDescent="0.3">
      <c r="A217" t="str">
        <v>hm4</v>
      </c>
      <c r="B217" t="str">
        <v>Stocks y/y%</v>
      </c>
      <c r="C217" t="str">
        <v>Manufacturing</v>
      </c>
      <c r="D217">
        <v>1</v>
      </c>
      <c r="E217" t="str">
        <v>%</v>
      </c>
      <c r="F217" t="str">
        <v>y/y%</v>
      </c>
      <c r="G217">
        <v>144</v>
      </c>
      <c r="I217" t="str">
        <v>hm5</v>
      </c>
      <c r="J217" t="str">
        <v>Import/Export of G&amp;SNominal $m s.a.</v>
      </c>
      <c r="K217" t="str">
        <v>Import/Export of G&amp;S</v>
      </c>
      <c r="L217" t="str">
        <v>$m</v>
      </c>
      <c r="M217">
        <v>226</v>
      </c>
      <c r="N217" t="str">
        <v>hm5Import/Export of G&amp;SNominal $m s.a.Import/Export of G&amp;S$m</v>
      </c>
    </row>
    <row r="218" spans="1:14" x14ac:dyDescent="0.3">
      <c r="A218" t="str">
        <v>hm4</v>
      </c>
      <c r="B218" t="str">
        <v>Stocks y/y%</v>
      </c>
      <c r="C218" t="str">
        <v>Wholesale trade</v>
      </c>
      <c r="D218">
        <v>1</v>
      </c>
      <c r="E218" t="str">
        <v>%</v>
      </c>
      <c r="F218" t="str">
        <v>y/y%</v>
      </c>
      <c r="G218">
        <v>160</v>
      </c>
      <c r="I218" t="str">
        <v>hm5</v>
      </c>
      <c r="J218" t="str">
        <v>Import/Export of G&amp;SNominal q/q% s.a.</v>
      </c>
      <c r="K218" t="str">
        <v>Import/Export of G&amp;S</v>
      </c>
      <c r="L218" t="str">
        <v>q/q%</v>
      </c>
      <c r="M218">
        <v>227</v>
      </c>
      <c r="N218" t="str">
        <v>hm5Import/Export of G&amp;SNominal q/q% s.a.Import/Export of G&amp;Sq/q%</v>
      </c>
    </row>
    <row r="219" spans="1:14" x14ac:dyDescent="0.3">
      <c r="A219" t="str">
        <v>hm5</v>
      </c>
      <c r="B219" t="str">
        <v>Change in inventoriesNominal $m</v>
      </c>
      <c r="C219" t="str">
        <v>Change in inventories</v>
      </c>
      <c r="D219">
        <v>1</v>
      </c>
      <c r="E219" t="str">
        <v>NZDm</v>
      </c>
      <c r="F219" t="str">
        <v>$m</v>
      </c>
      <c r="G219">
        <v>189</v>
      </c>
      <c r="I219" t="str">
        <v>hm5</v>
      </c>
      <c r="J219" t="str">
        <v>Import/Export of G&amp;SNominal y/y%</v>
      </c>
      <c r="K219" t="str">
        <v>Import/Export of G&amp;S</v>
      </c>
      <c r="L219" t="str">
        <v>y/y%</v>
      </c>
      <c r="M219">
        <v>228</v>
      </c>
      <c r="N219" t="str">
        <v>hm5Import/Export of G&amp;SNominal y/y%Import/Export of G&amp;Sy/y%</v>
      </c>
    </row>
    <row r="220" spans="1:14" x14ac:dyDescent="0.3">
      <c r="A220" t="str">
        <v>hm5</v>
      </c>
      <c r="B220" t="str">
        <v>Change in inventoriesNominal $m s.a.</v>
      </c>
      <c r="C220" t="str">
        <v>Change in inventories</v>
      </c>
      <c r="D220">
        <v>1</v>
      </c>
      <c r="E220" t="str">
        <v>NZDm s.a.</v>
      </c>
      <c r="F220" t="str">
        <v>$m</v>
      </c>
      <c r="G220">
        <v>190</v>
      </c>
      <c r="I220" t="str">
        <v>hm5</v>
      </c>
      <c r="J220" t="str">
        <v>Import/Export of G&amp;SReal $m</v>
      </c>
      <c r="K220" t="str">
        <v>Import/Export of G&amp;S</v>
      </c>
      <c r="L220" t="str">
        <v>$m</v>
      </c>
      <c r="M220">
        <v>229</v>
      </c>
      <c r="N220" t="str">
        <v>hm5Import/Export of G&amp;SReal $mImport/Export of G&amp;S$m</v>
      </c>
    </row>
    <row r="221" spans="1:14" x14ac:dyDescent="0.3">
      <c r="A221" t="str">
        <v>hm5</v>
      </c>
      <c r="B221" t="str">
        <v>Change in inventoriesReal $m</v>
      </c>
      <c r="C221" t="str">
        <v>Change in inventories</v>
      </c>
      <c r="D221">
        <v>1</v>
      </c>
      <c r="E221" t="str">
        <v>NZDm(r)</v>
      </c>
      <c r="F221" t="str">
        <v>$m</v>
      </c>
      <c r="G221">
        <v>191</v>
      </c>
      <c r="I221" t="str">
        <v>hm5</v>
      </c>
      <c r="J221" t="str">
        <v>Import/Export of G&amp;SReal $m s.a.</v>
      </c>
      <c r="K221" t="str">
        <v>Import/Export of G&amp;S</v>
      </c>
      <c r="L221" t="str">
        <v>$m</v>
      </c>
      <c r="M221">
        <v>230</v>
      </c>
      <c r="N221" t="str">
        <v>hm5Import/Export of G&amp;SReal $m s.a.Import/Export of G&amp;S$m</v>
      </c>
    </row>
    <row r="222" spans="1:14" x14ac:dyDescent="0.3">
      <c r="A222" t="str">
        <v>hm5</v>
      </c>
      <c r="B222" t="str">
        <v>Change in inventoriesReal $m s.a.</v>
      </c>
      <c r="C222" t="str">
        <v>Change in inventories</v>
      </c>
      <c r="D222">
        <v>1</v>
      </c>
      <c r="E222" t="str">
        <v>NZDm(r) s.a.</v>
      </c>
      <c r="F222" t="str">
        <v>$m</v>
      </c>
      <c r="G222">
        <v>192</v>
      </c>
      <c r="I222" t="str">
        <v>hm5</v>
      </c>
      <c r="J222" t="str">
        <v>Import/Export of G&amp;SReal q/q% s.a.</v>
      </c>
      <c r="K222" t="str">
        <v>Import/Export of G&amp;S</v>
      </c>
      <c r="L222" t="str">
        <v>q/q%</v>
      </c>
      <c r="M222">
        <v>231</v>
      </c>
      <c r="N222" t="str">
        <v>hm5Import/Export of G&amp;SReal q/q% s.a.Import/Export of G&amp;Sq/q%</v>
      </c>
    </row>
    <row r="223" spans="1:14" x14ac:dyDescent="0.3">
      <c r="A223" t="str">
        <v>hm5</v>
      </c>
      <c r="B223" t="str">
        <v>Consumption expenditureNominal $m</v>
      </c>
      <c r="C223" t="str">
        <v>Consumption expenditure</v>
      </c>
      <c r="D223">
        <v>1</v>
      </c>
      <c r="E223" t="str">
        <v>NZDm</v>
      </c>
      <c r="F223" t="str">
        <v>$m</v>
      </c>
      <c r="G223">
        <v>181</v>
      </c>
      <c r="I223" t="str">
        <v>hm5</v>
      </c>
      <c r="J223" t="str">
        <v>Import/Export of G&amp;SReal y/y%</v>
      </c>
      <c r="K223" t="str">
        <v>Import/Export of G&amp;S</v>
      </c>
      <c r="L223" t="str">
        <v>y/y%</v>
      </c>
      <c r="M223">
        <v>232</v>
      </c>
      <c r="N223" t="str">
        <v>hm5Import/Export of G&amp;SReal y/y%Import/Export of G&amp;Sy/y%</v>
      </c>
    </row>
    <row r="224" spans="1:14" x14ac:dyDescent="0.3">
      <c r="A224" t="str">
        <v>hm5</v>
      </c>
      <c r="B224" t="str">
        <v>Consumption expenditureNominal $m</v>
      </c>
      <c r="C224" t="str">
        <v>Consumption expenditure</v>
      </c>
      <c r="D224">
        <v>2</v>
      </c>
      <c r="E224" t="str">
        <v>NZDm</v>
      </c>
      <c r="F224" t="str">
        <v>$m</v>
      </c>
      <c r="G224">
        <v>209</v>
      </c>
      <c r="I224" t="str">
        <v>hm6</v>
      </c>
      <c r="J224" t="str">
        <v>NA</v>
      </c>
      <c r="K224" t="str">
        <v>Businesses</v>
      </c>
      <c r="L224" t="str">
        <v>Saving ($m)</v>
      </c>
      <c r="M224">
        <v>234</v>
      </c>
      <c r="N224" t="str">
        <v>hm6NABusinessesSaving ($m)</v>
      </c>
    </row>
    <row r="225" spans="1:14" x14ac:dyDescent="0.3">
      <c r="A225" t="str">
        <v>hm5</v>
      </c>
      <c r="B225" t="str">
        <v>Consumption expenditureNominal $m s.a.</v>
      </c>
      <c r="C225" t="str">
        <v>Consumption expenditure</v>
      </c>
      <c r="D225">
        <v>1</v>
      </c>
      <c r="E225" t="str">
        <v>NZDm s.a.</v>
      </c>
      <c r="F225" t="str">
        <v>$m</v>
      </c>
      <c r="G225">
        <v>174</v>
      </c>
      <c r="I225" t="str">
        <v>hm6</v>
      </c>
      <c r="J225" t="str">
        <v>NA</v>
      </c>
      <c r="K225" t="str">
        <v>Financial intermediaries</v>
      </c>
      <c r="L225" t="str">
        <v>Saving ($m)</v>
      </c>
      <c r="M225">
        <v>235</v>
      </c>
      <c r="N225" t="str">
        <v>hm6NAFinancial intermediariesSaving ($m)</v>
      </c>
    </row>
    <row r="226" spans="1:14" x14ac:dyDescent="0.3">
      <c r="A226" t="str">
        <v>hm5</v>
      </c>
      <c r="B226" t="str">
        <v>Consumption expenditureNominal $m s.a.</v>
      </c>
      <c r="C226" t="str">
        <v>Consumption expenditure</v>
      </c>
      <c r="D226">
        <v>2</v>
      </c>
      <c r="E226" t="str">
        <v>NZDm s.a.</v>
      </c>
      <c r="F226" t="str">
        <v>$m</v>
      </c>
      <c r="G226">
        <v>182</v>
      </c>
      <c r="I226" t="str">
        <v>hm6</v>
      </c>
      <c r="J226" t="str">
        <v>NA</v>
      </c>
      <c r="K226" t="str">
        <v>General government</v>
      </c>
      <c r="L226" t="str">
        <v>Saving ($m)</v>
      </c>
      <c r="M226">
        <v>236</v>
      </c>
      <c r="N226" t="str">
        <v>hm6NAGeneral governmentSaving ($m)</v>
      </c>
    </row>
    <row r="227" spans="1:14" x14ac:dyDescent="0.3">
      <c r="A227" t="str">
        <v>hm5</v>
      </c>
      <c r="B227" t="str">
        <v>Consumption expenditureNominal $m s.a.</v>
      </c>
      <c r="C227" t="str">
        <v>Consumption expenditure</v>
      </c>
      <c r="D227">
        <v>3</v>
      </c>
      <c r="E227" t="str">
        <v>NZDm s.a.</v>
      </c>
      <c r="F227" t="str">
        <v>$m</v>
      </c>
      <c r="G227">
        <v>210</v>
      </c>
      <c r="I227" t="str">
        <v>hm6</v>
      </c>
      <c r="J227" t="str">
        <v>NA</v>
      </c>
      <c r="K227" t="str">
        <v>Households</v>
      </c>
      <c r="L227" t="str">
        <v>Household saving rate (%)</v>
      </c>
      <c r="M227">
        <v>239</v>
      </c>
      <c r="N227" t="str">
        <v>hm6NAHouseholdsHousehold saving rate (%)</v>
      </c>
    </row>
    <row r="228" spans="1:14" x14ac:dyDescent="0.3">
      <c r="A228" t="str">
        <v>hm5</v>
      </c>
      <c r="B228" t="str">
        <v>Consumption expenditureNominal $m)</v>
      </c>
      <c r="C228" t="str">
        <v>Consumption expenditure</v>
      </c>
      <c r="D228">
        <v>1</v>
      </c>
      <c r="E228" t="str">
        <v>NZDm</v>
      </c>
      <c r="F228" t="str">
        <v>$m</v>
      </c>
      <c r="G228">
        <v>173</v>
      </c>
      <c r="I228" t="str">
        <v>hm6</v>
      </c>
      <c r="J228" t="str">
        <v>NA</v>
      </c>
      <c r="K228" t="str">
        <v>Households</v>
      </c>
      <c r="L228" t="str">
        <v>Saving ($m)</v>
      </c>
      <c r="M228">
        <v>238</v>
      </c>
      <c r="N228" t="str">
        <v>hm6NAHouseholdsSaving ($m)</v>
      </c>
    </row>
    <row r="229" spans="1:14" x14ac:dyDescent="0.3">
      <c r="A229" t="str">
        <v>hm5</v>
      </c>
      <c r="B229" t="str">
        <v>Consumption expenditureNominal q/q% s.a.</v>
      </c>
      <c r="C229" t="str">
        <v>Consumption expenditure</v>
      </c>
      <c r="D229">
        <v>1</v>
      </c>
      <c r="E229" t="str">
        <v>% s.a.</v>
      </c>
      <c r="F229" t="str">
        <v>q/q%</v>
      </c>
      <c r="G229">
        <v>175</v>
      </c>
      <c r="I229" t="str">
        <v>hm6</v>
      </c>
      <c r="J229" t="str">
        <v>NA</v>
      </c>
      <c r="K229" t="str">
        <v>National</v>
      </c>
      <c r="L229" t="str">
        <v>Saving ($m)</v>
      </c>
      <c r="M229">
        <v>233</v>
      </c>
      <c r="N229" t="str">
        <v>hm6NANationalSaving ($m)</v>
      </c>
    </row>
    <row r="230" spans="1:14" x14ac:dyDescent="0.3">
      <c r="A230" t="str">
        <v>hm5</v>
      </c>
      <c r="B230" t="str">
        <v>Consumption expenditureNominal q/q% s.a.</v>
      </c>
      <c r="C230" t="str">
        <v>Consumption expenditure</v>
      </c>
      <c r="D230">
        <v>2</v>
      </c>
      <c r="E230" t="str">
        <v>% s.a.</v>
      </c>
      <c r="F230" t="str">
        <v>q/q%</v>
      </c>
      <c r="G230">
        <v>183</v>
      </c>
      <c r="I230" t="str">
        <v>hm6</v>
      </c>
      <c r="J230" t="str">
        <v>NA</v>
      </c>
      <c r="K230" t="str">
        <v>Non-profit institutions serving households</v>
      </c>
      <c r="L230" t="str">
        <v>Saving ($m)</v>
      </c>
      <c r="M230">
        <v>237</v>
      </c>
      <c r="N230" t="str">
        <v>hm6NANon-profit institutions serving householdsSaving ($m)</v>
      </c>
    </row>
    <row r="231" spans="1:14" x14ac:dyDescent="0.3">
      <c r="A231" t="str">
        <v>hm5</v>
      </c>
      <c r="B231" t="str">
        <v>Consumption expenditureNominal q/q% s.a.</v>
      </c>
      <c r="C231" t="str">
        <v>Consumption expenditure</v>
      </c>
      <c r="D231">
        <v>3</v>
      </c>
      <c r="E231" t="str">
        <v>% s.a.</v>
      </c>
      <c r="F231" t="str">
        <v>q/q%</v>
      </c>
      <c r="G231">
        <v>211</v>
      </c>
      <c r="I231" t="str">
        <v>hm7</v>
      </c>
      <c r="J231" t="str">
        <v>Balance of Payments</v>
      </c>
      <c r="K231" t="str">
        <v>Balance on goods</v>
      </c>
      <c r="L231" t="str">
        <v>NZDm</v>
      </c>
      <c r="M231">
        <v>244</v>
      </c>
      <c r="N231" t="str">
        <v>hm7Balance of PaymentsBalance on goodsNZDm</v>
      </c>
    </row>
    <row r="232" spans="1:14" x14ac:dyDescent="0.3">
      <c r="A232" t="str">
        <v>hm5</v>
      </c>
      <c r="B232" t="str">
        <v>Consumption expenditureNominal y/y%</v>
      </c>
      <c r="C232" t="str">
        <v>Consumption expenditure</v>
      </c>
      <c r="D232">
        <v>1</v>
      </c>
      <c r="E232" t="str">
        <v>%</v>
      </c>
      <c r="F232" t="str">
        <v>y/y%</v>
      </c>
      <c r="G232">
        <v>176</v>
      </c>
      <c r="I232" t="str">
        <v>hm7</v>
      </c>
      <c r="J232" t="str">
        <v>Balance of Payments</v>
      </c>
      <c r="K232" t="str">
        <v>Balance on primary income</v>
      </c>
      <c r="L232" t="str">
        <v>NZDm</v>
      </c>
      <c r="M232">
        <v>246</v>
      </c>
      <c r="N232" t="str">
        <v>hm7Balance of PaymentsBalance on primary incomeNZDm</v>
      </c>
    </row>
    <row r="233" spans="1:14" x14ac:dyDescent="0.3">
      <c r="A233" t="str">
        <v>hm5</v>
      </c>
      <c r="B233" t="str">
        <v>Consumption expenditureNominal y/y%</v>
      </c>
      <c r="C233" t="str">
        <v>Consumption expenditure</v>
      </c>
      <c r="D233">
        <v>2</v>
      </c>
      <c r="E233" t="str">
        <v>%</v>
      </c>
      <c r="F233" t="str">
        <v>y/y%</v>
      </c>
      <c r="G233">
        <v>184</v>
      </c>
      <c r="I233" t="str">
        <v>hm7</v>
      </c>
      <c r="J233" t="str">
        <v>Balance of Payments</v>
      </c>
      <c r="K233" t="str">
        <v>Balance on secondary income</v>
      </c>
      <c r="L233" t="str">
        <v>NZDm</v>
      </c>
      <c r="M233">
        <v>247</v>
      </c>
      <c r="N233" t="str">
        <v>hm7Balance of PaymentsBalance on secondary incomeNZDm</v>
      </c>
    </row>
    <row r="234" spans="1:14" x14ac:dyDescent="0.3">
      <c r="A234" t="str">
        <v>hm5</v>
      </c>
      <c r="B234" t="str">
        <v>Consumption expenditureNominal y/y%</v>
      </c>
      <c r="C234" t="str">
        <v>Consumption expenditure</v>
      </c>
      <c r="D234">
        <v>3</v>
      </c>
      <c r="E234" t="str">
        <v>%</v>
      </c>
      <c r="F234" t="str">
        <v>y/y%</v>
      </c>
      <c r="G234">
        <v>212</v>
      </c>
      <c r="I234" t="str">
        <v>hm7</v>
      </c>
      <c r="J234" t="str">
        <v>Balance of Payments</v>
      </c>
      <c r="K234" t="str">
        <v>Balance on services</v>
      </c>
      <c r="L234" t="str">
        <v>NZDm</v>
      </c>
      <c r="M234">
        <v>245</v>
      </c>
      <c r="N234" t="str">
        <v>hm7Balance of PaymentsBalance on servicesNZDm</v>
      </c>
    </row>
    <row r="235" spans="1:14" x14ac:dyDescent="0.3">
      <c r="A235" t="str">
        <v>hm5</v>
      </c>
      <c r="B235" t="str">
        <v>Consumption expenditureReal $m</v>
      </c>
      <c r="C235" t="str">
        <v>Consumption expenditure</v>
      </c>
      <c r="D235">
        <v>1</v>
      </c>
      <c r="E235" t="str">
        <v>NZDm(r)</v>
      </c>
      <c r="F235" t="str">
        <v>$m</v>
      </c>
      <c r="G235">
        <v>177</v>
      </c>
      <c r="I235" t="str">
        <v>hm7</v>
      </c>
      <c r="J235" t="str">
        <v>Balance of Payments (Total)</v>
      </c>
      <c r="K235" t="str">
        <v>Current account balance</v>
      </c>
      <c r="L235" t="str">
        <v>NZDm</v>
      </c>
      <c r="M235">
        <v>248</v>
      </c>
      <c r="N235" t="str">
        <v>hm7Balance of Payments (Total)Current account balanceNZDm</v>
      </c>
    </row>
    <row r="236" spans="1:14" x14ac:dyDescent="0.3">
      <c r="A236" t="str">
        <v>hm5</v>
      </c>
      <c r="B236" t="str">
        <v>Consumption expenditureReal $m</v>
      </c>
      <c r="C236" t="str">
        <v>Consumption expenditure</v>
      </c>
      <c r="D236">
        <v>2</v>
      </c>
      <c r="E236" t="str">
        <v>NZDm(r)</v>
      </c>
      <c r="F236" t="str">
        <v>$m</v>
      </c>
      <c r="G236">
        <v>185</v>
      </c>
      <c r="I236" t="str">
        <v>hm7</v>
      </c>
      <c r="J236" t="str">
        <v>Current account balance to GDP ratio (%)</v>
      </c>
      <c r="K236" t="str">
        <v>Current account balance to GDP ratio (%)</v>
      </c>
      <c r="L236" t="str">
        <v>%</v>
      </c>
      <c r="M236">
        <v>242</v>
      </c>
      <c r="N236" t="str">
        <v>hm7Current account balance to GDP ratio (%)Current account balance to GDP ratio (%)%</v>
      </c>
    </row>
    <row r="237" spans="1:14" x14ac:dyDescent="0.3">
      <c r="A237" t="str">
        <v>hm5</v>
      </c>
      <c r="B237" t="str">
        <v>Consumption expenditureReal $m</v>
      </c>
      <c r="C237" t="str">
        <v>Consumption expenditure</v>
      </c>
      <c r="D237">
        <v>3</v>
      </c>
      <c r="E237" t="str">
        <v>NZDm(r)</v>
      </c>
      <c r="F237" t="str">
        <v>$m</v>
      </c>
      <c r="G237">
        <v>213</v>
      </c>
      <c r="I237" t="str">
        <v>hm7</v>
      </c>
      <c r="J237" t="str">
        <v>International Investment Position</v>
      </c>
      <c r="K237" t="str">
        <v>International assets</v>
      </c>
      <c r="L237" t="str">
        <v>NZDm</v>
      </c>
      <c r="M237">
        <v>249</v>
      </c>
      <c r="N237" t="str">
        <v>hm7International Investment PositionInternational assetsNZDm</v>
      </c>
    </row>
    <row r="238" spans="1:14" x14ac:dyDescent="0.3">
      <c r="A238" t="str">
        <v>hm5</v>
      </c>
      <c r="B238" t="str">
        <v>Consumption expenditureReal $m s.a.</v>
      </c>
      <c r="C238" t="str">
        <v>Consumption expenditure</v>
      </c>
      <c r="D238">
        <v>1</v>
      </c>
      <c r="E238" t="str">
        <v>NZDm(r) s.a.</v>
      </c>
      <c r="F238" t="str">
        <v>$m</v>
      </c>
      <c r="G238">
        <v>178</v>
      </c>
      <c r="I238" t="str">
        <v>hm7</v>
      </c>
      <c r="J238" t="str">
        <v>International Investment Position</v>
      </c>
      <c r="K238" t="str">
        <v>International liabilities</v>
      </c>
      <c r="L238" t="str">
        <v>NZDm</v>
      </c>
      <c r="M238">
        <v>250</v>
      </c>
      <c r="N238" t="str">
        <v>hm7International Investment PositionInternational liabilitiesNZDm</v>
      </c>
    </row>
    <row r="239" spans="1:14" x14ac:dyDescent="0.3">
      <c r="A239" t="str">
        <v>hm5</v>
      </c>
      <c r="B239" t="str">
        <v>Consumption expenditureReal $m s.a.</v>
      </c>
      <c r="C239" t="str">
        <v>Consumption expenditure</v>
      </c>
      <c r="D239">
        <v>2</v>
      </c>
      <c r="E239" t="str">
        <v>NZDm(r) s.a.</v>
      </c>
      <c r="F239" t="str">
        <v>$m</v>
      </c>
      <c r="G239">
        <v>186</v>
      </c>
      <c r="I239" t="str">
        <v>hm7</v>
      </c>
      <c r="J239" t="str">
        <v>Net international investment position (IIP)</v>
      </c>
      <c r="K239" t="str">
        <v>NA</v>
      </c>
      <c r="L239" t="str">
        <v>NZDm</v>
      </c>
      <c r="M239">
        <v>251</v>
      </c>
      <c r="N239" t="str">
        <v>hm7Net international investment position (IIP)NANZDm</v>
      </c>
    </row>
    <row r="240" spans="1:14" x14ac:dyDescent="0.3">
      <c r="A240" t="str">
        <v>hm5</v>
      </c>
      <c r="B240" t="str">
        <v>Consumption expenditureReal $m s.a.</v>
      </c>
      <c r="C240" t="str">
        <v>Consumption expenditure</v>
      </c>
      <c r="D240">
        <v>3</v>
      </c>
      <c r="E240" t="str">
        <v>NZDm(r) s.a.</v>
      </c>
      <c r="F240" t="str">
        <v>$m</v>
      </c>
      <c r="G240">
        <v>214</v>
      </c>
      <c r="I240" t="str">
        <v>hm7</v>
      </c>
      <c r="J240" t="str">
        <v>Net international investment position to GDP ratio (%)</v>
      </c>
      <c r="K240" t="str">
        <v>International Investment Position (NZD millions)</v>
      </c>
      <c r="L240" t="str">
        <v>%</v>
      </c>
      <c r="M240">
        <v>243</v>
      </c>
      <c r="N240" t="str">
        <v>hm7Net international investment position to GDP ratio (%)International Investment Position (NZD millions)%</v>
      </c>
    </row>
    <row r="241" spans="1:14" x14ac:dyDescent="0.3">
      <c r="A241" t="str">
        <v>hm5</v>
      </c>
      <c r="B241" t="str">
        <v>Consumption expenditureReal q/q% s.a.</v>
      </c>
      <c r="C241" t="str">
        <v>Consumption expenditure</v>
      </c>
      <c r="D241">
        <v>1</v>
      </c>
      <c r="E241" t="str">
        <v>%(r) s.a.</v>
      </c>
      <c r="F241" t="str">
        <v>q/q%</v>
      </c>
      <c r="G241">
        <v>179</v>
      </c>
      <c r="I241" t="str">
        <v>hm7</v>
      </c>
      <c r="J241" t="str">
        <v>Terms of Trade (Index)</v>
      </c>
      <c r="K241" t="str">
        <v>(Index)</v>
      </c>
      <c r="L241" t="str">
        <v>Index</v>
      </c>
      <c r="M241">
        <v>252</v>
      </c>
      <c r="N241" t="str">
        <v>hm7Terms of Trade (Index)(Index)Index</v>
      </c>
    </row>
    <row r="242" spans="1:14" x14ac:dyDescent="0.3">
      <c r="A242" t="str">
        <v>hm5</v>
      </c>
      <c r="B242" t="str">
        <v>Consumption expenditureReal q/q% s.a.</v>
      </c>
      <c r="C242" t="str">
        <v>Consumption expenditure</v>
      </c>
      <c r="D242">
        <v>2</v>
      </c>
      <c r="E242" t="str">
        <v>%(r) s.a.</v>
      </c>
      <c r="F242" t="str">
        <v>q/q%</v>
      </c>
      <c r="G242">
        <v>187</v>
      </c>
      <c r="I242" t="str">
        <v>hm7</v>
      </c>
      <c r="J242" t="str">
        <v>Terms of Trade (q/q%)</v>
      </c>
      <c r="K242" t="str">
        <v>(q/q%)</v>
      </c>
      <c r="L242" t="str">
        <v>%</v>
      </c>
      <c r="M242">
        <v>240</v>
      </c>
      <c r="N242" t="str">
        <v>hm7Terms of Trade (q/q%)(q/q%)%</v>
      </c>
    </row>
    <row r="243" spans="1:14" x14ac:dyDescent="0.3">
      <c r="A243" t="str">
        <v>hm5</v>
      </c>
      <c r="B243" t="str">
        <v>Consumption expenditureReal q/q% s.a.</v>
      </c>
      <c r="C243" t="str">
        <v>Consumption expenditure</v>
      </c>
      <c r="D243">
        <v>3</v>
      </c>
      <c r="E243" t="str">
        <v>%(r) s.a.</v>
      </c>
      <c r="F243" t="str">
        <v>q/q%</v>
      </c>
      <c r="G243">
        <v>215</v>
      </c>
      <c r="I243" t="str">
        <v>hm7</v>
      </c>
      <c r="J243" t="str">
        <v>Terms of Trade (y/y%)</v>
      </c>
      <c r="K243" t="str">
        <v>(y/y%)</v>
      </c>
      <c r="L243" t="str">
        <v>%</v>
      </c>
      <c r="M243">
        <v>241</v>
      </c>
      <c r="N243" t="str">
        <v>hm7Terms of Trade (y/y%)(y/y%)%</v>
      </c>
    </row>
    <row r="244" spans="1:14" x14ac:dyDescent="0.3">
      <c r="A244" t="str">
        <v>hm5</v>
      </c>
      <c r="B244" t="str">
        <v>Consumption expenditureReal y/y%</v>
      </c>
      <c r="C244" t="str">
        <v>Consumption expenditure</v>
      </c>
      <c r="D244">
        <v>1</v>
      </c>
      <c r="E244" t="str">
        <v>%(r)</v>
      </c>
      <c r="F244" t="str">
        <v>y/y%</v>
      </c>
      <c r="G244">
        <v>180</v>
      </c>
      <c r="I244" t="str">
        <v>hm8</v>
      </c>
      <c r="J244" t="str">
        <v>Prices (Index)</v>
      </c>
      <c r="K244" t="str">
        <v>Export</v>
      </c>
      <c r="L244" t="str">
        <v>Index</v>
      </c>
      <c r="M244">
        <v>261</v>
      </c>
      <c r="N244" t="str">
        <v>hm8Prices (Index)ExportIndex</v>
      </c>
    </row>
    <row r="245" spans="1:14" x14ac:dyDescent="0.3">
      <c r="A245" t="str">
        <v>hm5</v>
      </c>
      <c r="B245" t="str">
        <v>Consumption expenditureReal y/y%</v>
      </c>
      <c r="C245" t="str">
        <v>Consumption expenditure</v>
      </c>
      <c r="D245">
        <v>2</v>
      </c>
      <c r="E245" t="str">
        <v>%(r)</v>
      </c>
      <c r="F245" t="str">
        <v>y/y%</v>
      </c>
      <c r="G245">
        <v>188</v>
      </c>
      <c r="I245" t="str">
        <v>hm8</v>
      </c>
      <c r="J245" t="str">
        <v>Prices (Index)</v>
      </c>
      <c r="K245" t="str">
        <v>Import</v>
      </c>
      <c r="L245" t="str">
        <v>Index</v>
      </c>
      <c r="M245">
        <v>262</v>
      </c>
      <c r="N245" t="str">
        <v>hm8Prices (Index)ImportIndex</v>
      </c>
    </row>
    <row r="246" spans="1:14" x14ac:dyDescent="0.3">
      <c r="A246" t="str">
        <v>hm5</v>
      </c>
      <c r="B246" t="str">
        <v>Consumption expenditureReal y/y%</v>
      </c>
      <c r="C246" t="str">
        <v>Consumption expenditure</v>
      </c>
      <c r="D246">
        <v>3</v>
      </c>
      <c r="E246" t="str">
        <v>%(r)</v>
      </c>
      <c r="F246" t="str">
        <v>y/y%</v>
      </c>
      <c r="G246">
        <v>216</v>
      </c>
      <c r="I246" t="str">
        <v>hm8</v>
      </c>
      <c r="J246" t="str">
        <v>Prices (q/q%)</v>
      </c>
      <c r="K246" t="str">
        <v>Export</v>
      </c>
      <c r="L246" t="str">
        <v>%</v>
      </c>
      <c r="M246">
        <v>263</v>
      </c>
      <c r="N246" t="str">
        <v>hm8Prices (q/q%)Export%</v>
      </c>
    </row>
    <row r="247" spans="1:14" x14ac:dyDescent="0.3">
      <c r="A247" t="str">
        <v>hm5</v>
      </c>
      <c r="B247" t="str">
        <v>GDPNominal $m</v>
      </c>
      <c r="C247" t="str">
        <v>GDP</v>
      </c>
      <c r="D247">
        <v>1</v>
      </c>
      <c r="E247" t="str">
        <v>NZDm</v>
      </c>
      <c r="F247" t="str">
        <v>$m</v>
      </c>
      <c r="G247">
        <v>165</v>
      </c>
      <c r="I247" t="str">
        <v>hm8</v>
      </c>
      <c r="J247" t="str">
        <v>Prices (q/q%)</v>
      </c>
      <c r="K247" t="str">
        <v>Import</v>
      </c>
      <c r="L247" t="str">
        <v>%</v>
      </c>
      <c r="M247">
        <v>264</v>
      </c>
      <c r="N247" t="str">
        <v>hm8Prices (q/q%)Import%</v>
      </c>
    </row>
    <row r="248" spans="1:14" x14ac:dyDescent="0.3">
      <c r="A248" t="str">
        <v>hm5</v>
      </c>
      <c r="B248" t="str">
        <v>GDPNominal $m s.a.</v>
      </c>
      <c r="C248" t="str">
        <v>GDP</v>
      </c>
      <c r="D248">
        <v>1</v>
      </c>
      <c r="E248" t="str">
        <v>NZDm s.a.</v>
      </c>
      <c r="F248" t="str">
        <v>$m</v>
      </c>
      <c r="G248">
        <v>166</v>
      </c>
      <c r="I248" t="str">
        <v>hm8</v>
      </c>
      <c r="J248" t="str">
        <v>Prices (y/y%)</v>
      </c>
      <c r="K248" t="str">
        <v>Export</v>
      </c>
      <c r="L248" t="str">
        <v>%</v>
      </c>
      <c r="M248">
        <v>265</v>
      </c>
      <c r="N248" t="str">
        <v>hm8Prices (y/y%)Export%</v>
      </c>
    </row>
    <row r="249" spans="1:14" x14ac:dyDescent="0.3">
      <c r="A249" t="str">
        <v>hm5</v>
      </c>
      <c r="B249" t="str">
        <v>GDPNominal q/q% s.a.</v>
      </c>
      <c r="C249" t="str">
        <v>GDP</v>
      </c>
      <c r="D249">
        <v>1</v>
      </c>
      <c r="E249" t="str">
        <v>% s.a.</v>
      </c>
      <c r="F249" t="str">
        <v>q/q%</v>
      </c>
      <c r="G249">
        <v>167</v>
      </c>
      <c r="I249" t="str">
        <v>hm8</v>
      </c>
      <c r="J249" t="str">
        <v>Prices (y/y%)</v>
      </c>
      <c r="K249" t="str">
        <v>Import</v>
      </c>
      <c r="L249" t="str">
        <v>%</v>
      </c>
      <c r="M249">
        <v>266</v>
      </c>
      <c r="N249" t="str">
        <v>hm8Prices (y/y%)Import%</v>
      </c>
    </row>
    <row r="250" spans="1:14" x14ac:dyDescent="0.3">
      <c r="A250" t="str">
        <v>hm5</v>
      </c>
      <c r="B250" t="str">
        <v>GDPNominal y/y%</v>
      </c>
      <c r="C250" t="str">
        <v>GDP</v>
      </c>
      <c r="D250">
        <v>1</v>
      </c>
      <c r="E250" t="str">
        <v>%</v>
      </c>
      <c r="F250" t="str">
        <v>y/y%</v>
      </c>
      <c r="G250">
        <v>168</v>
      </c>
      <c r="I250" t="str">
        <v>hm8</v>
      </c>
      <c r="J250" t="str">
        <v>Values ($m s.a.)</v>
      </c>
      <c r="K250" t="str">
        <v>Export</v>
      </c>
      <c r="L250" t="str">
        <v>$m</v>
      </c>
      <c r="M250">
        <v>253</v>
      </c>
      <c r="N250" t="str">
        <v>hm8Values ($m s.a.)Export$m</v>
      </c>
    </row>
    <row r="251" spans="1:14" x14ac:dyDescent="0.3">
      <c r="A251" t="str">
        <v>hm5</v>
      </c>
      <c r="B251" t="str">
        <v>GDPReal $m</v>
      </c>
      <c r="C251" t="str">
        <v>GDP</v>
      </c>
      <c r="D251">
        <v>1</v>
      </c>
      <c r="E251" t="str">
        <v>NZDm(r)</v>
      </c>
      <c r="F251" t="str">
        <v>$m</v>
      </c>
      <c r="G251">
        <v>161</v>
      </c>
      <c r="I251" t="str">
        <v>hm8</v>
      </c>
      <c r="J251" t="str">
        <v>Values ($m s.a.)</v>
      </c>
      <c r="K251" t="str">
        <v>Import</v>
      </c>
      <c r="L251" t="str">
        <v>$m</v>
      </c>
      <c r="M251">
        <v>254</v>
      </c>
      <c r="N251" t="str">
        <v>hm8Values ($m s.a.)Import$m</v>
      </c>
    </row>
    <row r="252" spans="1:14" x14ac:dyDescent="0.3">
      <c r="A252" t="str">
        <v>hm5</v>
      </c>
      <c r="B252" t="str">
        <v>GDPReal $m</v>
      </c>
      <c r="C252" t="str">
        <v>GDP</v>
      </c>
      <c r="D252">
        <v>2</v>
      </c>
      <c r="E252" t="str">
        <v>NZDm(r)</v>
      </c>
      <c r="F252" t="str">
        <v>$m</v>
      </c>
      <c r="G252">
        <v>169</v>
      </c>
      <c r="I252" t="str">
        <v>hm8</v>
      </c>
      <c r="J252" t="str">
        <v>Values ($m)</v>
      </c>
      <c r="K252" t="str">
        <v>Export</v>
      </c>
      <c r="L252" t="str">
        <v>$m</v>
      </c>
      <c r="M252">
        <v>255</v>
      </c>
      <c r="N252" t="str">
        <v>hm8Values ($m)Export$m</v>
      </c>
    </row>
    <row r="253" spans="1:14" x14ac:dyDescent="0.3">
      <c r="A253" t="str">
        <v>hm5</v>
      </c>
      <c r="B253" t="str">
        <v>GDPReal $m s.a.</v>
      </c>
      <c r="C253" t="str">
        <v>GDP</v>
      </c>
      <c r="D253">
        <v>1</v>
      </c>
      <c r="E253" t="str">
        <v>NZDm(r) s.a.</v>
      </c>
      <c r="F253" t="str">
        <v>$m</v>
      </c>
      <c r="G253">
        <v>162</v>
      </c>
      <c r="I253" t="str">
        <v>hm8</v>
      </c>
      <c r="J253" t="str">
        <v>Values ($m)</v>
      </c>
      <c r="K253" t="str">
        <v>Import</v>
      </c>
      <c r="L253" t="str">
        <v>$m</v>
      </c>
      <c r="M253">
        <v>256</v>
      </c>
      <c r="N253" t="str">
        <v>hm8Values ($m)Import$m</v>
      </c>
    </row>
    <row r="254" spans="1:14" x14ac:dyDescent="0.3">
      <c r="A254" t="str">
        <v>hm5</v>
      </c>
      <c r="B254" t="str">
        <v>GDPReal $m s.a.</v>
      </c>
      <c r="C254" t="str">
        <v>GDP</v>
      </c>
      <c r="D254">
        <v>2</v>
      </c>
      <c r="E254" t="str">
        <v>NZDm(r) s.a.</v>
      </c>
      <c r="F254" t="str">
        <v>$m</v>
      </c>
      <c r="G254">
        <v>170</v>
      </c>
      <c r="I254" t="str">
        <v>hm8</v>
      </c>
      <c r="J254" t="str">
        <v>Values (q/q% s.a.)</v>
      </c>
      <c r="K254" t="str">
        <v>Export</v>
      </c>
      <c r="L254" t="str">
        <v>%</v>
      </c>
      <c r="M254">
        <v>257</v>
      </c>
      <c r="N254" t="str">
        <v>hm8Values (q/q% s.a.)Export%</v>
      </c>
    </row>
    <row r="255" spans="1:14" x14ac:dyDescent="0.3">
      <c r="A255" t="str">
        <v>hm5</v>
      </c>
      <c r="B255" t="str">
        <v>GDPReal q/q% s.a.</v>
      </c>
      <c r="C255" t="str">
        <v>GDP</v>
      </c>
      <c r="D255">
        <v>1</v>
      </c>
      <c r="E255" t="str">
        <v>%(r) s.a.</v>
      </c>
      <c r="F255" t="str">
        <v>q/q%</v>
      </c>
      <c r="G255">
        <v>163</v>
      </c>
      <c r="I255" t="str">
        <v>hm8</v>
      </c>
      <c r="J255" t="str">
        <v>Values (q/q% s.a.)</v>
      </c>
      <c r="K255" t="str">
        <v>Import</v>
      </c>
      <c r="L255" t="str">
        <v>%</v>
      </c>
      <c r="M255">
        <v>258</v>
      </c>
      <c r="N255" t="str">
        <v>hm8Values (q/q% s.a.)Import%</v>
      </c>
    </row>
    <row r="256" spans="1:14" x14ac:dyDescent="0.3">
      <c r="A256" t="str">
        <v>hm5</v>
      </c>
      <c r="B256" t="str">
        <v>GDPReal q/q% s.a.</v>
      </c>
      <c r="C256" t="str">
        <v>GDP</v>
      </c>
      <c r="D256">
        <v>2</v>
      </c>
      <c r="E256" t="str">
        <v>%(r) s.a.</v>
      </c>
      <c r="F256" t="str">
        <v>q/q%</v>
      </c>
      <c r="G256">
        <v>171</v>
      </c>
      <c r="I256" t="str">
        <v>hm8</v>
      </c>
      <c r="J256" t="str">
        <v>Values (y/y%)</v>
      </c>
      <c r="K256" t="str">
        <v>Export</v>
      </c>
      <c r="L256" t="str">
        <v>%</v>
      </c>
      <c r="M256">
        <v>259</v>
      </c>
      <c r="N256" t="str">
        <v>hm8Values (y/y%)Export%</v>
      </c>
    </row>
    <row r="257" spans="1:14" x14ac:dyDescent="0.3">
      <c r="A257" t="str">
        <v>hm5</v>
      </c>
      <c r="B257" t="str">
        <v>GDPReal y/y%</v>
      </c>
      <c r="C257" t="str">
        <v>GDP</v>
      </c>
      <c r="D257">
        <v>1</v>
      </c>
      <c r="E257" t="str">
        <v>%(r)</v>
      </c>
      <c r="F257" t="str">
        <v>y/y%</v>
      </c>
      <c r="G257">
        <v>164</v>
      </c>
      <c r="I257" t="str">
        <v>hm8</v>
      </c>
      <c r="J257" t="str">
        <v>Values (y/y%)</v>
      </c>
      <c r="K257" t="str">
        <v>Import</v>
      </c>
      <c r="L257" t="str">
        <v>%</v>
      </c>
      <c r="M257">
        <v>260</v>
      </c>
      <c r="N257" t="str">
        <v>hm8Values (y/y%)Import%</v>
      </c>
    </row>
    <row r="258" spans="1:14" x14ac:dyDescent="0.3">
      <c r="A258" t="str">
        <v>hm5</v>
      </c>
      <c r="B258" t="str">
        <v>GDPReal y/y%</v>
      </c>
      <c r="C258" t="str">
        <v>GDP</v>
      </c>
      <c r="D258">
        <v>2</v>
      </c>
      <c r="E258" t="str">
        <v>%(r)</v>
      </c>
      <c r="F258" t="str">
        <v>y/y%</v>
      </c>
      <c r="G258">
        <v>172</v>
      </c>
      <c r="I258" t="str">
        <v>hm8</v>
      </c>
      <c r="J258" t="str">
        <v>Volumes (Index s.a.)</v>
      </c>
      <c r="K258" t="str">
        <v>Export</v>
      </c>
      <c r="L258" t="str">
        <v>Index</v>
      </c>
      <c r="M258">
        <v>273</v>
      </c>
      <c r="N258" t="str">
        <v>hm8Volumes (Index s.a.)ExportIndex</v>
      </c>
    </row>
    <row r="259" spans="1:14" x14ac:dyDescent="0.3">
      <c r="A259" t="str">
        <v>hm5</v>
      </c>
      <c r="B259" t="str">
        <v>Gross fixed capital formationNominal $m</v>
      </c>
      <c r="C259" t="str">
        <v>Gross fixed capital formation</v>
      </c>
      <c r="D259">
        <v>1</v>
      </c>
      <c r="E259" t="str">
        <v>NZDm</v>
      </c>
      <c r="F259" t="str">
        <v>$m</v>
      </c>
      <c r="G259">
        <v>193</v>
      </c>
      <c r="I259" t="str">
        <v>hm8</v>
      </c>
      <c r="J259" t="str">
        <v>Volumes (Index s.a.)</v>
      </c>
      <c r="K259" t="str">
        <v>Import</v>
      </c>
      <c r="L259" t="str">
        <v>Index</v>
      </c>
      <c r="M259">
        <v>274</v>
      </c>
      <c r="N259" t="str">
        <v>hm8Volumes (Index s.a.)ImportIndex</v>
      </c>
    </row>
    <row r="260" spans="1:14" x14ac:dyDescent="0.3">
      <c r="A260" t="str">
        <v>hm5</v>
      </c>
      <c r="B260" t="str">
        <v>Gross fixed capital formationNominal $m</v>
      </c>
      <c r="C260" t="str">
        <v>Gross fixed capital formation</v>
      </c>
      <c r="D260">
        <v>2</v>
      </c>
      <c r="E260" t="str">
        <v>NZDm</v>
      </c>
      <c r="F260" t="str">
        <v>$m</v>
      </c>
      <c r="G260">
        <v>201</v>
      </c>
      <c r="I260" t="str">
        <v>hm8</v>
      </c>
      <c r="J260" t="str">
        <v>Volumes (Index)</v>
      </c>
      <c r="K260" t="str">
        <v>Export</v>
      </c>
      <c r="L260" t="str">
        <v>Index</v>
      </c>
      <c r="M260">
        <v>267</v>
      </c>
      <c r="N260" t="str">
        <v>hm8Volumes (Index)ExportIndex</v>
      </c>
    </row>
    <row r="261" spans="1:14" x14ac:dyDescent="0.3">
      <c r="A261" t="str">
        <v>hm5</v>
      </c>
      <c r="B261" t="str">
        <v>Gross fixed capital formationNominal $m s.a.</v>
      </c>
      <c r="C261" t="str">
        <v>Gross fixed capital formation</v>
      </c>
      <c r="D261">
        <v>1</v>
      </c>
      <c r="E261" t="str">
        <v>NZDm s.a.</v>
      </c>
      <c r="F261" t="str">
        <v>$m</v>
      </c>
      <c r="G261">
        <v>194</v>
      </c>
      <c r="I261" t="str">
        <v>hm8</v>
      </c>
      <c r="J261" t="str">
        <v>Volumes (Index)</v>
      </c>
      <c r="K261" t="str">
        <v>Import</v>
      </c>
      <c r="L261" t="str">
        <v>Index</v>
      </c>
      <c r="M261">
        <v>268</v>
      </c>
      <c r="N261" t="str">
        <v>hm8Volumes (Index)ImportIndex</v>
      </c>
    </row>
    <row r="262" spans="1:14" x14ac:dyDescent="0.3">
      <c r="A262" t="str">
        <v>hm5</v>
      </c>
      <c r="B262" t="str">
        <v>Gross fixed capital formationNominal $m s.a.</v>
      </c>
      <c r="C262" t="str">
        <v>Gross fixed capital formation</v>
      </c>
      <c r="D262">
        <v>2</v>
      </c>
      <c r="E262" t="str">
        <v>NZDm s.a.</v>
      </c>
      <c r="F262" t="str">
        <v>$m</v>
      </c>
      <c r="G262">
        <v>202</v>
      </c>
      <c r="I262" t="str">
        <v>hm8</v>
      </c>
      <c r="J262" t="str">
        <v>Volumes (q/q% s.a.)</v>
      </c>
      <c r="K262" t="str">
        <v>Export</v>
      </c>
      <c r="L262" t="str">
        <v>%</v>
      </c>
      <c r="M262">
        <v>269</v>
      </c>
      <c r="N262" t="str">
        <v>hm8Volumes (q/q% s.a.)Export%</v>
      </c>
    </row>
    <row r="263" spans="1:14" x14ac:dyDescent="0.3">
      <c r="A263" t="str">
        <v>hm5</v>
      </c>
      <c r="B263" t="str">
        <v>Gross fixed capital formationNominal q/q% s.a.</v>
      </c>
      <c r="C263" t="str">
        <v>Gross fixed capital formation</v>
      </c>
      <c r="D263">
        <v>1</v>
      </c>
      <c r="E263" t="str">
        <v>% s.a.</v>
      </c>
      <c r="F263" t="str">
        <v>q/q%</v>
      </c>
      <c r="G263">
        <v>195</v>
      </c>
      <c r="I263" t="str">
        <v>hm8</v>
      </c>
      <c r="J263" t="str">
        <v>Volumes (q/q% s.a.)</v>
      </c>
      <c r="K263" t="str">
        <v>Import</v>
      </c>
      <c r="L263" t="str">
        <v>%</v>
      </c>
      <c r="M263">
        <v>270</v>
      </c>
      <c r="N263" t="str">
        <v>hm8Volumes (q/q% s.a.)Import%</v>
      </c>
    </row>
    <row r="264" spans="1:14" x14ac:dyDescent="0.3">
      <c r="A264" t="str">
        <v>hm5</v>
      </c>
      <c r="B264" t="str">
        <v>Gross fixed capital formationNominal q/q% s.a.</v>
      </c>
      <c r="C264" t="str">
        <v>Gross fixed capital formation</v>
      </c>
      <c r="D264">
        <v>2</v>
      </c>
      <c r="E264" t="str">
        <v>% s.a.</v>
      </c>
      <c r="F264" t="str">
        <v>q/q%</v>
      </c>
      <c r="G264">
        <v>203</v>
      </c>
      <c r="I264" t="str">
        <v>hm8</v>
      </c>
      <c r="J264" t="str">
        <v>Volumes (y/y%)</v>
      </c>
      <c r="K264" t="str">
        <v>Export</v>
      </c>
      <c r="L264" t="str">
        <v>%</v>
      </c>
      <c r="M264">
        <v>271</v>
      </c>
      <c r="N264" t="str">
        <v>hm8Volumes (y/y%)Export%</v>
      </c>
    </row>
    <row r="265" spans="1:14" x14ac:dyDescent="0.3">
      <c r="A265" t="str">
        <v>hm5</v>
      </c>
      <c r="B265" t="str">
        <v>Gross fixed capital formationNominal y/y%</v>
      </c>
      <c r="C265" t="str">
        <v>Gross fixed capital formation</v>
      </c>
      <c r="D265">
        <v>1</v>
      </c>
      <c r="E265" t="str">
        <v>%</v>
      </c>
      <c r="F265" t="str">
        <v>y/y%</v>
      </c>
      <c r="G265">
        <v>196</v>
      </c>
      <c r="I265" t="str">
        <v>hm8</v>
      </c>
      <c r="J265" t="str">
        <v>Volumes (y/y%)</v>
      </c>
      <c r="K265" t="str">
        <v>Import</v>
      </c>
      <c r="L265" t="str">
        <v>%</v>
      </c>
      <c r="M265">
        <v>272</v>
      </c>
      <c r="N265" t="str">
        <v>hm8Volumes (y/y%)Import%</v>
      </c>
    </row>
    <row r="266" spans="1:14" x14ac:dyDescent="0.3">
      <c r="A266" t="str">
        <v>hm5</v>
      </c>
      <c r="B266" t="str">
        <v>Gross fixed capital formationNominal y/y%</v>
      </c>
      <c r="C266" t="str">
        <v>Gross fixed capital formation</v>
      </c>
      <c r="D266">
        <v>2</v>
      </c>
      <c r="E266" t="str">
        <v>%</v>
      </c>
      <c r="F266" t="str">
        <v>y/y%</v>
      </c>
      <c r="G266">
        <v>204</v>
      </c>
      <c r="I266" t="str">
        <v>hm9</v>
      </c>
      <c r="J266" t="str">
        <v>Employed (000s s.a.)</v>
      </c>
      <c r="K266" t="str">
        <v>Labour force</v>
      </c>
      <c r="L266" t="str">
        <v>000's</v>
      </c>
      <c r="M266">
        <v>286</v>
      </c>
      <c r="N266" t="str">
        <v>hm9Employed (000s s.a.)Labour force000's</v>
      </c>
    </row>
    <row r="267" spans="1:14" x14ac:dyDescent="0.3">
      <c r="A267" t="str">
        <v>hm5</v>
      </c>
      <c r="B267" t="str">
        <v>Gross fixed capital formationReal $m</v>
      </c>
      <c r="C267" t="str">
        <v>Gross fixed capital formation</v>
      </c>
      <c r="D267">
        <v>1</v>
      </c>
      <c r="E267" t="str">
        <v>NZDm(r)</v>
      </c>
      <c r="F267" t="str">
        <v>$m</v>
      </c>
      <c r="G267">
        <v>197</v>
      </c>
      <c r="I267" t="str">
        <v>hm9</v>
      </c>
      <c r="J267" t="str">
        <v>Employed (y/y%)</v>
      </c>
      <c r="K267" t="str">
        <v>Labour force</v>
      </c>
      <c r="L267" t="str">
        <v>Total %</v>
      </c>
      <c r="M267">
        <v>283</v>
      </c>
      <c r="N267" t="str">
        <v>hm9Employed (y/y%)Labour forceTotal %</v>
      </c>
    </row>
    <row r="268" spans="1:14" x14ac:dyDescent="0.3">
      <c r="A268" t="str">
        <v>hm5</v>
      </c>
      <c r="B268" t="str">
        <v>Gross fixed capital formationReal $m</v>
      </c>
      <c r="C268" t="str">
        <v>Gross fixed capital formation</v>
      </c>
      <c r="D268">
        <v>2</v>
      </c>
      <c r="E268" t="str">
        <v>NZDm(r)</v>
      </c>
      <c r="F268" t="str">
        <v>$m</v>
      </c>
      <c r="G268">
        <v>205</v>
      </c>
      <c r="I268" t="str">
        <v>hm9</v>
      </c>
      <c r="J268" t="str">
        <v>Hourly Earnings $</v>
      </c>
      <c r="K268" t="str">
        <v>Average hourly earnings (ordinary time and overtime)</v>
      </c>
      <c r="L268" t="str">
        <v>$</v>
      </c>
      <c r="M268">
        <v>295</v>
      </c>
      <c r="N268" t="str">
        <v>hm9Hourly Earnings $Average hourly earnings (ordinary time and overtime)$</v>
      </c>
    </row>
    <row r="269" spans="1:14" x14ac:dyDescent="0.3">
      <c r="A269" t="str">
        <v>hm5</v>
      </c>
      <c r="B269" t="str">
        <v>Gross fixed capital formationReal $m s.a.</v>
      </c>
      <c r="C269" t="str">
        <v>Gross fixed capital formation</v>
      </c>
      <c r="D269">
        <v>1</v>
      </c>
      <c r="E269" t="str">
        <v>NZDm(r) s.a.</v>
      </c>
      <c r="F269" t="str">
        <v>$m</v>
      </c>
      <c r="G269">
        <v>198</v>
      </c>
      <c r="I269" t="str">
        <v>hm9</v>
      </c>
      <c r="J269" t="str">
        <v>Hourly Earnings q/q%</v>
      </c>
      <c r="K269" t="str">
        <v>Average hourly earnings (ordinary time and overtime)</v>
      </c>
      <c r="L269" t="str">
        <v>%</v>
      </c>
      <c r="M269">
        <v>296</v>
      </c>
      <c r="N269" t="str">
        <v>hm9Hourly Earnings q/q%Average hourly earnings (ordinary time and overtime)%</v>
      </c>
    </row>
    <row r="270" spans="1:14" x14ac:dyDescent="0.3">
      <c r="A270" t="str">
        <v>hm5</v>
      </c>
      <c r="B270" t="str">
        <v>Gross fixed capital formationReal $m s.a.</v>
      </c>
      <c r="C270" t="str">
        <v>Gross fixed capital formation</v>
      </c>
      <c r="D270">
        <v>2</v>
      </c>
      <c r="E270" t="str">
        <v>NZDm(r) s.a.</v>
      </c>
      <c r="F270" t="str">
        <v>$m</v>
      </c>
      <c r="G270">
        <v>206</v>
      </c>
      <c r="I270" t="str">
        <v>hm9</v>
      </c>
      <c r="J270" t="str">
        <v>Hourly Earnings y/y%</v>
      </c>
      <c r="K270" t="str">
        <v>Average hourly earnings (ordinary time and overtime)</v>
      </c>
      <c r="L270" t="str">
        <v>%</v>
      </c>
      <c r="M270">
        <v>297</v>
      </c>
      <c r="N270" t="str">
        <v>hm9Hourly Earnings y/y%Average hourly earnings (ordinary time and overtime)%</v>
      </c>
    </row>
    <row r="271" spans="1:14" x14ac:dyDescent="0.3">
      <c r="A271" t="str">
        <v>hm5</v>
      </c>
      <c r="B271" t="str">
        <v>Gross fixed capital formationReal q/q% s.a.</v>
      </c>
      <c r="C271" t="str">
        <v>Gross fixed capital formation</v>
      </c>
      <c r="D271">
        <v>1</v>
      </c>
      <c r="E271" t="str">
        <v>%(r) s.a.</v>
      </c>
      <c r="F271" t="str">
        <v>q/q%</v>
      </c>
      <c r="G271">
        <v>199</v>
      </c>
      <c r="I271" t="str">
        <v>hm9</v>
      </c>
      <c r="J271" t="str">
        <v>Labour Force % s.a.</v>
      </c>
      <c r="K271" t="str">
        <v>Labour force participation rate</v>
      </c>
      <c r="L271" t="str">
        <v>Total %</v>
      </c>
      <c r="M271">
        <v>275</v>
      </c>
      <c r="N271" t="str">
        <v>hm9Labour Force % s.a.Labour force participation rateTotal %</v>
      </c>
    </row>
    <row r="272" spans="1:14" x14ac:dyDescent="0.3">
      <c r="A272" t="str">
        <v>hm5</v>
      </c>
      <c r="B272" t="str">
        <v>Gross fixed capital formationReal q/q% s.a.</v>
      </c>
      <c r="C272" t="str">
        <v>Gross fixed capital formation</v>
      </c>
      <c r="D272">
        <v>2</v>
      </c>
      <c r="E272" t="str">
        <v>%(r) s.a.</v>
      </c>
      <c r="F272" t="str">
        <v>q/q%</v>
      </c>
      <c r="G272">
        <v>207</v>
      </c>
      <c r="I272" t="str">
        <v>hm9</v>
      </c>
      <c r="J272" t="str">
        <v>Labour Force (000s s.a.)</v>
      </c>
      <c r="K272" t="str">
        <v>Labour force</v>
      </c>
      <c r="L272" t="str">
        <v>000's</v>
      </c>
      <c r="M272">
        <v>288</v>
      </c>
      <c r="N272" t="str">
        <v>hm9Labour Force (000s s.a.)Labour force000's</v>
      </c>
    </row>
    <row r="273" spans="1:14" x14ac:dyDescent="0.3">
      <c r="A273" t="str">
        <v>hm5</v>
      </c>
      <c r="B273" t="str">
        <v>Gross fixed capital formationReal y/y%</v>
      </c>
      <c r="C273" t="str">
        <v>Gross fixed capital formation</v>
      </c>
      <c r="D273">
        <v>1</v>
      </c>
      <c r="E273" t="str">
        <v>%(r)</v>
      </c>
      <c r="F273" t="str">
        <v>y/y%</v>
      </c>
      <c r="G273">
        <v>200</v>
      </c>
      <c r="I273" t="str">
        <v>hm9</v>
      </c>
      <c r="J273" t="str">
        <v>LCI Index</v>
      </c>
      <c r="K273" t="str">
        <v>Labour cost index (LCI)</v>
      </c>
      <c r="L273" t="str">
        <v>Index</v>
      </c>
      <c r="M273">
        <v>279</v>
      </c>
      <c r="N273" t="str">
        <v>hm9LCI IndexLabour cost index (LCI)Index</v>
      </c>
    </row>
    <row r="274" spans="1:14" x14ac:dyDescent="0.3">
      <c r="A274" t="str">
        <v>hm5</v>
      </c>
      <c r="B274" t="str">
        <v>Gross fixed capital formationReal y/y%</v>
      </c>
      <c r="C274" t="str">
        <v>Gross fixed capital formation</v>
      </c>
      <c r="D274">
        <v>2</v>
      </c>
      <c r="E274" t="str">
        <v>%(r)</v>
      </c>
      <c r="F274" t="str">
        <v>y/y%</v>
      </c>
      <c r="G274">
        <v>208</v>
      </c>
      <c r="I274" t="str">
        <v>hm9</v>
      </c>
      <c r="J274" t="str">
        <v>LCI y/y%</v>
      </c>
      <c r="K274" t="str">
        <v>Labour cost index (LCI)</v>
      </c>
      <c r="L274" t="str">
        <v>%</v>
      </c>
      <c r="M274">
        <v>280</v>
      </c>
      <c r="N274" t="str">
        <v>hm9LCI y/y%Labour cost index (LCI)%</v>
      </c>
    </row>
    <row r="275" spans="1:14" x14ac:dyDescent="0.3">
      <c r="A275" t="str">
        <v>hm5</v>
      </c>
      <c r="B275" t="str">
        <v>Import/Export of G&amp;SNominal $m</v>
      </c>
      <c r="C275" t="str">
        <v>Import/Export of G&amp;S</v>
      </c>
      <c r="D275">
        <v>1</v>
      </c>
      <c r="E275" t="str">
        <v>NZDm</v>
      </c>
      <c r="F275" t="str">
        <v>$m</v>
      </c>
      <c r="G275">
        <v>217</v>
      </c>
      <c r="I275" t="str">
        <v>hm9</v>
      </c>
      <c r="J275" t="str">
        <v>Not in labour force</v>
      </c>
      <c r="K275" t="str">
        <v>Not in labour force</v>
      </c>
      <c r="L275" t="str">
        <v>000's</v>
      </c>
      <c r="M275">
        <v>277</v>
      </c>
      <c r="N275" t="str">
        <v>hm9Not in labour forceNot in labour force000's</v>
      </c>
    </row>
    <row r="276" spans="1:14" x14ac:dyDescent="0.3">
      <c r="A276" t="str">
        <v>hm5</v>
      </c>
      <c r="B276" t="str">
        <v>Import/Export of G&amp;SNominal $m</v>
      </c>
      <c r="C276" t="str">
        <v>Import/Export of G&amp;S</v>
      </c>
      <c r="D276">
        <v>2</v>
      </c>
      <c r="E276" t="str">
        <v>NZDm</v>
      </c>
      <c r="F276" t="str">
        <v>$m</v>
      </c>
      <c r="G276">
        <v>225</v>
      </c>
      <c r="I276" t="str">
        <v>hm9</v>
      </c>
      <c r="J276" t="str">
        <v>Not in Labour Force y/y%</v>
      </c>
      <c r="K276" t="str">
        <v>Not in labour force</v>
      </c>
      <c r="L276" t="str">
        <v>%</v>
      </c>
      <c r="M276">
        <v>281</v>
      </c>
      <c r="N276" t="str">
        <v>hm9Not in Labour Force y/y%Not in labour force%</v>
      </c>
    </row>
    <row r="277" spans="1:14" x14ac:dyDescent="0.3">
      <c r="A277" t="str">
        <v>hm5</v>
      </c>
      <c r="B277" t="str">
        <v>Import/Export of G&amp;SNominal $m s.a.</v>
      </c>
      <c r="C277" t="str">
        <v>Import/Export of G&amp;S</v>
      </c>
      <c r="D277">
        <v>1</v>
      </c>
      <c r="E277" t="str">
        <v>NZDm s.a.</v>
      </c>
      <c r="F277" t="str">
        <v>$m</v>
      </c>
      <c r="G277">
        <v>218</v>
      </c>
      <c r="I277" t="str">
        <v>hm9</v>
      </c>
      <c r="J277" t="str">
        <v>Private sector wages - q/q%</v>
      </c>
      <c r="K277" t="str">
        <v>Private sector wages</v>
      </c>
      <c r="L277" t="str">
        <v>%</v>
      </c>
      <c r="M277">
        <v>290</v>
      </c>
      <c r="N277" t="str">
        <v>hm9Private sector wages - q/q%Private sector wages%</v>
      </c>
    </row>
    <row r="278" spans="1:14" x14ac:dyDescent="0.3">
      <c r="A278" t="str">
        <v>hm5</v>
      </c>
      <c r="B278" t="str">
        <v>Import/Export of G&amp;SNominal $m s.a.</v>
      </c>
      <c r="C278" t="str">
        <v>Import/Export of G&amp;S</v>
      </c>
      <c r="D278">
        <v>2</v>
      </c>
      <c r="E278" t="str">
        <v>NZDm s.a.</v>
      </c>
      <c r="F278" t="str">
        <v>$m</v>
      </c>
      <c r="G278">
        <v>226</v>
      </c>
      <c r="I278" t="str">
        <v>hm9</v>
      </c>
      <c r="J278" t="str">
        <v>Private sector wages - y/y%</v>
      </c>
      <c r="K278" t="str">
        <v>Private sector wages</v>
      </c>
      <c r="L278" t="str">
        <v>%</v>
      </c>
      <c r="M278">
        <v>291</v>
      </c>
      <c r="N278" t="str">
        <v>hm9Private sector wages - y/y%Private sector wages%</v>
      </c>
    </row>
    <row r="279" spans="1:14" x14ac:dyDescent="0.3">
      <c r="A279" t="str">
        <v>hm5</v>
      </c>
      <c r="B279" t="str">
        <v>Import/Export of G&amp;SNominal q/q% s.a.</v>
      </c>
      <c r="C279" t="str">
        <v>Import/Export of G&amp;S</v>
      </c>
      <c r="D279">
        <v>1</v>
      </c>
      <c r="E279" t="str">
        <v>% s.a.</v>
      </c>
      <c r="F279" t="str">
        <v>q/q%</v>
      </c>
      <c r="G279">
        <v>219</v>
      </c>
      <c r="I279" t="str">
        <v>hm9</v>
      </c>
      <c r="J279" t="str">
        <v>Private sector wages $</v>
      </c>
      <c r="K279" t="str">
        <v>Private sector wages</v>
      </c>
      <c r="L279" t="str">
        <v>$</v>
      </c>
      <c r="M279">
        <v>289</v>
      </c>
      <c r="N279" t="str">
        <v>hm9Private sector wages $Private sector wages$</v>
      </c>
    </row>
    <row r="280" spans="1:14" x14ac:dyDescent="0.3">
      <c r="A280" t="str">
        <v>hm5</v>
      </c>
      <c r="B280" t="str">
        <v>Import/Export of G&amp;SNominal q/q% s.a.</v>
      </c>
      <c r="C280" t="str">
        <v>Import/Export of G&amp;S</v>
      </c>
      <c r="D280">
        <v>2</v>
      </c>
      <c r="E280" t="str">
        <v>% s.a.</v>
      </c>
      <c r="F280" t="str">
        <v>q/q%</v>
      </c>
      <c r="G280">
        <v>227</v>
      </c>
      <c r="I280" t="str">
        <v>hm9</v>
      </c>
      <c r="J280" t="str">
        <v>Public sector wages - $</v>
      </c>
      <c r="K280" t="str">
        <v>Public sector wages</v>
      </c>
      <c r="L280" t="str">
        <v>$</v>
      </c>
      <c r="M280">
        <v>292</v>
      </c>
      <c r="N280" t="str">
        <v>hm9Public sector wages - $Public sector wages$</v>
      </c>
    </row>
    <row r="281" spans="1:14" x14ac:dyDescent="0.3">
      <c r="A281" t="str">
        <v>hm5</v>
      </c>
      <c r="B281" t="str">
        <v>Import/Export of G&amp;SNominal y/y%</v>
      </c>
      <c r="C281" t="str">
        <v>Import/Export of G&amp;S</v>
      </c>
      <c r="D281">
        <v>1</v>
      </c>
      <c r="E281" t="str">
        <v>%</v>
      </c>
      <c r="F281" t="str">
        <v>y/y%</v>
      </c>
      <c r="G281">
        <v>220</v>
      </c>
      <c r="I281" t="str">
        <v>hm9</v>
      </c>
      <c r="J281" t="str">
        <v>Public sector wages - q/q%</v>
      </c>
      <c r="K281" t="str">
        <v>Public sector wages</v>
      </c>
      <c r="L281" t="str">
        <v>%</v>
      </c>
      <c r="M281">
        <v>293</v>
      </c>
      <c r="N281" t="str">
        <v>hm9Public sector wages - q/q%Public sector wages%</v>
      </c>
    </row>
    <row r="282" spans="1:14" x14ac:dyDescent="0.3">
      <c r="A282" t="str">
        <v>hm5</v>
      </c>
      <c r="B282" t="str">
        <v>Import/Export of G&amp;SNominal y/y%</v>
      </c>
      <c r="C282" t="str">
        <v>Import/Export of G&amp;S</v>
      </c>
      <c r="D282">
        <v>2</v>
      </c>
      <c r="E282" t="str">
        <v>%</v>
      </c>
      <c r="F282" t="str">
        <v>y/y%</v>
      </c>
      <c r="G282">
        <v>228</v>
      </c>
      <c r="I282" t="str">
        <v>hm9</v>
      </c>
      <c r="J282" t="str">
        <v>Public sector wages - y/y%</v>
      </c>
      <c r="K282" t="str">
        <v>Public sector wages</v>
      </c>
      <c r="L282" t="str">
        <v>%</v>
      </c>
      <c r="M282">
        <v>294</v>
      </c>
      <c r="N282" t="str">
        <v>hm9Public sector wages - y/y%Public sector wages%</v>
      </c>
    </row>
    <row r="283" spans="1:14" x14ac:dyDescent="0.3">
      <c r="A283" t="str">
        <v>hm5</v>
      </c>
      <c r="B283" t="str">
        <v>Import/Export of G&amp;SReal $m</v>
      </c>
      <c r="C283" t="str">
        <v>Import/Export of G&amp;S</v>
      </c>
      <c r="D283">
        <v>1</v>
      </c>
      <c r="E283" t="str">
        <v>NZDm(r)</v>
      </c>
      <c r="F283" t="str">
        <v>$m</v>
      </c>
      <c r="G283">
        <v>221</v>
      </c>
      <c r="I283" t="str">
        <v>hm9</v>
      </c>
      <c r="J283" t="str">
        <v>Total (y/y%)</v>
      </c>
      <c r="K283" t="str">
        <v>Labour force</v>
      </c>
      <c r="L283" t="str">
        <v>Total %</v>
      </c>
      <c r="M283">
        <v>285</v>
      </c>
      <c r="N283" t="str">
        <v>hm9Total (y/y%)Labour forceTotal %</v>
      </c>
    </row>
    <row r="284" spans="1:14" x14ac:dyDescent="0.3">
      <c r="A284" t="str">
        <v>hm5</v>
      </c>
      <c r="B284" t="str">
        <v>Import/Export of G&amp;SReal $m</v>
      </c>
      <c r="C284" t="str">
        <v>Import/Export of G&amp;S</v>
      </c>
      <c r="D284">
        <v>2</v>
      </c>
      <c r="E284" t="str">
        <v>NZDm(r)</v>
      </c>
      <c r="F284" t="str">
        <v>$m</v>
      </c>
      <c r="G284">
        <v>229</v>
      </c>
      <c r="I284" t="str">
        <v>hm9</v>
      </c>
      <c r="J284" t="str">
        <v>Unemployed (000s s.a.)</v>
      </c>
      <c r="K284" t="str">
        <v>Labour force</v>
      </c>
      <c r="L284" t="str">
        <v>000's</v>
      </c>
      <c r="M284">
        <v>287</v>
      </c>
      <c r="N284" t="str">
        <v>hm9Unemployed (000s s.a.)Labour force000's</v>
      </c>
    </row>
    <row r="285" spans="1:14" x14ac:dyDescent="0.3">
      <c r="A285" t="str">
        <v>hm5</v>
      </c>
      <c r="B285" t="str">
        <v>Import/Export of G&amp;SReal $m s.a.</v>
      </c>
      <c r="C285" t="str">
        <v>Import/Export of G&amp;S</v>
      </c>
      <c r="D285">
        <v>1</v>
      </c>
      <c r="E285" t="str">
        <v>NZDm(r) s.a.</v>
      </c>
      <c r="F285" t="str">
        <v>$m</v>
      </c>
      <c r="G285">
        <v>222</v>
      </c>
      <c r="I285" t="str">
        <v>hm9</v>
      </c>
      <c r="J285" t="str">
        <v>Unemployed (y/y%)</v>
      </c>
      <c r="K285" t="str">
        <v>Labour force</v>
      </c>
      <c r="L285" t="str">
        <v>Total %</v>
      </c>
      <c r="M285">
        <v>284</v>
      </c>
      <c r="N285" t="str">
        <v>hm9Unemployed (y/y%)Labour forceTotal %</v>
      </c>
    </row>
    <row r="286" spans="1:14" x14ac:dyDescent="0.3">
      <c r="A286" t="str">
        <v>hm5</v>
      </c>
      <c r="B286" t="str">
        <v>Import/Export of G&amp;SReal $m s.a.</v>
      </c>
      <c r="C286" t="str">
        <v>Import/Export of G&amp;S</v>
      </c>
      <c r="D286">
        <v>2</v>
      </c>
      <c r="E286" t="str">
        <v>NZDm(r) s.a.</v>
      </c>
      <c r="F286" t="str">
        <v>$m</v>
      </c>
      <c r="G286">
        <v>230</v>
      </c>
      <c r="I286" t="str">
        <v>hm9</v>
      </c>
      <c r="J286" t="str">
        <v>Unemployment % s.a.</v>
      </c>
      <c r="K286" t="str">
        <v>Unemployment rate</v>
      </c>
      <c r="L286" t="str">
        <v>Total %</v>
      </c>
      <c r="M286">
        <v>276</v>
      </c>
      <c r="N286" t="str">
        <v>hm9Unemployment % s.a.Unemployment rateTotal %</v>
      </c>
    </row>
    <row r="287" spans="1:14" x14ac:dyDescent="0.3">
      <c r="A287" t="str">
        <v>hm5</v>
      </c>
      <c r="B287" t="str">
        <v>Import/Export of G&amp;SReal q/q% s.a.</v>
      </c>
      <c r="C287" t="str">
        <v>Import/Export of G&amp;S</v>
      </c>
      <c r="D287">
        <v>1</v>
      </c>
      <c r="E287" t="str">
        <v>%(r) s.a.</v>
      </c>
      <c r="F287" t="str">
        <v>q/q%</v>
      </c>
      <c r="G287">
        <v>223</v>
      </c>
      <c r="I287" t="str">
        <v>hm9</v>
      </c>
      <c r="J287" t="str">
        <v>Working-age population</v>
      </c>
      <c r="K287" t="str">
        <v>Working-age population</v>
      </c>
      <c r="L287" t="str">
        <v>000's</v>
      </c>
      <c r="M287">
        <v>278</v>
      </c>
      <c r="N287" t="str">
        <v>hm9Working-age populationWorking-age population000's</v>
      </c>
    </row>
    <row r="288" spans="1:14" x14ac:dyDescent="0.3">
      <c r="A288" t="str">
        <v>hm5</v>
      </c>
      <c r="B288" t="str">
        <v>Import/Export of G&amp;SReal q/q% s.a.</v>
      </c>
      <c r="C288" t="str">
        <v>Import/Export of G&amp;S</v>
      </c>
      <c r="D288">
        <v>2</v>
      </c>
      <c r="E288" t="str">
        <v>%(r) s.a.</v>
      </c>
      <c r="F288" t="str">
        <v>q/q%</v>
      </c>
      <c r="G288">
        <v>231</v>
      </c>
      <c r="I288" t="str">
        <v>hm9</v>
      </c>
      <c r="J288" t="str">
        <v>Working-age population %</v>
      </c>
      <c r="K288" t="str">
        <v>Working-age population</v>
      </c>
      <c r="L288" t="str">
        <v>Total %</v>
      </c>
      <c r="M288">
        <v>282</v>
      </c>
      <c r="N288" t="str">
        <v>hm9Working-age population %Working-age populationTotal %</v>
      </c>
    </row>
    <row r="289" spans="1:14" x14ac:dyDescent="0.3">
      <c r="A289" t="str">
        <v>hm5</v>
      </c>
      <c r="B289" t="str">
        <v>Import/Export of G&amp;SReal y/y%</v>
      </c>
      <c r="C289" t="str">
        <v>Import/Export of G&amp;S</v>
      </c>
      <c r="D289">
        <v>1</v>
      </c>
      <c r="E289" t="str">
        <v>%(r)</v>
      </c>
      <c r="F289" t="str">
        <v>y/y%</v>
      </c>
      <c r="G289">
        <v>224</v>
      </c>
      <c r="I289" t="str">
        <v>hs32</v>
      </c>
      <c r="J289" t="str">
        <v>Agriculture loans</v>
      </c>
      <c r="K289" t="str">
        <v>Interest only</v>
      </c>
      <c r="L289" t="str">
        <v>NZDm</v>
      </c>
      <c r="M289">
        <v>348</v>
      </c>
      <c r="N289" t="str">
        <v>hs32Agriculture loansInterest onlyNZDm</v>
      </c>
    </row>
    <row r="290" spans="1:14" x14ac:dyDescent="0.3">
      <c r="A290" t="str">
        <v>hm5</v>
      </c>
      <c r="B290" t="str">
        <v>Import/Export of G&amp;SReal y/y%</v>
      </c>
      <c r="C290" t="str">
        <v>Import/Export of G&amp;S</v>
      </c>
      <c r="D290">
        <v>2</v>
      </c>
      <c r="E290" t="str">
        <v>%(r)</v>
      </c>
      <c r="F290" t="str">
        <v>y/y%</v>
      </c>
      <c r="G290">
        <v>232</v>
      </c>
      <c r="I290" t="str">
        <v>hs32</v>
      </c>
      <c r="J290" t="str">
        <v>Agriculture loans</v>
      </c>
      <c r="K290" t="str">
        <v>Other</v>
      </c>
      <c r="L290" t="str">
        <v>NZDm</v>
      </c>
      <c r="M290">
        <v>351</v>
      </c>
      <c r="N290" t="str">
        <v>hs32Agriculture loansOtherNZDm</v>
      </c>
    </row>
    <row r="291" spans="1:14" x14ac:dyDescent="0.3">
      <c r="A291" t="str">
        <v>hm6</v>
      </c>
      <c r="B291" t="str">
        <v>NA</v>
      </c>
      <c r="C291" t="str">
        <v>Businesses</v>
      </c>
      <c r="D291">
        <v>1</v>
      </c>
      <c r="E291" t="str">
        <v>m</v>
      </c>
      <c r="F291" t="str">
        <v>Saving ($m)</v>
      </c>
      <c r="G291">
        <v>234</v>
      </c>
      <c r="I291" t="str">
        <v>hs32</v>
      </c>
      <c r="J291" t="str">
        <v>Agriculture loans</v>
      </c>
      <c r="K291" t="str">
        <v>Principal &amp; interest</v>
      </c>
      <c r="L291" t="str">
        <v>NZDm</v>
      </c>
      <c r="M291">
        <v>350</v>
      </c>
      <c r="N291" t="str">
        <v>hs32Agriculture loansPrincipal &amp; interestNZDm</v>
      </c>
    </row>
    <row r="292" spans="1:14" x14ac:dyDescent="0.3">
      <c r="A292" t="str">
        <v>hm6</v>
      </c>
      <c r="B292" t="str">
        <v>NA</v>
      </c>
      <c r="C292" t="str">
        <v>Financial intermediaries</v>
      </c>
      <c r="D292">
        <v>1</v>
      </c>
      <c r="E292" t="str">
        <v>m</v>
      </c>
      <c r="F292" t="str">
        <v>Saving ($m)</v>
      </c>
      <c r="G292">
        <v>235</v>
      </c>
      <c r="I292" t="str">
        <v>hs32</v>
      </c>
      <c r="J292" t="str">
        <v>Agriculture loans</v>
      </c>
      <c r="K292" t="str">
        <v>Revolving credit</v>
      </c>
      <c r="L292" t="str">
        <v>NZDm</v>
      </c>
      <c r="M292">
        <v>349</v>
      </c>
      <c r="N292" t="str">
        <v>hs32Agriculture loansRevolving creditNZDm</v>
      </c>
    </row>
    <row r="293" spans="1:14" x14ac:dyDescent="0.3">
      <c r="A293" t="str">
        <v>hm6</v>
      </c>
      <c r="B293" t="str">
        <v>NA</v>
      </c>
      <c r="C293" t="str">
        <v>General government</v>
      </c>
      <c r="D293">
        <v>1</v>
      </c>
      <c r="E293" t="str">
        <v>m</v>
      </c>
      <c r="F293" t="str">
        <v>Saving ($m)</v>
      </c>
      <c r="G293">
        <v>236</v>
      </c>
      <c r="I293" t="str">
        <v>hs32</v>
      </c>
      <c r="J293" t="str">
        <v>Agriculture loans</v>
      </c>
      <c r="K293" t="str">
        <v>Total</v>
      </c>
      <c r="L293" t="str">
        <v>NZDm</v>
      </c>
      <c r="M293">
        <v>347</v>
      </c>
      <c r="N293" t="str">
        <v>hs32Agriculture loansTotalNZDm</v>
      </c>
    </row>
    <row r="294" spans="1:14" x14ac:dyDescent="0.3">
      <c r="A294" t="str">
        <v>hm6</v>
      </c>
      <c r="B294" t="str">
        <v>NA</v>
      </c>
      <c r="C294" t="str">
        <v>Households</v>
      </c>
      <c r="D294">
        <v>1</v>
      </c>
      <c r="E294" t="str">
        <v>%</v>
      </c>
      <c r="F294" t="str">
        <v>Household saving rate (%)</v>
      </c>
      <c r="G294">
        <v>239</v>
      </c>
      <c r="I294" t="str">
        <v>hs32</v>
      </c>
      <c r="J294" t="str">
        <v>Business loans</v>
      </c>
      <c r="K294" t="str">
        <v>Interest only</v>
      </c>
      <c r="L294" t="str">
        <v>NZDm</v>
      </c>
      <c r="M294">
        <v>343</v>
      </c>
      <c r="N294" t="str">
        <v>hs32Business loansInterest onlyNZDm</v>
      </c>
    </row>
    <row r="295" spans="1:14" x14ac:dyDescent="0.3">
      <c r="A295" t="str">
        <v>hm6</v>
      </c>
      <c r="B295" t="str">
        <v>NA</v>
      </c>
      <c r="C295" t="str">
        <v>Households</v>
      </c>
      <c r="D295">
        <v>1</v>
      </c>
      <c r="E295" t="str">
        <v>m</v>
      </c>
      <c r="F295" t="str">
        <v>Saving ($m)</v>
      </c>
      <c r="G295">
        <v>238</v>
      </c>
      <c r="I295" t="str">
        <v>hs32</v>
      </c>
      <c r="J295" t="str">
        <v>Business loans</v>
      </c>
      <c r="K295" t="str">
        <v>Other</v>
      </c>
      <c r="L295" t="str">
        <v>NZDm</v>
      </c>
      <c r="M295">
        <v>346</v>
      </c>
      <c r="N295" t="str">
        <v>hs32Business loansOtherNZDm</v>
      </c>
    </row>
    <row r="296" spans="1:14" x14ac:dyDescent="0.3">
      <c r="A296" t="str">
        <v>hm6</v>
      </c>
      <c r="B296" t="str">
        <v>NA</v>
      </c>
      <c r="C296" t="str">
        <v>National</v>
      </c>
      <c r="D296">
        <v>1</v>
      </c>
      <c r="E296" t="str">
        <v>m</v>
      </c>
      <c r="F296" t="str">
        <v>Saving ($m)</v>
      </c>
      <c r="G296">
        <v>233</v>
      </c>
      <c r="I296" t="str">
        <v>hs32</v>
      </c>
      <c r="J296" t="str">
        <v>Business loans</v>
      </c>
      <c r="K296" t="str">
        <v>Principal &amp; interest</v>
      </c>
      <c r="L296" t="str">
        <v>NZDm</v>
      </c>
      <c r="M296">
        <v>345</v>
      </c>
      <c r="N296" t="str">
        <v>hs32Business loansPrincipal &amp; interestNZDm</v>
      </c>
    </row>
    <row r="297" spans="1:14" x14ac:dyDescent="0.3">
      <c r="A297" t="str">
        <v>hm6</v>
      </c>
      <c r="B297" t="str">
        <v>NA</v>
      </c>
      <c r="C297" t="str">
        <v>Non-profit institutions serving households</v>
      </c>
      <c r="D297">
        <v>1</v>
      </c>
      <c r="E297" t="str">
        <v>m</v>
      </c>
      <c r="F297" t="str">
        <v>Saving ($m)</v>
      </c>
      <c r="G297">
        <v>237</v>
      </c>
      <c r="I297" t="str">
        <v>hs32</v>
      </c>
      <c r="J297" t="str">
        <v>Business loans</v>
      </c>
      <c r="K297" t="str">
        <v>Revolving credit</v>
      </c>
      <c r="L297" t="str">
        <v>NZDm</v>
      </c>
      <c r="M297">
        <v>344</v>
      </c>
      <c r="N297" t="str">
        <v>hs32Business loansRevolving creditNZDm</v>
      </c>
    </row>
    <row r="298" spans="1:14" x14ac:dyDescent="0.3">
      <c r="A298" t="str">
        <v>hm7</v>
      </c>
      <c r="B298" t="str">
        <v>Balance of Payments</v>
      </c>
      <c r="C298" t="str">
        <v>Balance on goods</v>
      </c>
      <c r="D298">
        <v>1</v>
      </c>
      <c r="E298" t="str">
        <v>NZDm</v>
      </c>
      <c r="F298" t="str">
        <v>NZDm</v>
      </c>
      <c r="G298">
        <v>244</v>
      </c>
      <c r="I298" t="str">
        <v>hs32</v>
      </c>
      <c r="J298" t="str">
        <v>Business loans</v>
      </c>
      <c r="K298" t="str">
        <v>Total</v>
      </c>
      <c r="L298" t="str">
        <v>NZDm</v>
      </c>
      <c r="M298">
        <v>342</v>
      </c>
      <c r="N298" t="str">
        <v>hs32Business loansTotalNZDm</v>
      </c>
    </row>
    <row r="299" spans="1:14" x14ac:dyDescent="0.3">
      <c r="A299" t="str">
        <v>hm7</v>
      </c>
      <c r="B299" t="str">
        <v>Balance of Payments</v>
      </c>
      <c r="C299" t="str">
        <v>Balance on primary income</v>
      </c>
      <c r="D299">
        <v>1</v>
      </c>
      <c r="E299" t="str">
        <v>NZDm</v>
      </c>
      <c r="F299" t="str">
        <v>NZDm</v>
      </c>
      <c r="G299">
        <v>246</v>
      </c>
      <c r="I299" t="str">
        <v>hs32</v>
      </c>
      <c r="J299" t="str">
        <v>Financial institutions loans</v>
      </c>
      <c r="K299" t="str">
        <v>Interest only</v>
      </c>
      <c r="L299" t="str">
        <v>NZDm</v>
      </c>
      <c r="M299">
        <v>353</v>
      </c>
      <c r="N299" t="str">
        <v>hs32Financial institutions loansInterest onlyNZDm</v>
      </c>
    </row>
    <row r="300" spans="1:14" x14ac:dyDescent="0.3">
      <c r="A300" t="str">
        <v>hm7</v>
      </c>
      <c r="B300" t="str">
        <v>Balance of Payments</v>
      </c>
      <c r="C300" t="str">
        <v>Balance on secondary income</v>
      </c>
      <c r="D300">
        <v>1</v>
      </c>
      <c r="E300" t="str">
        <v>NZDm</v>
      </c>
      <c r="F300" t="str">
        <v>NZDm</v>
      </c>
      <c r="G300">
        <v>247</v>
      </c>
      <c r="I300" t="str">
        <v>hs32</v>
      </c>
      <c r="J300" t="str">
        <v>Financial institutions loans</v>
      </c>
      <c r="K300" t="str">
        <v>Other</v>
      </c>
      <c r="L300" t="str">
        <v>NZDm</v>
      </c>
      <c r="M300">
        <v>356</v>
      </c>
      <c r="N300" t="str">
        <v>hs32Financial institutions loansOtherNZDm</v>
      </c>
    </row>
    <row r="301" spans="1:14" x14ac:dyDescent="0.3">
      <c r="A301" t="str">
        <v>hm7</v>
      </c>
      <c r="B301" t="str">
        <v>Balance of Payments</v>
      </c>
      <c r="C301" t="str">
        <v>Balance on services</v>
      </c>
      <c r="D301">
        <v>1</v>
      </c>
      <c r="E301" t="str">
        <v>NZDm</v>
      </c>
      <c r="F301" t="str">
        <v>NZDm</v>
      </c>
      <c r="G301">
        <v>245</v>
      </c>
      <c r="I301" t="str">
        <v>hs32</v>
      </c>
      <c r="J301" t="str">
        <v>Financial institutions loans</v>
      </c>
      <c r="K301" t="str">
        <v>Principal &amp; interest</v>
      </c>
      <c r="L301" t="str">
        <v>NZDm</v>
      </c>
      <c r="M301">
        <v>355</v>
      </c>
      <c r="N301" t="str">
        <v>hs32Financial institutions loansPrincipal &amp; interestNZDm</v>
      </c>
    </row>
    <row r="302" spans="1:14" x14ac:dyDescent="0.3">
      <c r="A302" t="str">
        <v>hm7</v>
      </c>
      <c r="B302" t="str">
        <v>Balance of Payments (Total)</v>
      </c>
      <c r="C302" t="str">
        <v>Current account balance</v>
      </c>
      <c r="D302">
        <v>1</v>
      </c>
      <c r="E302" t="str">
        <v>NZDm</v>
      </c>
      <c r="F302" t="str">
        <v>NZDm</v>
      </c>
      <c r="G302">
        <v>248</v>
      </c>
      <c r="I302" t="str">
        <v>hs32</v>
      </c>
      <c r="J302" t="str">
        <v>Financial institutions loans</v>
      </c>
      <c r="K302" t="str">
        <v>Revolving credit</v>
      </c>
      <c r="L302" t="str">
        <v>NZDm</v>
      </c>
      <c r="M302">
        <v>354</v>
      </c>
      <c r="N302" t="str">
        <v>hs32Financial institutions loansRevolving creditNZDm</v>
      </c>
    </row>
    <row r="303" spans="1:14" x14ac:dyDescent="0.3">
      <c r="A303" t="str">
        <v>hm7</v>
      </c>
      <c r="B303" t="str">
        <v>Current account balance to GDP ratio (%)</v>
      </c>
      <c r="C303" t="str">
        <v>Current account balance to GDP ratio (%)</v>
      </c>
      <c r="D303">
        <v>1</v>
      </c>
      <c r="E303" t="str">
        <v>%</v>
      </c>
      <c r="F303" t="str">
        <v>%</v>
      </c>
      <c r="G303">
        <v>242</v>
      </c>
      <c r="I303" t="str">
        <v>hs32</v>
      </c>
      <c r="J303" t="str">
        <v>Financial institutions loans</v>
      </c>
      <c r="K303" t="str">
        <v>Total</v>
      </c>
      <c r="L303" t="str">
        <v>NZDm</v>
      </c>
      <c r="M303">
        <v>352</v>
      </c>
      <c r="N303" t="str">
        <v>hs32Financial institutions loansTotalNZDm</v>
      </c>
    </row>
    <row r="304" spans="1:14" x14ac:dyDescent="0.3">
      <c r="A304" t="str">
        <v>hm7</v>
      </c>
      <c r="B304" t="str">
        <v>International Investment Position</v>
      </c>
      <c r="C304" t="str">
        <v>International assets</v>
      </c>
      <c r="D304">
        <v>1</v>
      </c>
      <c r="E304" t="str">
        <v>NZDm</v>
      </c>
      <c r="F304" t="str">
        <v>NZDm</v>
      </c>
      <c r="G304">
        <v>249</v>
      </c>
      <c r="I304" t="str">
        <v>hs32</v>
      </c>
      <c r="J304" t="str">
        <v>Other loans</v>
      </c>
      <c r="K304" t="str">
        <v>Interest only</v>
      </c>
      <c r="L304" t="str">
        <v>NZDm</v>
      </c>
      <c r="M304">
        <v>358</v>
      </c>
      <c r="N304" t="str">
        <v>hs32Other loansInterest onlyNZDm</v>
      </c>
    </row>
    <row r="305" spans="1:14" x14ac:dyDescent="0.3">
      <c r="A305" t="str">
        <v>hm7</v>
      </c>
      <c r="B305" t="str">
        <v>International Investment Position</v>
      </c>
      <c r="C305" t="str">
        <v>International liabilities</v>
      </c>
      <c r="D305">
        <v>1</v>
      </c>
      <c r="E305" t="str">
        <v>NZDm</v>
      </c>
      <c r="F305" t="str">
        <v>NZDm</v>
      </c>
      <c r="G305">
        <v>250</v>
      </c>
      <c r="I305" t="str">
        <v>hs32</v>
      </c>
      <c r="J305" t="str">
        <v>Other loans</v>
      </c>
      <c r="K305" t="str">
        <v>Other</v>
      </c>
      <c r="L305" t="str">
        <v>NZDm</v>
      </c>
      <c r="M305">
        <v>361</v>
      </c>
      <c r="N305" t="str">
        <v>hs32Other loansOtherNZDm</v>
      </c>
    </row>
    <row r="306" spans="1:14" x14ac:dyDescent="0.3">
      <c r="A306" t="str">
        <v>hm7</v>
      </c>
      <c r="B306" t="str">
        <v>Net international investment position (IIP)</v>
      </c>
      <c r="C306" t="str">
        <v>NA</v>
      </c>
      <c r="D306">
        <v>1</v>
      </c>
      <c r="E306" t="str">
        <v>NZDm</v>
      </c>
      <c r="F306" t="str">
        <v>NZDm</v>
      </c>
      <c r="G306">
        <v>251</v>
      </c>
      <c r="I306" t="str">
        <v>hs32</v>
      </c>
      <c r="J306" t="str">
        <v>Other loans</v>
      </c>
      <c r="K306" t="str">
        <v>Principal &amp; interest</v>
      </c>
      <c r="L306" t="str">
        <v>NZDm</v>
      </c>
      <c r="M306">
        <v>360</v>
      </c>
      <c r="N306" t="str">
        <v>hs32Other loansPrincipal &amp; interestNZDm</v>
      </c>
    </row>
    <row r="307" spans="1:14" x14ac:dyDescent="0.3">
      <c r="A307" t="str">
        <v>hm7</v>
      </c>
      <c r="B307" t="str">
        <v>Net international investment position to GDP ratio (%)</v>
      </c>
      <c r="C307" t="str">
        <v>International Investment Position (NZD millions)</v>
      </c>
      <c r="D307">
        <v>1</v>
      </c>
      <c r="E307" t="str">
        <v>%</v>
      </c>
      <c r="F307" t="str">
        <v>%</v>
      </c>
      <c r="G307">
        <v>243</v>
      </c>
      <c r="I307" t="str">
        <v>hs32</v>
      </c>
      <c r="J307" t="str">
        <v>Other loans</v>
      </c>
      <c r="K307" t="str">
        <v>Revolving credit</v>
      </c>
      <c r="L307" t="str">
        <v>NZDm</v>
      </c>
      <c r="M307">
        <v>359</v>
      </c>
      <c r="N307" t="str">
        <v>hs32Other loansRevolving creditNZDm</v>
      </c>
    </row>
    <row r="308" spans="1:14" x14ac:dyDescent="0.3">
      <c r="A308" t="str">
        <v>hm7</v>
      </c>
      <c r="B308" t="str">
        <v>Terms of Trade (Index)</v>
      </c>
      <c r="C308" t="str">
        <v>(Index)</v>
      </c>
      <c r="D308">
        <v>1</v>
      </c>
      <c r="E308" t="str">
        <v>NA</v>
      </c>
      <c r="F308" t="str">
        <v>Index</v>
      </c>
      <c r="G308">
        <v>252</v>
      </c>
      <c r="I308" t="str">
        <v>hs32</v>
      </c>
      <c r="J308" t="str">
        <v>Other loans</v>
      </c>
      <c r="K308" t="str">
        <v>Total</v>
      </c>
      <c r="L308" t="str">
        <v>NZDm</v>
      </c>
      <c r="M308">
        <v>357</v>
      </c>
      <c r="N308" t="str">
        <v>hs32Other loansTotalNZDm</v>
      </c>
    </row>
    <row r="309" spans="1:14" x14ac:dyDescent="0.3">
      <c r="A309" t="str">
        <v>hm7</v>
      </c>
      <c r="B309" t="str">
        <v>Terms of Trade (q/q%)</v>
      </c>
      <c r="C309" t="str">
        <v>(q/q%)</v>
      </c>
      <c r="D309">
        <v>1</v>
      </c>
      <c r="E309" t="str">
        <v>%</v>
      </c>
      <c r="F309" t="str">
        <v>%</v>
      </c>
      <c r="G309">
        <v>240</v>
      </c>
      <c r="I309" t="str">
        <v>hs32</v>
      </c>
      <c r="J309" t="str">
        <v>Owner occupier property use</v>
      </c>
      <c r="K309" t="str">
        <v>Interest only</v>
      </c>
      <c r="L309" t="str">
        <v>NZDm</v>
      </c>
      <c r="M309">
        <v>328</v>
      </c>
      <c r="N309" t="str">
        <v>hs32Owner occupier property useInterest onlyNZDm</v>
      </c>
    </row>
    <row r="310" spans="1:14" x14ac:dyDescent="0.3">
      <c r="A310" t="str">
        <v>hm7</v>
      </c>
      <c r="B310" t="str">
        <v>Terms of Trade (y/y%)</v>
      </c>
      <c r="C310" t="str">
        <v>(y/y%)</v>
      </c>
      <c r="D310">
        <v>1</v>
      </c>
      <c r="E310" t="str">
        <v>%</v>
      </c>
      <c r="F310" t="str">
        <v>%</v>
      </c>
      <c r="G310">
        <v>241</v>
      </c>
      <c r="I310" t="str">
        <v>hs32</v>
      </c>
      <c r="J310" t="str">
        <v>Owner occupier property use</v>
      </c>
      <c r="K310" t="str">
        <v>Other</v>
      </c>
      <c r="L310" t="str">
        <v>NZDm</v>
      </c>
      <c r="M310">
        <v>331</v>
      </c>
      <c r="N310" t="str">
        <v>hs32Owner occupier property useOtherNZDm</v>
      </c>
    </row>
    <row r="311" spans="1:14" x14ac:dyDescent="0.3">
      <c r="A311" t="str">
        <v>hm8</v>
      </c>
      <c r="B311" t="str">
        <v>Prices (Index)</v>
      </c>
      <c r="C311" t="str">
        <v>Export</v>
      </c>
      <c r="D311">
        <v>1</v>
      </c>
      <c r="E311" t="str">
        <v>NA</v>
      </c>
      <c r="F311" t="str">
        <v>Index</v>
      </c>
      <c r="G311">
        <v>261</v>
      </c>
      <c r="I311" t="str">
        <v>hs32</v>
      </c>
      <c r="J311" t="str">
        <v>Owner occupier property use</v>
      </c>
      <c r="K311" t="str">
        <v>Principal &amp; interest</v>
      </c>
      <c r="L311" t="str">
        <v>NZDm</v>
      </c>
      <c r="M311">
        <v>330</v>
      </c>
      <c r="N311" t="str">
        <v>hs32Owner occupier property usePrincipal &amp; interestNZDm</v>
      </c>
    </row>
    <row r="312" spans="1:14" x14ac:dyDescent="0.3">
      <c r="A312" t="str">
        <v>hm8</v>
      </c>
      <c r="B312" t="str">
        <v>Prices (Index)</v>
      </c>
      <c r="C312" t="str">
        <v>Import</v>
      </c>
      <c r="D312">
        <v>1</v>
      </c>
      <c r="E312" t="str">
        <v>NA</v>
      </c>
      <c r="F312" t="str">
        <v>Index</v>
      </c>
      <c r="G312">
        <v>262</v>
      </c>
      <c r="I312" t="str">
        <v>hs32</v>
      </c>
      <c r="J312" t="str">
        <v>Owner occupier property use</v>
      </c>
      <c r="K312" t="str">
        <v>Revolving credit</v>
      </c>
      <c r="L312" t="str">
        <v>NZDm</v>
      </c>
      <c r="M312">
        <v>329</v>
      </c>
      <c r="N312" t="str">
        <v>hs32Owner occupier property useRevolving creditNZDm</v>
      </c>
    </row>
    <row r="313" spans="1:14" x14ac:dyDescent="0.3">
      <c r="A313" t="str">
        <v>hm8</v>
      </c>
      <c r="B313" t="str">
        <v>Prices (q/q%)</v>
      </c>
      <c r="C313" t="str">
        <v>Export</v>
      </c>
      <c r="D313">
        <v>1</v>
      </c>
      <c r="E313" t="str">
        <v>%</v>
      </c>
      <c r="F313" t="str">
        <v>%</v>
      </c>
      <c r="G313">
        <v>263</v>
      </c>
      <c r="I313" t="str">
        <v>hs32</v>
      </c>
      <c r="J313" t="str">
        <v>Owner occupier property use</v>
      </c>
      <c r="K313" t="str">
        <v>Total</v>
      </c>
      <c r="L313" t="str">
        <v>NZDm</v>
      </c>
      <c r="M313">
        <v>327</v>
      </c>
      <c r="N313" t="str">
        <v>hs32Owner occupier property useTotalNZDm</v>
      </c>
    </row>
    <row r="314" spans="1:14" x14ac:dyDescent="0.3">
      <c r="A314" t="str">
        <v>hm8</v>
      </c>
      <c r="B314" t="str">
        <v>Prices (q/q%)</v>
      </c>
      <c r="C314" t="str">
        <v>Import</v>
      </c>
      <c r="D314">
        <v>1</v>
      </c>
      <c r="E314" t="str">
        <v>%</v>
      </c>
      <c r="F314" t="str">
        <v>%</v>
      </c>
      <c r="G314">
        <v>264</v>
      </c>
      <c r="I314" t="str">
        <v>hs32</v>
      </c>
      <c r="J314" t="str">
        <v>Personal consumer loans</v>
      </c>
      <c r="K314" t="str">
        <v>Credit cards</v>
      </c>
      <c r="L314" t="str">
        <v>NZDm</v>
      </c>
      <c r="M314">
        <v>339</v>
      </c>
      <c r="N314" t="str">
        <v>hs32Personal consumer loansCredit cardsNZDm</v>
      </c>
    </row>
    <row r="315" spans="1:14" x14ac:dyDescent="0.3">
      <c r="A315" t="str">
        <v>hm8</v>
      </c>
      <c r="B315" t="str">
        <v>Prices (y/y%)</v>
      </c>
      <c r="C315" t="str">
        <v>Export</v>
      </c>
      <c r="D315">
        <v>1</v>
      </c>
      <c r="E315" t="str">
        <v>%</v>
      </c>
      <c r="F315" t="str">
        <v>%</v>
      </c>
      <c r="G315">
        <v>265</v>
      </c>
      <c r="I315" t="str">
        <v>hs32</v>
      </c>
      <c r="J315" t="str">
        <v>Personal consumer loans</v>
      </c>
      <c r="K315" t="str">
        <v>Other</v>
      </c>
      <c r="L315" t="str">
        <v>NZDm</v>
      </c>
      <c r="M315">
        <v>341</v>
      </c>
      <c r="N315" t="str">
        <v>hs32Personal consumer loansOtherNZDm</v>
      </c>
    </row>
    <row r="316" spans="1:14" x14ac:dyDescent="0.3">
      <c r="A316" t="str">
        <v>hm8</v>
      </c>
      <c r="B316" t="str">
        <v>Prices (y/y%)</v>
      </c>
      <c r="C316" t="str">
        <v>Import</v>
      </c>
      <c r="D316">
        <v>1</v>
      </c>
      <c r="E316" t="str">
        <v>%</v>
      </c>
      <c r="F316" t="str">
        <v>%</v>
      </c>
      <c r="G316">
        <v>266</v>
      </c>
      <c r="I316" t="str">
        <v>hs32</v>
      </c>
      <c r="J316" t="str">
        <v>Personal consumer loans</v>
      </c>
      <c r="K316" t="str">
        <v>Overdrafts</v>
      </c>
      <c r="L316" t="str">
        <v>NZDm</v>
      </c>
      <c r="M316">
        <v>338</v>
      </c>
      <c r="N316" t="str">
        <v>hs32Personal consumer loansOverdraftsNZDm</v>
      </c>
    </row>
    <row r="317" spans="1:14" x14ac:dyDescent="0.3">
      <c r="A317" t="str">
        <v>hm8</v>
      </c>
      <c r="B317" t="str">
        <v>Values ($m s.a.)</v>
      </c>
      <c r="C317" t="str">
        <v>Export</v>
      </c>
      <c r="D317">
        <v>1</v>
      </c>
      <c r="E317" t="str">
        <v>m</v>
      </c>
      <c r="F317" t="str">
        <v>$m</v>
      </c>
      <c r="G317">
        <v>253</v>
      </c>
      <c r="I317" t="str">
        <v>hs32</v>
      </c>
      <c r="J317" t="str">
        <v>Personal consumer loans</v>
      </c>
      <c r="K317" t="str">
        <v>Term loans</v>
      </c>
      <c r="L317" t="str">
        <v>NZDm</v>
      </c>
      <c r="M317">
        <v>340</v>
      </c>
      <c r="N317" t="str">
        <v>hs32Personal consumer loansTerm loansNZDm</v>
      </c>
    </row>
    <row r="318" spans="1:14" x14ac:dyDescent="0.3">
      <c r="A318" t="str">
        <v>hm8</v>
      </c>
      <c r="B318" t="str">
        <v>Values ($m s.a.)</v>
      </c>
      <c r="C318" t="str">
        <v>Import</v>
      </c>
      <c r="D318">
        <v>1</v>
      </c>
      <c r="E318" t="str">
        <v>m</v>
      </c>
      <c r="F318" t="str">
        <v>$m</v>
      </c>
      <c r="G318">
        <v>254</v>
      </c>
      <c r="I318" t="str">
        <v>hs32</v>
      </c>
      <c r="J318" t="str">
        <v>Personal consumer loans</v>
      </c>
      <c r="K318" t="str">
        <v>Total</v>
      </c>
      <c r="L318" t="str">
        <v>NZDm</v>
      </c>
      <c r="M318">
        <v>337</v>
      </c>
      <c r="N318" t="str">
        <v>hs32Personal consumer loansTotalNZDm</v>
      </c>
    </row>
    <row r="319" spans="1:14" x14ac:dyDescent="0.3">
      <c r="A319" t="str">
        <v>hm8</v>
      </c>
      <c r="B319" t="str">
        <v>Values ($m)</v>
      </c>
      <c r="C319" t="str">
        <v>Export</v>
      </c>
      <c r="D319">
        <v>1</v>
      </c>
      <c r="E319" t="str">
        <v>m</v>
      </c>
      <c r="F319" t="str">
        <v>$m</v>
      </c>
      <c r="G319">
        <v>255</v>
      </c>
      <c r="I319" t="str">
        <v>hs32</v>
      </c>
      <c r="J319" t="str">
        <v>Residential investor property use</v>
      </c>
      <c r="K319" t="str">
        <v>Interest only</v>
      </c>
      <c r="L319" t="str">
        <v>NZDm</v>
      </c>
      <c r="M319">
        <v>333</v>
      </c>
      <c r="N319" t="str">
        <v>hs32Residential investor property useInterest onlyNZDm</v>
      </c>
    </row>
    <row r="320" spans="1:14" x14ac:dyDescent="0.3">
      <c r="A320" t="str">
        <v>hm8</v>
      </c>
      <c r="B320" t="str">
        <v>Values ($m)</v>
      </c>
      <c r="C320" t="str">
        <v>Import</v>
      </c>
      <c r="D320">
        <v>1</v>
      </c>
      <c r="E320" t="str">
        <v>m</v>
      </c>
      <c r="F320" t="str">
        <v>$m</v>
      </c>
      <c r="G320">
        <v>256</v>
      </c>
      <c r="I320" t="str">
        <v>hs32</v>
      </c>
      <c r="J320" t="str">
        <v>Residential investor property use</v>
      </c>
      <c r="K320" t="str">
        <v>Other</v>
      </c>
      <c r="L320" t="str">
        <v>NZDm</v>
      </c>
      <c r="M320">
        <v>336</v>
      </c>
      <c r="N320" t="str">
        <v>hs32Residential investor property useOtherNZDm</v>
      </c>
    </row>
    <row r="321" spans="1:14" x14ac:dyDescent="0.3">
      <c r="A321" t="str">
        <v>hm8</v>
      </c>
      <c r="B321" t="str">
        <v>Values (q/q% s.a.)</v>
      </c>
      <c r="C321" t="str">
        <v>Export</v>
      </c>
      <c r="D321">
        <v>1</v>
      </c>
      <c r="E321" t="str">
        <v>%</v>
      </c>
      <c r="F321" t="str">
        <v>%</v>
      </c>
      <c r="G321">
        <v>257</v>
      </c>
      <c r="I321" t="str">
        <v>hs32</v>
      </c>
      <c r="J321" t="str">
        <v>Residential investor property use</v>
      </c>
      <c r="K321" t="str">
        <v>Principal &amp; interest</v>
      </c>
      <c r="L321" t="str">
        <v>NZDm</v>
      </c>
      <c r="M321">
        <v>335</v>
      </c>
      <c r="N321" t="str">
        <v>hs32Residential investor property usePrincipal &amp; interestNZDm</v>
      </c>
    </row>
    <row r="322" spans="1:14" x14ac:dyDescent="0.3">
      <c r="A322" t="str">
        <v>hm8</v>
      </c>
      <c r="B322" t="str">
        <v>Values (q/q% s.a.)</v>
      </c>
      <c r="C322" t="str">
        <v>Import</v>
      </c>
      <c r="D322">
        <v>1</v>
      </c>
      <c r="E322" t="str">
        <v>%</v>
      </c>
      <c r="F322" t="str">
        <v>%</v>
      </c>
      <c r="G322">
        <v>258</v>
      </c>
      <c r="I322" t="str">
        <v>hs32</v>
      </c>
      <c r="J322" t="str">
        <v>Residential investor property use</v>
      </c>
      <c r="K322" t="str">
        <v>Revolving credit</v>
      </c>
      <c r="L322" t="str">
        <v>NZDm</v>
      </c>
      <c r="M322">
        <v>334</v>
      </c>
      <c r="N322" t="str">
        <v>hs32Residential investor property useRevolving creditNZDm</v>
      </c>
    </row>
    <row r="323" spans="1:14" x14ac:dyDescent="0.3">
      <c r="A323" t="str">
        <v>hm8</v>
      </c>
      <c r="B323" t="str">
        <v>Values (y/y%)</v>
      </c>
      <c r="C323" t="str">
        <v>Export</v>
      </c>
      <c r="D323">
        <v>1</v>
      </c>
      <c r="E323" t="str">
        <v>%</v>
      </c>
      <c r="F323" t="str">
        <v>%</v>
      </c>
      <c r="G323">
        <v>259</v>
      </c>
      <c r="I323" t="str">
        <v>hs32</v>
      </c>
      <c r="J323" t="str">
        <v>Residential investor property use</v>
      </c>
      <c r="K323" t="str">
        <v>Total</v>
      </c>
      <c r="L323" t="str">
        <v>NZDm</v>
      </c>
      <c r="M323">
        <v>332</v>
      </c>
      <c r="N323" t="str">
        <v>hs32Residential investor property useTotalNZDm</v>
      </c>
    </row>
    <row r="324" spans="1:14" x14ac:dyDescent="0.3">
      <c r="A324" t="str">
        <v>hm8</v>
      </c>
      <c r="B324" t="str">
        <v>Values (y/y%)</v>
      </c>
      <c r="C324" t="str">
        <v>Import</v>
      </c>
      <c r="D324">
        <v>1</v>
      </c>
      <c r="E324" t="str">
        <v>%</v>
      </c>
      <c r="F324" t="str">
        <v>%</v>
      </c>
      <c r="G324">
        <v>260</v>
      </c>
      <c r="I324" t="str">
        <v>NDM01</v>
      </c>
      <c r="J324" t="str">
        <v>All house types</v>
      </c>
      <c r="K324" t="str">
        <v>All house types</v>
      </c>
      <c r="L324" t="str">
        <v>-</v>
      </c>
      <c r="M324">
        <v>391</v>
      </c>
      <c r="N324" t="str">
        <v>NDM01All house typesAll house types-</v>
      </c>
    </row>
    <row r="325" spans="1:14" x14ac:dyDescent="0.3">
      <c r="A325" t="str">
        <v>hm8</v>
      </c>
      <c r="B325" t="str">
        <v>Volumes (Index s.a.)</v>
      </c>
      <c r="C325" t="str">
        <v>Export</v>
      </c>
      <c r="D325">
        <v>1</v>
      </c>
      <c r="E325" t="str">
        <v>NA</v>
      </c>
      <c r="F325" t="str">
        <v>Index</v>
      </c>
      <c r="G325">
        <v>273</v>
      </c>
      <c r="I325" t="str">
        <v>NDM01</v>
      </c>
      <c r="J325" t="str">
        <v>Apartment</v>
      </c>
      <c r="K325" t="str">
        <v>Apartment</v>
      </c>
      <c r="L325" t="str">
        <v>-</v>
      </c>
      <c r="M325">
        <v>394</v>
      </c>
      <c r="N325" t="str">
        <v>NDM01ApartmentApartment-</v>
      </c>
    </row>
    <row r="326" spans="1:14" x14ac:dyDescent="0.3">
      <c r="A326" t="str">
        <v>hm8</v>
      </c>
      <c r="B326" t="str">
        <v>Volumes (Index s.a.)</v>
      </c>
      <c r="C326" t="str">
        <v>Import</v>
      </c>
      <c r="D326">
        <v>1</v>
      </c>
      <c r="E326" t="str">
        <v>NA</v>
      </c>
      <c r="F326" t="str">
        <v>Index</v>
      </c>
      <c r="G326">
        <v>274</v>
      </c>
      <c r="I326" t="str">
        <v>NDM01</v>
      </c>
      <c r="J326" t="str">
        <v>Scheme house</v>
      </c>
      <c r="K326" t="str">
        <v>Scheme house</v>
      </c>
      <c r="L326" t="str">
        <v>-</v>
      </c>
      <c r="M326">
        <v>393</v>
      </c>
      <c r="N326" t="str">
        <v>NDM01Scheme houseScheme house-</v>
      </c>
    </row>
    <row r="327" spans="1:14" x14ac:dyDescent="0.3">
      <c r="A327" t="str">
        <v>hm8</v>
      </c>
      <c r="B327" t="str">
        <v>Volumes (Index)</v>
      </c>
      <c r="C327" t="str">
        <v>Export</v>
      </c>
      <c r="D327">
        <v>1</v>
      </c>
      <c r="E327" t="str">
        <v>NA</v>
      </c>
      <c r="F327" t="str">
        <v>Index</v>
      </c>
      <c r="G327">
        <v>267</v>
      </c>
      <c r="I327" t="str">
        <v>NDM01</v>
      </c>
      <c r="J327" t="str">
        <v>Single house</v>
      </c>
      <c r="K327" t="str">
        <v>Single house</v>
      </c>
      <c r="L327" t="str">
        <v>-</v>
      </c>
      <c r="M327">
        <v>392</v>
      </c>
      <c r="N327" t="str">
        <v>NDM01Single houseSingle house-</v>
      </c>
    </row>
    <row r="328" spans="1:14" x14ac:dyDescent="0.3">
      <c r="A328" t="str">
        <v>hm8</v>
      </c>
      <c r="B328" t="str">
        <v>Volumes (Index)</v>
      </c>
      <c r="C328" t="str">
        <v>Import</v>
      </c>
      <c r="D328">
        <v>1</v>
      </c>
      <c r="E328" t="str">
        <v>NA</v>
      </c>
      <c r="F328" t="str">
        <v>Index</v>
      </c>
      <c r="G328">
        <v>268</v>
      </c>
      <c r="I328" t="str">
        <v>Total</v>
      </c>
      <c r="J328" t="str">
        <v/>
      </c>
      <c r="K328" t="str">
        <v/>
      </c>
      <c r="L328" t="str">
        <v/>
      </c>
      <c r="M328">
        <v>394</v>
      </c>
      <c r="N328" t="str">
        <v>Total</v>
      </c>
    </row>
    <row r="329" spans="1:14" x14ac:dyDescent="0.3">
      <c r="A329" t="str">
        <v>hm8</v>
      </c>
      <c r="B329" t="str">
        <v>Volumes (q/q% s.a.)</v>
      </c>
      <c r="C329" t="str">
        <v>Export</v>
      </c>
      <c r="D329">
        <v>1</v>
      </c>
      <c r="E329" t="str">
        <v>%</v>
      </c>
      <c r="F329" t="str">
        <v>%</v>
      </c>
      <c r="G329">
        <v>269</v>
      </c>
    </row>
    <row r="330" spans="1:14" x14ac:dyDescent="0.3">
      <c r="A330" t="str">
        <v>hm8</v>
      </c>
      <c r="B330" t="str">
        <v>Volumes (q/q% s.a.)</v>
      </c>
      <c r="C330" t="str">
        <v>Import</v>
      </c>
      <c r="D330">
        <v>1</v>
      </c>
      <c r="E330" t="str">
        <v>%</v>
      </c>
      <c r="F330" t="str">
        <v>%</v>
      </c>
      <c r="G330">
        <v>270</v>
      </c>
    </row>
    <row r="331" spans="1:14" x14ac:dyDescent="0.3">
      <c r="A331" t="str">
        <v>hm8</v>
      </c>
      <c r="B331" t="str">
        <v>Volumes (y/y%)</v>
      </c>
      <c r="C331" t="str">
        <v>Export</v>
      </c>
      <c r="D331">
        <v>1</v>
      </c>
      <c r="E331" t="str">
        <v>%</v>
      </c>
      <c r="F331" t="str">
        <v>%</v>
      </c>
      <c r="G331">
        <v>271</v>
      </c>
    </row>
    <row r="332" spans="1:14" x14ac:dyDescent="0.3">
      <c r="A332" t="str">
        <v>hm8</v>
      </c>
      <c r="B332" t="str">
        <v>Volumes (y/y%)</v>
      </c>
      <c r="C332" t="str">
        <v>Import</v>
      </c>
      <c r="D332">
        <v>1</v>
      </c>
      <c r="E332" t="str">
        <v>%</v>
      </c>
      <c r="F332" t="str">
        <v>%</v>
      </c>
      <c r="G332">
        <v>272</v>
      </c>
    </row>
    <row r="333" spans="1:14" x14ac:dyDescent="0.3">
      <c r="A333" t="str">
        <v>hm9</v>
      </c>
      <c r="B333" t="str">
        <v>Employed (000s s.a.)</v>
      </c>
      <c r="C333" t="str">
        <v>Labour force</v>
      </c>
      <c r="D333">
        <v>1</v>
      </c>
      <c r="E333" t="str">
        <v>000s</v>
      </c>
      <c r="F333" t="str">
        <v>000's</v>
      </c>
      <c r="G333">
        <v>286</v>
      </c>
    </row>
    <row r="334" spans="1:14" x14ac:dyDescent="0.3">
      <c r="A334" t="str">
        <v>hm9</v>
      </c>
      <c r="B334" t="str">
        <v>Employed (y/y%)</v>
      </c>
      <c r="C334" t="str">
        <v>Labour force</v>
      </c>
      <c r="D334">
        <v>1</v>
      </c>
      <c r="E334" t="str">
        <v>%</v>
      </c>
      <c r="F334" t="str">
        <v>Total %</v>
      </c>
      <c r="G334">
        <v>283</v>
      </c>
    </row>
    <row r="335" spans="1:14" x14ac:dyDescent="0.3">
      <c r="A335" t="str">
        <v>hm9</v>
      </c>
      <c r="B335" t="str">
        <v>Hourly Earnings $</v>
      </c>
      <c r="C335" t="str">
        <v>Average hourly earnings (ordinary time and overtime)</v>
      </c>
      <c r="D335">
        <v>1</v>
      </c>
      <c r="E335" t="str">
        <v>NA</v>
      </c>
      <c r="F335" t="str">
        <v>$</v>
      </c>
      <c r="G335">
        <v>295</v>
      </c>
    </row>
    <row r="336" spans="1:14" x14ac:dyDescent="0.3">
      <c r="A336" t="str">
        <v>hm9</v>
      </c>
      <c r="B336" t="str">
        <v>Hourly Earnings q/q%</v>
      </c>
      <c r="C336" t="str">
        <v>Average hourly earnings (ordinary time and overtime)</v>
      </c>
      <c r="D336">
        <v>1</v>
      </c>
      <c r="E336" t="str">
        <v>%</v>
      </c>
      <c r="F336" t="str">
        <v>%</v>
      </c>
      <c r="G336">
        <v>296</v>
      </c>
    </row>
    <row r="337" spans="1:7" x14ac:dyDescent="0.3">
      <c r="A337" t="str">
        <v>hm9</v>
      </c>
      <c r="B337" t="str">
        <v>Hourly Earnings y/y%</v>
      </c>
      <c r="C337" t="str">
        <v>Average hourly earnings (ordinary time and overtime)</v>
      </c>
      <c r="D337">
        <v>1</v>
      </c>
      <c r="E337" t="str">
        <v>%</v>
      </c>
      <c r="F337" t="str">
        <v>%</v>
      </c>
      <c r="G337">
        <v>297</v>
      </c>
    </row>
    <row r="338" spans="1:7" x14ac:dyDescent="0.3">
      <c r="A338" t="str">
        <v>hm9</v>
      </c>
      <c r="B338" t="str">
        <v>Labour Force % s.a.</v>
      </c>
      <c r="C338" t="str">
        <v>Labour force participation rate</v>
      </c>
      <c r="D338">
        <v>1</v>
      </c>
      <c r="E338" t="str">
        <v>%</v>
      </c>
      <c r="F338" t="str">
        <v>Total %</v>
      </c>
      <c r="G338">
        <v>275</v>
      </c>
    </row>
    <row r="339" spans="1:7" x14ac:dyDescent="0.3">
      <c r="A339" t="str">
        <v>hm9</v>
      </c>
      <c r="B339" t="str">
        <v>Labour Force (000s s.a.)</v>
      </c>
      <c r="C339" t="str">
        <v>Labour force</v>
      </c>
      <c r="D339">
        <v>1</v>
      </c>
      <c r="E339" t="str">
        <v>000s</v>
      </c>
      <c r="F339" t="str">
        <v>000's</v>
      </c>
      <c r="G339">
        <v>288</v>
      </c>
    </row>
    <row r="340" spans="1:7" x14ac:dyDescent="0.3">
      <c r="A340" t="str">
        <v>hm9</v>
      </c>
      <c r="B340" t="str">
        <v>LCI Index</v>
      </c>
      <c r="C340" t="str">
        <v>Labour cost index (LCI)</v>
      </c>
      <c r="D340">
        <v>1</v>
      </c>
      <c r="E340" t="str">
        <v>Index</v>
      </c>
      <c r="F340" t="str">
        <v>Index</v>
      </c>
      <c r="G340">
        <v>279</v>
      </c>
    </row>
    <row r="341" spans="1:7" x14ac:dyDescent="0.3">
      <c r="A341" t="str">
        <v>hm9</v>
      </c>
      <c r="B341" t="str">
        <v>LCI y/y%</v>
      </c>
      <c r="C341" t="str">
        <v>Labour cost index (LCI)</v>
      </c>
      <c r="D341">
        <v>1</v>
      </c>
      <c r="E341" t="str">
        <v>%</v>
      </c>
      <c r="F341" t="str">
        <v>%</v>
      </c>
      <c r="G341">
        <v>280</v>
      </c>
    </row>
    <row r="342" spans="1:7" x14ac:dyDescent="0.3">
      <c r="A342" t="str">
        <v>hm9</v>
      </c>
      <c r="B342" t="str">
        <v>Not in labour force</v>
      </c>
      <c r="C342" t="str">
        <v>Not in labour force</v>
      </c>
      <c r="D342">
        <v>1</v>
      </c>
      <c r="E342" t="str">
        <v>000s</v>
      </c>
      <c r="F342" t="str">
        <v>000's</v>
      </c>
      <c r="G342">
        <v>277</v>
      </c>
    </row>
    <row r="343" spans="1:7" x14ac:dyDescent="0.3">
      <c r="A343" t="str">
        <v>hm9</v>
      </c>
      <c r="B343" t="str">
        <v>Not in Labour Force y/y%</v>
      </c>
      <c r="C343" t="str">
        <v>Not in labour force</v>
      </c>
      <c r="D343">
        <v>1</v>
      </c>
      <c r="E343" t="str">
        <v>%</v>
      </c>
      <c r="F343" t="str">
        <v>%</v>
      </c>
      <c r="G343">
        <v>281</v>
      </c>
    </row>
    <row r="344" spans="1:7" x14ac:dyDescent="0.3">
      <c r="A344" t="str">
        <v>hm9</v>
      </c>
      <c r="B344" t="str">
        <v>Private sector wages - q/q%</v>
      </c>
      <c r="C344" t="str">
        <v>Private sector wages</v>
      </c>
      <c r="D344">
        <v>1</v>
      </c>
      <c r="E344" t="str">
        <v>%</v>
      </c>
      <c r="F344" t="str">
        <v>%</v>
      </c>
      <c r="G344">
        <v>290</v>
      </c>
    </row>
    <row r="345" spans="1:7" x14ac:dyDescent="0.3">
      <c r="A345" t="str">
        <v>hm9</v>
      </c>
      <c r="B345" t="str">
        <v>Private sector wages - y/y%</v>
      </c>
      <c r="C345" t="str">
        <v>Private sector wages</v>
      </c>
      <c r="D345">
        <v>1</v>
      </c>
      <c r="E345" t="str">
        <v>%</v>
      </c>
      <c r="F345" t="str">
        <v>%</v>
      </c>
      <c r="G345">
        <v>291</v>
      </c>
    </row>
    <row r="346" spans="1:7" x14ac:dyDescent="0.3">
      <c r="A346" t="str">
        <v>hm9</v>
      </c>
      <c r="B346" t="str">
        <v>Private sector wages $</v>
      </c>
      <c r="C346" t="str">
        <v>Private sector wages</v>
      </c>
      <c r="D346">
        <v>1</v>
      </c>
      <c r="E346" t="str">
        <v>NA</v>
      </c>
      <c r="F346" t="str">
        <v>$</v>
      </c>
      <c r="G346">
        <v>289</v>
      </c>
    </row>
    <row r="347" spans="1:7" x14ac:dyDescent="0.3">
      <c r="A347" t="str">
        <v>hm9</v>
      </c>
      <c r="B347" t="str">
        <v>Public sector wages - $</v>
      </c>
      <c r="C347" t="str">
        <v>Public sector wages</v>
      </c>
      <c r="D347">
        <v>1</v>
      </c>
      <c r="E347" t="str">
        <v>NA</v>
      </c>
      <c r="F347" t="str">
        <v>$</v>
      </c>
      <c r="G347">
        <v>292</v>
      </c>
    </row>
    <row r="348" spans="1:7" x14ac:dyDescent="0.3">
      <c r="A348" t="str">
        <v>hm9</v>
      </c>
      <c r="B348" t="str">
        <v>Public sector wages - q/q%</v>
      </c>
      <c r="C348" t="str">
        <v>Public sector wages</v>
      </c>
      <c r="D348">
        <v>1</v>
      </c>
      <c r="E348" t="str">
        <v>%</v>
      </c>
      <c r="F348" t="str">
        <v>%</v>
      </c>
      <c r="G348">
        <v>293</v>
      </c>
    </row>
    <row r="349" spans="1:7" x14ac:dyDescent="0.3">
      <c r="A349" t="str">
        <v>hm9</v>
      </c>
      <c r="B349" t="str">
        <v>Public sector wages - y/y%</v>
      </c>
      <c r="C349" t="str">
        <v>Public sector wages</v>
      </c>
      <c r="D349">
        <v>1</v>
      </c>
      <c r="E349" t="str">
        <v>%</v>
      </c>
      <c r="F349" t="str">
        <v>%</v>
      </c>
      <c r="G349">
        <v>294</v>
      </c>
    </row>
    <row r="350" spans="1:7" x14ac:dyDescent="0.3">
      <c r="A350" t="str">
        <v>hm9</v>
      </c>
      <c r="B350" t="str">
        <v>Total (y/y%)</v>
      </c>
      <c r="C350" t="str">
        <v>Labour force</v>
      </c>
      <c r="D350">
        <v>1</v>
      </c>
      <c r="E350" t="str">
        <v>%</v>
      </c>
      <c r="F350" t="str">
        <v>Total %</v>
      </c>
      <c r="G350">
        <v>285</v>
      </c>
    </row>
    <row r="351" spans="1:7" x14ac:dyDescent="0.3">
      <c r="A351" t="str">
        <v>hm9</v>
      </c>
      <c r="B351" t="str">
        <v>Unemployed (000s s.a.)</v>
      </c>
      <c r="C351" t="str">
        <v>Labour force</v>
      </c>
      <c r="D351">
        <v>1</v>
      </c>
      <c r="E351" t="str">
        <v>000s</v>
      </c>
      <c r="F351" t="str">
        <v>000's</v>
      </c>
      <c r="G351">
        <v>287</v>
      </c>
    </row>
    <row r="352" spans="1:7" x14ac:dyDescent="0.3">
      <c r="A352" t="str">
        <v>hm9</v>
      </c>
      <c r="B352" t="str">
        <v>Unemployed (y/y%)</v>
      </c>
      <c r="C352" t="str">
        <v>Labour force</v>
      </c>
      <c r="D352">
        <v>1</v>
      </c>
      <c r="E352" t="str">
        <v>%</v>
      </c>
      <c r="F352" t="str">
        <v>Total %</v>
      </c>
      <c r="G352">
        <v>284</v>
      </c>
    </row>
    <row r="353" spans="1:7" x14ac:dyDescent="0.3">
      <c r="A353" t="str">
        <v>hm9</v>
      </c>
      <c r="B353" t="str">
        <v>Unemployment % s.a.</v>
      </c>
      <c r="C353" t="str">
        <v>Unemployment rate</v>
      </c>
      <c r="D353">
        <v>1</v>
      </c>
      <c r="E353" t="str">
        <v>%</v>
      </c>
      <c r="F353" t="str">
        <v>Total %</v>
      </c>
      <c r="G353">
        <v>276</v>
      </c>
    </row>
    <row r="354" spans="1:7" x14ac:dyDescent="0.3">
      <c r="A354" t="str">
        <v>hm9</v>
      </c>
      <c r="B354" t="str">
        <v>Working-age population</v>
      </c>
      <c r="C354" t="str">
        <v>Working-age population</v>
      </c>
      <c r="D354">
        <v>1</v>
      </c>
      <c r="E354" t="str">
        <v>000s</v>
      </c>
      <c r="F354" t="str">
        <v>000's</v>
      </c>
      <c r="G354">
        <v>278</v>
      </c>
    </row>
    <row r="355" spans="1:7" x14ac:dyDescent="0.3">
      <c r="A355" t="str">
        <v>hm9</v>
      </c>
      <c r="B355" t="str">
        <v>Working-age population %</v>
      </c>
      <c r="C355" t="str">
        <v>Working-age population</v>
      </c>
      <c r="D355">
        <v>1</v>
      </c>
      <c r="E355" t="str">
        <v>%</v>
      </c>
      <c r="F355" t="str">
        <v>Total %</v>
      </c>
      <c r="G355">
        <v>282</v>
      </c>
    </row>
    <row r="356" spans="1:7" x14ac:dyDescent="0.3">
      <c r="A356" t="str">
        <v>hs32</v>
      </c>
      <c r="B356" t="str">
        <v>Agriculture loans</v>
      </c>
      <c r="C356" t="str">
        <v>Interest only</v>
      </c>
      <c r="D356">
        <v>1</v>
      </c>
      <c r="E356" t="str">
        <v>NZDm</v>
      </c>
      <c r="F356" t="str">
        <v>NZDm</v>
      </c>
      <c r="G356">
        <v>348</v>
      </c>
    </row>
    <row r="357" spans="1:7" x14ac:dyDescent="0.3">
      <c r="A357" t="str">
        <v>hs32</v>
      </c>
      <c r="B357" t="str">
        <v>Agriculture loans</v>
      </c>
      <c r="C357" t="str">
        <v>Other</v>
      </c>
      <c r="D357">
        <v>1</v>
      </c>
      <c r="E357" t="str">
        <v>NZDm</v>
      </c>
      <c r="F357" t="str">
        <v>NZDm</v>
      </c>
      <c r="G357">
        <v>351</v>
      </c>
    </row>
    <row r="358" spans="1:7" x14ac:dyDescent="0.3">
      <c r="A358" t="str">
        <v>hs32</v>
      </c>
      <c r="B358" t="str">
        <v>Agriculture loans</v>
      </c>
      <c r="C358" t="str">
        <v>Principal &amp; interest</v>
      </c>
      <c r="D358">
        <v>1</v>
      </c>
      <c r="E358" t="str">
        <v>NZDm</v>
      </c>
      <c r="F358" t="str">
        <v>NZDm</v>
      </c>
      <c r="G358">
        <v>350</v>
      </c>
    </row>
    <row r="359" spans="1:7" x14ac:dyDescent="0.3">
      <c r="A359" t="str">
        <v>hs32</v>
      </c>
      <c r="B359" t="str">
        <v>Agriculture loans</v>
      </c>
      <c r="C359" t="str">
        <v>Revolving credit</v>
      </c>
      <c r="D359">
        <v>1</v>
      </c>
      <c r="E359" t="str">
        <v>NZDm</v>
      </c>
      <c r="F359" t="str">
        <v>NZDm</v>
      </c>
      <c r="G359">
        <v>349</v>
      </c>
    </row>
    <row r="360" spans="1:7" x14ac:dyDescent="0.3">
      <c r="A360" t="str">
        <v>hs32</v>
      </c>
      <c r="B360" t="str">
        <v>Agriculture loans</v>
      </c>
      <c r="C360" t="str">
        <v>Total</v>
      </c>
      <c r="D360">
        <v>1</v>
      </c>
      <c r="E360" t="str">
        <v>NZDm</v>
      </c>
      <c r="F360" t="str">
        <v>NZDm</v>
      </c>
      <c r="G360">
        <v>347</v>
      </c>
    </row>
    <row r="361" spans="1:7" x14ac:dyDescent="0.3">
      <c r="A361" t="str">
        <v>hs32</v>
      </c>
      <c r="B361" t="str">
        <v>Business loans</v>
      </c>
      <c r="C361" t="str">
        <v>Interest only</v>
      </c>
      <c r="D361">
        <v>1</v>
      </c>
      <c r="E361" t="str">
        <v>NZDm</v>
      </c>
      <c r="F361" t="str">
        <v>NZDm</v>
      </c>
      <c r="G361">
        <v>343</v>
      </c>
    </row>
    <row r="362" spans="1:7" x14ac:dyDescent="0.3">
      <c r="A362" t="str">
        <v>hs32</v>
      </c>
      <c r="B362" t="str">
        <v>Business loans</v>
      </c>
      <c r="C362" t="str">
        <v>Other</v>
      </c>
      <c r="D362">
        <v>1</v>
      </c>
      <c r="E362" t="str">
        <v>NZDm</v>
      </c>
      <c r="F362" t="str">
        <v>NZDm</v>
      </c>
      <c r="G362">
        <v>346</v>
      </c>
    </row>
    <row r="363" spans="1:7" x14ac:dyDescent="0.3">
      <c r="A363" t="str">
        <v>hs32</v>
      </c>
      <c r="B363" t="str">
        <v>Business loans</v>
      </c>
      <c r="C363" t="str">
        <v>Principal &amp; interest</v>
      </c>
      <c r="D363">
        <v>1</v>
      </c>
      <c r="E363" t="str">
        <v>NZDm</v>
      </c>
      <c r="F363" t="str">
        <v>NZDm</v>
      </c>
      <c r="G363">
        <v>345</v>
      </c>
    </row>
    <row r="364" spans="1:7" x14ac:dyDescent="0.3">
      <c r="A364" t="str">
        <v>hs32</v>
      </c>
      <c r="B364" t="str">
        <v>Business loans</v>
      </c>
      <c r="C364" t="str">
        <v>Revolving credit</v>
      </c>
      <c r="D364">
        <v>1</v>
      </c>
      <c r="E364" t="str">
        <v>NZDm</v>
      </c>
      <c r="F364" t="str">
        <v>NZDm</v>
      </c>
      <c r="G364">
        <v>344</v>
      </c>
    </row>
    <row r="365" spans="1:7" x14ac:dyDescent="0.3">
      <c r="A365" t="str">
        <v>hs32</v>
      </c>
      <c r="B365" t="str">
        <v>Business loans</v>
      </c>
      <c r="C365" t="str">
        <v>Total</v>
      </c>
      <c r="D365">
        <v>1</v>
      </c>
      <c r="E365" t="str">
        <v>NZDm</v>
      </c>
      <c r="F365" t="str">
        <v>NZDm</v>
      </c>
      <c r="G365">
        <v>342</v>
      </c>
    </row>
    <row r="366" spans="1:7" x14ac:dyDescent="0.3">
      <c r="A366" t="str">
        <v>hs32</v>
      </c>
      <c r="B366" t="str">
        <v>Financial institutions loans</v>
      </c>
      <c r="C366" t="str">
        <v>Interest only</v>
      </c>
      <c r="D366">
        <v>1</v>
      </c>
      <c r="E366" t="str">
        <v>NZDm</v>
      </c>
      <c r="F366" t="str">
        <v>NZDm</v>
      </c>
      <c r="G366">
        <v>353</v>
      </c>
    </row>
    <row r="367" spans="1:7" x14ac:dyDescent="0.3">
      <c r="A367" t="str">
        <v>hs32</v>
      </c>
      <c r="B367" t="str">
        <v>Financial institutions loans</v>
      </c>
      <c r="C367" t="str">
        <v>Other</v>
      </c>
      <c r="D367">
        <v>1</v>
      </c>
      <c r="E367" t="str">
        <v>NZDm</v>
      </c>
      <c r="F367" t="str">
        <v>NZDm</v>
      </c>
      <c r="G367">
        <v>356</v>
      </c>
    </row>
    <row r="368" spans="1:7" x14ac:dyDescent="0.3">
      <c r="A368" t="str">
        <v>hs32</v>
      </c>
      <c r="B368" t="str">
        <v>Financial institutions loans</v>
      </c>
      <c r="C368" t="str">
        <v>Principal &amp; interest</v>
      </c>
      <c r="D368">
        <v>1</v>
      </c>
      <c r="E368" t="str">
        <v>NZDm</v>
      </c>
      <c r="F368" t="str">
        <v>NZDm</v>
      </c>
      <c r="G368">
        <v>355</v>
      </c>
    </row>
    <row r="369" spans="1:7" x14ac:dyDescent="0.3">
      <c r="A369" t="str">
        <v>hs32</v>
      </c>
      <c r="B369" t="str">
        <v>Financial institutions loans</v>
      </c>
      <c r="C369" t="str">
        <v>Revolving credit</v>
      </c>
      <c r="D369">
        <v>1</v>
      </c>
      <c r="E369" t="str">
        <v>NZDm</v>
      </c>
      <c r="F369" t="str">
        <v>NZDm</v>
      </c>
      <c r="G369">
        <v>354</v>
      </c>
    </row>
    <row r="370" spans="1:7" x14ac:dyDescent="0.3">
      <c r="A370" t="str">
        <v>hs32</v>
      </c>
      <c r="B370" t="str">
        <v>Financial institutions loans</v>
      </c>
      <c r="C370" t="str">
        <v>Total</v>
      </c>
      <c r="D370">
        <v>1</v>
      </c>
      <c r="E370" t="str">
        <v>NZDm</v>
      </c>
      <c r="F370" t="str">
        <v>NZDm</v>
      </c>
      <c r="G370">
        <v>352</v>
      </c>
    </row>
    <row r="371" spans="1:7" x14ac:dyDescent="0.3">
      <c r="A371" t="str">
        <v>hs32</v>
      </c>
      <c r="B371" t="str">
        <v>Other loans</v>
      </c>
      <c r="C371" t="str">
        <v>Interest only</v>
      </c>
      <c r="D371">
        <v>1</v>
      </c>
      <c r="E371" t="str">
        <v>NZDm</v>
      </c>
      <c r="F371" t="str">
        <v>NZDm</v>
      </c>
      <c r="G371">
        <v>358</v>
      </c>
    </row>
    <row r="372" spans="1:7" x14ac:dyDescent="0.3">
      <c r="A372" t="str">
        <v>hs32</v>
      </c>
      <c r="B372" t="str">
        <v>Other loans</v>
      </c>
      <c r="C372" t="str">
        <v>Other</v>
      </c>
      <c r="D372">
        <v>1</v>
      </c>
      <c r="E372" t="str">
        <v>NZDm</v>
      </c>
      <c r="F372" t="str">
        <v>NZDm</v>
      </c>
      <c r="G372">
        <v>361</v>
      </c>
    </row>
    <row r="373" spans="1:7" x14ac:dyDescent="0.3">
      <c r="A373" t="str">
        <v>hs32</v>
      </c>
      <c r="B373" t="str">
        <v>Other loans</v>
      </c>
      <c r="C373" t="str">
        <v>Principal &amp; interest</v>
      </c>
      <c r="D373">
        <v>1</v>
      </c>
      <c r="E373" t="str">
        <v>NZDm</v>
      </c>
      <c r="F373" t="str">
        <v>NZDm</v>
      </c>
      <c r="G373">
        <v>360</v>
      </c>
    </row>
    <row r="374" spans="1:7" x14ac:dyDescent="0.3">
      <c r="A374" t="str">
        <v>hs32</v>
      </c>
      <c r="B374" t="str">
        <v>Other loans</v>
      </c>
      <c r="C374" t="str">
        <v>Revolving credit</v>
      </c>
      <c r="D374">
        <v>1</v>
      </c>
      <c r="E374" t="str">
        <v>NZDm</v>
      </c>
      <c r="F374" t="str">
        <v>NZDm</v>
      </c>
      <c r="G374">
        <v>359</v>
      </c>
    </row>
    <row r="375" spans="1:7" x14ac:dyDescent="0.3">
      <c r="A375" t="str">
        <v>hs32</v>
      </c>
      <c r="B375" t="str">
        <v>Other loans</v>
      </c>
      <c r="C375" t="str">
        <v>Total</v>
      </c>
      <c r="D375">
        <v>1</v>
      </c>
      <c r="E375" t="str">
        <v>NZDm</v>
      </c>
      <c r="F375" t="str">
        <v>NZDm</v>
      </c>
      <c r="G375">
        <v>357</v>
      </c>
    </row>
    <row r="376" spans="1:7" x14ac:dyDescent="0.3">
      <c r="A376" t="str">
        <v>hs32</v>
      </c>
      <c r="B376" t="str">
        <v>Owner occupier property use</v>
      </c>
      <c r="C376" t="str">
        <v>Interest only</v>
      </c>
      <c r="D376">
        <v>1</v>
      </c>
      <c r="E376" t="str">
        <v>NZDm</v>
      </c>
      <c r="F376" t="str">
        <v>NZDm</v>
      </c>
      <c r="G376">
        <v>328</v>
      </c>
    </row>
    <row r="377" spans="1:7" x14ac:dyDescent="0.3">
      <c r="A377" t="str">
        <v>hs32</v>
      </c>
      <c r="B377" t="str">
        <v>Owner occupier property use</v>
      </c>
      <c r="C377" t="str">
        <v>Other</v>
      </c>
      <c r="D377">
        <v>1</v>
      </c>
      <c r="E377" t="str">
        <v>NZDm</v>
      </c>
      <c r="F377" t="str">
        <v>NZDm</v>
      </c>
      <c r="G377">
        <v>331</v>
      </c>
    </row>
    <row r="378" spans="1:7" x14ac:dyDescent="0.3">
      <c r="A378" t="str">
        <v>hs32</v>
      </c>
      <c r="B378" t="str">
        <v>Owner occupier property use</v>
      </c>
      <c r="C378" t="str">
        <v>Principal &amp; interest</v>
      </c>
      <c r="D378">
        <v>1</v>
      </c>
      <c r="E378" t="str">
        <v>NZDm</v>
      </c>
      <c r="F378" t="str">
        <v>NZDm</v>
      </c>
      <c r="G378">
        <v>330</v>
      </c>
    </row>
    <row r="379" spans="1:7" x14ac:dyDescent="0.3">
      <c r="A379" t="str">
        <v>hs32</v>
      </c>
      <c r="B379" t="str">
        <v>Owner occupier property use</v>
      </c>
      <c r="C379" t="str">
        <v>Revolving credit</v>
      </c>
      <c r="D379">
        <v>1</v>
      </c>
      <c r="E379" t="str">
        <v>NZDm</v>
      </c>
      <c r="F379" t="str">
        <v>NZDm</v>
      </c>
      <c r="G379">
        <v>329</v>
      </c>
    </row>
    <row r="380" spans="1:7" x14ac:dyDescent="0.3">
      <c r="A380" t="str">
        <v>hs32</v>
      </c>
      <c r="B380" t="str">
        <v>Owner occupier property use</v>
      </c>
      <c r="C380" t="str">
        <v>Total</v>
      </c>
      <c r="D380">
        <v>1</v>
      </c>
      <c r="E380" t="str">
        <v>NZDm</v>
      </c>
      <c r="F380" t="str">
        <v>NZDm</v>
      </c>
      <c r="G380">
        <v>327</v>
      </c>
    </row>
    <row r="381" spans="1:7" x14ac:dyDescent="0.3">
      <c r="A381" t="str">
        <v>hs32</v>
      </c>
      <c r="B381" t="str">
        <v>Personal consumer loans</v>
      </c>
      <c r="C381" t="str">
        <v>Credit cards</v>
      </c>
      <c r="D381">
        <v>1</v>
      </c>
      <c r="E381" t="str">
        <v>NZDm</v>
      </c>
      <c r="F381" t="str">
        <v>NZDm</v>
      </c>
      <c r="G381">
        <v>339</v>
      </c>
    </row>
    <row r="382" spans="1:7" x14ac:dyDescent="0.3">
      <c r="A382" t="str">
        <v>hs32</v>
      </c>
      <c r="B382" t="str">
        <v>Personal consumer loans</v>
      </c>
      <c r="C382" t="str">
        <v>Other</v>
      </c>
      <c r="D382">
        <v>1</v>
      </c>
      <c r="E382" t="str">
        <v>NZDm</v>
      </c>
      <c r="F382" t="str">
        <v>NZDm</v>
      </c>
      <c r="G382">
        <v>341</v>
      </c>
    </row>
    <row r="383" spans="1:7" x14ac:dyDescent="0.3">
      <c r="A383" t="str">
        <v>hs32</v>
      </c>
      <c r="B383" t="str">
        <v>Personal consumer loans</v>
      </c>
      <c r="C383" t="str">
        <v>Overdrafts</v>
      </c>
      <c r="D383">
        <v>1</v>
      </c>
      <c r="E383" t="str">
        <v>NZDm</v>
      </c>
      <c r="F383" t="str">
        <v>NZDm</v>
      </c>
      <c r="G383">
        <v>338</v>
      </c>
    </row>
    <row r="384" spans="1:7" x14ac:dyDescent="0.3">
      <c r="A384" t="str">
        <v>hs32</v>
      </c>
      <c r="B384" t="str">
        <v>Personal consumer loans</v>
      </c>
      <c r="C384" t="str">
        <v>Term loans</v>
      </c>
      <c r="D384">
        <v>1</v>
      </c>
      <c r="E384" t="str">
        <v>NZDm</v>
      </c>
      <c r="F384" t="str">
        <v>NZDm</v>
      </c>
      <c r="G384">
        <v>340</v>
      </c>
    </row>
    <row r="385" spans="1:7" x14ac:dyDescent="0.3">
      <c r="A385" t="str">
        <v>hs32</v>
      </c>
      <c r="B385" t="str">
        <v>Personal consumer loans</v>
      </c>
      <c r="C385" t="str">
        <v>Total</v>
      </c>
      <c r="D385">
        <v>1</v>
      </c>
      <c r="E385" t="str">
        <v>NZDm</v>
      </c>
      <c r="F385" t="str">
        <v>NZDm</v>
      </c>
      <c r="G385">
        <v>337</v>
      </c>
    </row>
    <row r="386" spans="1:7" x14ac:dyDescent="0.3">
      <c r="A386" t="str">
        <v>hs32</v>
      </c>
      <c r="B386" t="str">
        <v>Residential investor property use</v>
      </c>
      <c r="C386" t="str">
        <v>Interest only</v>
      </c>
      <c r="D386">
        <v>1</v>
      </c>
      <c r="E386" t="str">
        <v>NZDm</v>
      </c>
      <c r="F386" t="str">
        <v>NZDm</v>
      </c>
      <c r="G386">
        <v>333</v>
      </c>
    </row>
    <row r="387" spans="1:7" x14ac:dyDescent="0.3">
      <c r="A387" t="str">
        <v>hs32</v>
      </c>
      <c r="B387" t="str">
        <v>Residential investor property use</v>
      </c>
      <c r="C387" t="str">
        <v>Other</v>
      </c>
      <c r="D387">
        <v>1</v>
      </c>
      <c r="E387" t="str">
        <v>NZDm</v>
      </c>
      <c r="F387" t="str">
        <v>NZDm</v>
      </c>
      <c r="G387">
        <v>336</v>
      </c>
    </row>
    <row r="388" spans="1:7" x14ac:dyDescent="0.3">
      <c r="A388" t="str">
        <v>hs32</v>
      </c>
      <c r="B388" t="str">
        <v>Residential investor property use</v>
      </c>
      <c r="C388" t="str">
        <v>Principal &amp; interest</v>
      </c>
      <c r="D388">
        <v>1</v>
      </c>
      <c r="E388" t="str">
        <v>NZDm</v>
      </c>
      <c r="F388" t="str">
        <v>NZDm</v>
      </c>
      <c r="G388">
        <v>335</v>
      </c>
    </row>
    <row r="389" spans="1:7" x14ac:dyDescent="0.3">
      <c r="A389" t="str">
        <v>hs32</v>
      </c>
      <c r="B389" t="str">
        <v>Residential investor property use</v>
      </c>
      <c r="C389" t="str">
        <v>Revolving credit</v>
      </c>
      <c r="D389">
        <v>1</v>
      </c>
      <c r="E389" t="str">
        <v>NZDm</v>
      </c>
      <c r="F389" t="str">
        <v>NZDm</v>
      </c>
      <c r="G389">
        <v>334</v>
      </c>
    </row>
    <row r="390" spans="1:7" x14ac:dyDescent="0.3">
      <c r="A390" t="str">
        <v>hs32</v>
      </c>
      <c r="B390" t="str">
        <v>Residential investor property use</v>
      </c>
      <c r="C390" t="str">
        <v>Total</v>
      </c>
      <c r="D390">
        <v>1</v>
      </c>
      <c r="E390" t="str">
        <v>NZDm</v>
      </c>
      <c r="F390" t="str">
        <v>NZDm</v>
      </c>
      <c r="G390">
        <v>332</v>
      </c>
    </row>
    <row r="391" spans="1:7" x14ac:dyDescent="0.3">
      <c r="A391" t="str">
        <v>NDM01</v>
      </c>
      <c r="B391" t="str">
        <v>All house types</v>
      </c>
      <c r="C391" t="str">
        <v>All house types</v>
      </c>
      <c r="D391">
        <v>1</v>
      </c>
      <c r="E391" t="str">
        <v>-</v>
      </c>
      <c r="F391" t="str">
        <v>-</v>
      </c>
      <c r="G391">
        <v>391</v>
      </c>
    </row>
    <row r="392" spans="1:7" x14ac:dyDescent="0.3">
      <c r="A392" t="str">
        <v>NDM01</v>
      </c>
      <c r="B392" t="str">
        <v>Apartment</v>
      </c>
      <c r="C392" t="str">
        <v>Apartment</v>
      </c>
      <c r="D392">
        <v>1</v>
      </c>
      <c r="E392" t="str">
        <v>-</v>
      </c>
      <c r="F392" t="str">
        <v>-</v>
      </c>
      <c r="G392">
        <v>394</v>
      </c>
    </row>
    <row r="393" spans="1:7" x14ac:dyDescent="0.3">
      <c r="A393" t="str">
        <v>NDM01</v>
      </c>
      <c r="B393" t="str">
        <v>Scheme house</v>
      </c>
      <c r="C393" t="str">
        <v>Scheme house</v>
      </c>
      <c r="D393">
        <v>1</v>
      </c>
      <c r="E393" t="str">
        <v>-</v>
      </c>
      <c r="F393" t="str">
        <v>-</v>
      </c>
      <c r="G393">
        <v>393</v>
      </c>
    </row>
    <row r="394" spans="1:7" x14ac:dyDescent="0.3">
      <c r="A394" t="str">
        <v>NDM01</v>
      </c>
      <c r="B394" t="str">
        <v>Single house</v>
      </c>
      <c r="C394" t="str">
        <v>Single house</v>
      </c>
      <c r="D394">
        <v>1</v>
      </c>
      <c r="E394" t="str">
        <v>-</v>
      </c>
      <c r="F394" t="str">
        <v>-</v>
      </c>
      <c r="G394">
        <v>392</v>
      </c>
    </row>
    <row r="395" spans="1:7" x14ac:dyDescent="0.3">
      <c r="A395" t="str">
        <v>Total</v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>
        <v>394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335B5A-10DB-46ED-B4FC-DC905CA8D6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Hawley</dc:creator>
  <cp:lastModifiedBy>Michael Hawley</cp:lastModifiedBy>
  <dcterms:created xsi:type="dcterms:W3CDTF">2026-08-26T10:33:15Z</dcterms:created>
  <dcterms:modified xsi:type="dcterms:W3CDTF">2026-08-31T10:17:51Z</dcterms:modified>
</cp:coreProperties>
</file>