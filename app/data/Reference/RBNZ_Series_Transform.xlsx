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06_Altitude/Altitude/app/data/Reference/"/>
    </mc:Choice>
  </mc:AlternateContent>
  <xr:revisionPtr revIDLastSave="26" documentId="8_{FFD9300A-BF2E-4967-9232-1D3BA1A8747A}" xr6:coauthVersionLast="47" xr6:coauthVersionMax="47" xr10:uidLastSave="{4FC5D671-9957-4C8C-B381-C047584FF910}"/>
  <bookViews>
    <workbookView xWindow="-60" yWindow="-60" windowWidth="26040" windowHeight="15600" xr2:uid="{6CA09A9B-799F-4A15-A264-F325A97F99F7}"/>
  </bookViews>
  <sheets>
    <sheet name="RBNZ_Series" sheetId="1" r:id="rId1"/>
    <sheet name="Sheet1" sheetId="2" r:id="rId2"/>
  </sheets>
  <definedNames>
    <definedName name="_xlnm._FilterDatabase" localSheetId="0" hidden="1">RBNZ_Series!$A$1:$M$385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94" i="2" l="1"/>
  <c r="AQ93" i="2"/>
  <c r="AQ92" i="2"/>
  <c r="AQ91" i="2"/>
  <c r="AQ90" i="2"/>
  <c r="AQ89" i="2"/>
  <c r="AQ88" i="2"/>
  <c r="AQ87" i="2"/>
  <c r="AQ86" i="2"/>
  <c r="AQ85" i="2"/>
  <c r="AQ84" i="2"/>
  <c r="AQ83" i="2"/>
  <c r="AQ82" i="2"/>
  <c r="AQ81" i="2"/>
  <c r="AQ80" i="2"/>
  <c r="AQ79" i="2"/>
  <c r="AQ78" i="2"/>
  <c r="AQ77" i="2"/>
  <c r="AQ76" i="2"/>
  <c r="AQ75" i="2"/>
  <c r="AQ74" i="2"/>
  <c r="AQ73" i="2"/>
  <c r="AQ72" i="2"/>
  <c r="AQ71" i="2"/>
  <c r="AQ70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P70" i="2"/>
  <c r="Q70" i="2"/>
  <c r="R70" i="2"/>
  <c r="S70" i="2"/>
  <c r="T70" i="2"/>
  <c r="U70" i="2"/>
  <c r="V70" i="2"/>
  <c r="W70" i="2"/>
  <c r="X70" i="2"/>
  <c r="Y70" i="2"/>
  <c r="Z70" i="2"/>
  <c r="AA70" i="2"/>
  <c r="P71" i="2"/>
  <c r="Q71" i="2"/>
  <c r="R71" i="2"/>
  <c r="S71" i="2"/>
  <c r="T71" i="2"/>
  <c r="U71" i="2"/>
  <c r="V71" i="2"/>
  <c r="W71" i="2"/>
  <c r="X71" i="2"/>
  <c r="Y71" i="2"/>
  <c r="Z71" i="2"/>
  <c r="AA71" i="2"/>
  <c r="P72" i="2"/>
  <c r="Q72" i="2"/>
  <c r="R72" i="2"/>
  <c r="S72" i="2"/>
  <c r="T72" i="2"/>
  <c r="U72" i="2"/>
  <c r="V72" i="2"/>
  <c r="W72" i="2"/>
  <c r="X72" i="2"/>
  <c r="Y72" i="2"/>
  <c r="Z72" i="2"/>
  <c r="AA72" i="2"/>
  <c r="P73" i="2"/>
  <c r="Q73" i="2"/>
  <c r="R73" i="2"/>
  <c r="S73" i="2"/>
  <c r="T73" i="2"/>
  <c r="U73" i="2"/>
  <c r="V73" i="2"/>
  <c r="W73" i="2"/>
  <c r="X73" i="2"/>
  <c r="Y73" i="2"/>
  <c r="Z73" i="2"/>
  <c r="AA73" i="2"/>
  <c r="P74" i="2"/>
  <c r="Q74" i="2"/>
  <c r="R74" i="2"/>
  <c r="S74" i="2"/>
  <c r="T74" i="2"/>
  <c r="U74" i="2"/>
  <c r="V74" i="2"/>
  <c r="W74" i="2"/>
  <c r="X74" i="2"/>
  <c r="Y74" i="2"/>
  <c r="Z74" i="2"/>
  <c r="AA74" i="2"/>
  <c r="P75" i="2"/>
  <c r="Q75" i="2"/>
  <c r="R75" i="2"/>
  <c r="S75" i="2"/>
  <c r="T75" i="2"/>
  <c r="U75" i="2"/>
  <c r="V75" i="2"/>
  <c r="W75" i="2"/>
  <c r="X75" i="2"/>
  <c r="Y75" i="2"/>
  <c r="Z75" i="2"/>
  <c r="AA75" i="2"/>
  <c r="P76" i="2"/>
  <c r="Q76" i="2"/>
  <c r="R76" i="2"/>
  <c r="S76" i="2"/>
  <c r="T76" i="2"/>
  <c r="U76" i="2"/>
  <c r="V76" i="2"/>
  <c r="W76" i="2"/>
  <c r="X76" i="2"/>
  <c r="Y76" i="2"/>
  <c r="Z76" i="2"/>
  <c r="AA76" i="2"/>
  <c r="P77" i="2"/>
  <c r="Q77" i="2"/>
  <c r="R77" i="2"/>
  <c r="S77" i="2"/>
  <c r="T77" i="2"/>
  <c r="U77" i="2"/>
  <c r="V77" i="2"/>
  <c r="W77" i="2"/>
  <c r="X77" i="2"/>
  <c r="Y77" i="2"/>
  <c r="Z77" i="2"/>
  <c r="AA77" i="2"/>
  <c r="P78" i="2"/>
  <c r="Q78" i="2"/>
  <c r="R78" i="2"/>
  <c r="S78" i="2"/>
  <c r="T78" i="2"/>
  <c r="U78" i="2"/>
  <c r="V78" i="2"/>
  <c r="W78" i="2"/>
  <c r="X78" i="2"/>
  <c r="Y78" i="2"/>
  <c r="Z78" i="2"/>
  <c r="AA78" i="2"/>
  <c r="P79" i="2"/>
  <c r="Q79" i="2"/>
  <c r="R79" i="2"/>
  <c r="S79" i="2"/>
  <c r="T79" i="2"/>
  <c r="U79" i="2"/>
  <c r="V79" i="2"/>
  <c r="W79" i="2"/>
  <c r="X79" i="2"/>
  <c r="Y79" i="2"/>
  <c r="Z79" i="2"/>
  <c r="AA79" i="2"/>
  <c r="P80" i="2"/>
  <c r="Q80" i="2"/>
  <c r="R80" i="2"/>
  <c r="S80" i="2"/>
  <c r="T80" i="2"/>
  <c r="U80" i="2"/>
  <c r="V80" i="2"/>
  <c r="W80" i="2"/>
  <c r="X80" i="2"/>
  <c r="Y80" i="2"/>
  <c r="Z80" i="2"/>
  <c r="AA80" i="2"/>
  <c r="P81" i="2"/>
  <c r="Q81" i="2"/>
  <c r="R81" i="2"/>
  <c r="S81" i="2"/>
  <c r="T81" i="2"/>
  <c r="U81" i="2"/>
  <c r="V81" i="2"/>
  <c r="W81" i="2"/>
  <c r="X81" i="2"/>
  <c r="Y81" i="2"/>
  <c r="Z81" i="2"/>
  <c r="AA81" i="2"/>
  <c r="P82" i="2"/>
  <c r="Q82" i="2"/>
  <c r="R82" i="2"/>
  <c r="S82" i="2"/>
  <c r="T82" i="2"/>
  <c r="U82" i="2"/>
  <c r="V82" i="2"/>
  <c r="W82" i="2"/>
  <c r="X82" i="2"/>
  <c r="Y82" i="2"/>
  <c r="Z82" i="2"/>
  <c r="AA82" i="2"/>
  <c r="P83" i="2"/>
  <c r="Q83" i="2"/>
  <c r="R83" i="2"/>
  <c r="S83" i="2"/>
  <c r="T83" i="2"/>
  <c r="U83" i="2"/>
  <c r="V83" i="2"/>
  <c r="W83" i="2"/>
  <c r="X83" i="2"/>
  <c r="Y83" i="2"/>
  <c r="Z83" i="2"/>
  <c r="AA83" i="2"/>
  <c r="P84" i="2"/>
  <c r="Q84" i="2"/>
  <c r="R84" i="2"/>
  <c r="S84" i="2"/>
  <c r="T84" i="2"/>
  <c r="U84" i="2"/>
  <c r="V84" i="2"/>
  <c r="W84" i="2"/>
  <c r="X84" i="2"/>
  <c r="Y84" i="2"/>
  <c r="Z84" i="2"/>
  <c r="AA84" i="2"/>
  <c r="P85" i="2"/>
  <c r="Q85" i="2"/>
  <c r="R85" i="2"/>
  <c r="S85" i="2"/>
  <c r="T85" i="2"/>
  <c r="U85" i="2"/>
  <c r="V85" i="2"/>
  <c r="W85" i="2"/>
  <c r="X85" i="2"/>
  <c r="Y85" i="2"/>
  <c r="Z85" i="2"/>
  <c r="AA85" i="2"/>
  <c r="P86" i="2"/>
  <c r="Q86" i="2"/>
  <c r="R86" i="2"/>
  <c r="S86" i="2"/>
  <c r="T86" i="2"/>
  <c r="U86" i="2"/>
  <c r="V86" i="2"/>
  <c r="W86" i="2"/>
  <c r="X86" i="2"/>
  <c r="Y86" i="2"/>
  <c r="Z86" i="2"/>
  <c r="AA86" i="2"/>
  <c r="P87" i="2"/>
  <c r="Q87" i="2"/>
  <c r="R87" i="2"/>
  <c r="S87" i="2"/>
  <c r="T87" i="2"/>
  <c r="U87" i="2"/>
  <c r="V87" i="2"/>
  <c r="W87" i="2"/>
  <c r="X87" i="2"/>
  <c r="Y87" i="2"/>
  <c r="Z87" i="2"/>
  <c r="AA87" i="2"/>
  <c r="P88" i="2"/>
  <c r="Q88" i="2"/>
  <c r="R88" i="2"/>
  <c r="S88" i="2"/>
  <c r="T88" i="2"/>
  <c r="U88" i="2"/>
  <c r="V88" i="2"/>
  <c r="W88" i="2"/>
  <c r="X88" i="2"/>
  <c r="Y88" i="2"/>
  <c r="Z88" i="2"/>
  <c r="AA88" i="2"/>
  <c r="P89" i="2"/>
  <c r="Q89" i="2"/>
  <c r="R89" i="2"/>
  <c r="S89" i="2"/>
  <c r="T89" i="2"/>
  <c r="U89" i="2"/>
  <c r="V89" i="2"/>
  <c r="W89" i="2"/>
  <c r="X89" i="2"/>
  <c r="Y89" i="2"/>
  <c r="Z89" i="2"/>
  <c r="AA89" i="2"/>
  <c r="P90" i="2"/>
  <c r="Q90" i="2"/>
  <c r="R90" i="2"/>
  <c r="S90" i="2"/>
  <c r="T90" i="2"/>
  <c r="U90" i="2"/>
  <c r="V90" i="2"/>
  <c r="W90" i="2"/>
  <c r="X90" i="2"/>
  <c r="Y90" i="2"/>
  <c r="Z90" i="2"/>
  <c r="AA90" i="2"/>
  <c r="P91" i="2"/>
  <c r="Q91" i="2"/>
  <c r="R91" i="2"/>
  <c r="S91" i="2"/>
  <c r="T91" i="2"/>
  <c r="U91" i="2"/>
  <c r="V91" i="2"/>
  <c r="W91" i="2"/>
  <c r="X91" i="2"/>
  <c r="Y91" i="2"/>
  <c r="Z91" i="2"/>
  <c r="AA91" i="2"/>
  <c r="P92" i="2"/>
  <c r="Q92" i="2"/>
  <c r="R92" i="2"/>
  <c r="S92" i="2"/>
  <c r="T92" i="2"/>
  <c r="U92" i="2"/>
  <c r="V92" i="2"/>
  <c r="W92" i="2"/>
  <c r="X92" i="2"/>
  <c r="Y92" i="2"/>
  <c r="Z92" i="2"/>
  <c r="AA92" i="2"/>
  <c r="P93" i="2"/>
  <c r="Q93" i="2"/>
  <c r="R93" i="2"/>
  <c r="S93" i="2"/>
  <c r="T93" i="2"/>
  <c r="U93" i="2"/>
  <c r="V93" i="2"/>
  <c r="W93" i="2"/>
  <c r="X93" i="2"/>
  <c r="Y93" i="2"/>
  <c r="Z93" i="2"/>
  <c r="AA93" i="2"/>
  <c r="P94" i="2"/>
  <c r="Q94" i="2"/>
  <c r="R94" i="2"/>
  <c r="S94" i="2"/>
  <c r="T94" i="2"/>
  <c r="U94" i="2"/>
  <c r="V94" i="2"/>
  <c r="W94" i="2"/>
  <c r="X94" i="2"/>
  <c r="Y94" i="2"/>
  <c r="Z94" i="2"/>
  <c r="AA94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M95" i="2" a="1"/>
  <c r="M95" i="2" s="1"/>
  <c r="L95" i="2" a="1"/>
  <c r="L95" i="2" s="1"/>
  <c r="K95" i="2" a="1"/>
  <c r="K95" i="2" s="1"/>
  <c r="J95" i="2" a="1"/>
  <c r="J95" i="2" s="1"/>
  <c r="I95" i="2" a="1"/>
  <c r="I95" i="2" s="1"/>
  <c r="H95" i="2" a="1"/>
  <c r="H95" i="2" s="1"/>
  <c r="G95" i="2" a="1"/>
  <c r="G95" i="2" s="1"/>
  <c r="F95" i="2" a="1"/>
  <c r="F95" i="2" s="1"/>
  <c r="E95" i="2" a="1"/>
  <c r="E95" i="2" s="1"/>
  <c r="D95" i="2" a="1"/>
  <c r="D95" i="2" s="1"/>
  <c r="C95" i="2" a="1"/>
  <c r="C95" i="2" s="1"/>
  <c r="B95" i="2" a="1"/>
  <c r="B95" i="2" s="1"/>
  <c r="A95" i="2" a="1"/>
  <c r="A95" i="2"/>
  <c r="M67" i="2" a="1"/>
  <c r="M67" i="2" s="1"/>
  <c r="AA50" i="2" s="1"/>
  <c r="AO50" i="2" s="1"/>
  <c r="L67" i="2" a="1"/>
  <c r="L67" i="2" s="1"/>
  <c r="K67" i="2" a="1"/>
  <c r="K67" i="2" s="1"/>
  <c r="J67" i="2" a="1"/>
  <c r="J67" i="2" s="1"/>
  <c r="X47" i="2" s="1"/>
  <c r="AL47" i="2" s="1"/>
  <c r="I67" i="2"/>
  <c r="W62" i="2" s="1"/>
  <c r="AK62" i="2" s="1"/>
  <c r="I67" i="2" a="1"/>
  <c r="H67" i="2" a="1"/>
  <c r="H67" i="2" s="1"/>
  <c r="G67" i="2" a="1"/>
  <c r="G67" i="2" s="1"/>
  <c r="F67" i="2" a="1"/>
  <c r="F67" i="2" s="1"/>
  <c r="E67" i="2" a="1"/>
  <c r="E67" i="2" s="1"/>
  <c r="D67" i="2" a="1"/>
  <c r="D67" i="2" s="1"/>
  <c r="C67" i="2" a="1"/>
  <c r="C67" i="2" s="1"/>
  <c r="B67" i="2" a="1"/>
  <c r="B67" i="2" s="1"/>
  <c r="A67" i="2" a="1"/>
  <c r="A67" i="2"/>
  <c r="O63" i="2" s="1"/>
  <c r="AC63" i="2" s="1"/>
  <c r="Z65" i="2"/>
  <c r="AN65" i="2" s="1"/>
  <c r="O65" i="2"/>
  <c r="AC65" i="2" s="1"/>
  <c r="AA64" i="2"/>
  <c r="AO64" i="2" s="1"/>
  <c r="X64" i="2"/>
  <c r="AL64" i="2" s="1"/>
  <c r="W64" i="2"/>
  <c r="AK64" i="2" s="1"/>
  <c r="O64" i="2"/>
  <c r="AA63" i="2"/>
  <c r="AO63" i="2" s="1"/>
  <c r="Z63" i="2"/>
  <c r="AN63" i="2" s="1"/>
  <c r="Y63" i="2"/>
  <c r="AM63" i="2" s="1"/>
  <c r="X63" i="2"/>
  <c r="AL63" i="2" s="1"/>
  <c r="W63" i="2"/>
  <c r="AK63" i="2" s="1"/>
  <c r="V63" i="2"/>
  <c r="AJ63" i="2" s="1"/>
  <c r="X62" i="2"/>
  <c r="AL62" i="2" s="1"/>
  <c r="O62" i="2"/>
  <c r="AC62" i="2" s="1"/>
  <c r="AA61" i="2"/>
  <c r="AO61" i="2" s="1"/>
  <c r="Z61" i="2"/>
  <c r="AN61" i="2" s="1"/>
  <c r="Y61" i="2"/>
  <c r="AM61" i="2" s="1"/>
  <c r="V61" i="2"/>
  <c r="AJ61" i="2" s="1"/>
  <c r="Q61" i="2"/>
  <c r="AE61" i="2" s="1"/>
  <c r="X60" i="2"/>
  <c r="AL60" i="2" s="1"/>
  <c r="W60" i="2"/>
  <c r="O60" i="2"/>
  <c r="AC60" i="2" s="1"/>
  <c r="AA59" i="2"/>
  <c r="AO59" i="2" s="1"/>
  <c r="Z59" i="2"/>
  <c r="AN59" i="2" s="1"/>
  <c r="V59" i="2"/>
  <c r="AJ59" i="2" s="1"/>
  <c r="O59" i="2"/>
  <c r="AC59" i="2" s="1"/>
  <c r="AA58" i="2"/>
  <c r="AO58" i="2" s="1"/>
  <c r="Z58" i="2"/>
  <c r="AN58" i="2" s="1"/>
  <c r="Y58" i="2"/>
  <c r="AM58" i="2" s="1"/>
  <c r="X58" i="2"/>
  <c r="AL58" i="2" s="1"/>
  <c r="W58" i="2"/>
  <c r="AK58" i="2" s="1"/>
  <c r="Z57" i="2"/>
  <c r="V57" i="2"/>
  <c r="AJ57" i="2" s="1"/>
  <c r="O57" i="2"/>
  <c r="AC57" i="2" s="1"/>
  <c r="Y56" i="2"/>
  <c r="AM56" i="2" s="1"/>
  <c r="X56" i="2"/>
  <c r="AL56" i="2" s="1"/>
  <c r="O56" i="2"/>
  <c r="AC56" i="2" s="1"/>
  <c r="AA55" i="2"/>
  <c r="AO55" i="2" s="1"/>
  <c r="Z55" i="2"/>
  <c r="AN55" i="2" s="1"/>
  <c r="Y55" i="2"/>
  <c r="AM55" i="2" s="1"/>
  <c r="X55" i="2"/>
  <c r="AL55" i="2" s="1"/>
  <c r="V55" i="2"/>
  <c r="AJ55" i="2" s="1"/>
  <c r="O55" i="2"/>
  <c r="AC55" i="2" s="1"/>
  <c r="Z54" i="2"/>
  <c r="Y54" i="2"/>
  <c r="O54" i="2"/>
  <c r="AC54" i="2" s="1"/>
  <c r="AA53" i="2"/>
  <c r="AO53" i="2" s="1"/>
  <c r="X53" i="2"/>
  <c r="AL53" i="2" s="1"/>
  <c r="W53" i="2"/>
  <c r="AK53" i="2" s="1"/>
  <c r="O53" i="2"/>
  <c r="Z52" i="2"/>
  <c r="AN52" i="2" s="1"/>
  <c r="Y52" i="2"/>
  <c r="AM52" i="2" s="1"/>
  <c r="X52" i="2"/>
  <c r="AL52" i="2" s="1"/>
  <c r="V52" i="2"/>
  <c r="AJ52" i="2" s="1"/>
  <c r="O52" i="2"/>
  <c r="Y51" i="2"/>
  <c r="AM51" i="2" s="1"/>
  <c r="X51" i="2"/>
  <c r="AL51" i="2" s="1"/>
  <c r="Q51" i="2"/>
  <c r="AE51" i="2" s="1"/>
  <c r="O51" i="2"/>
  <c r="AC51" i="2" s="1"/>
  <c r="Z50" i="2"/>
  <c r="AN50" i="2" s="1"/>
  <c r="W50" i="2"/>
  <c r="AK50" i="2" s="1"/>
  <c r="V50" i="2"/>
  <c r="Y49" i="2"/>
  <c r="AM49" i="2" s="1"/>
  <c r="X49" i="2"/>
  <c r="AL49" i="2" s="1"/>
  <c r="W49" i="2"/>
  <c r="AK49" i="2" s="1"/>
  <c r="V49" i="2"/>
  <c r="AJ49" i="2" s="1"/>
  <c r="O49" i="2"/>
  <c r="AA48" i="2"/>
  <c r="W48" i="2"/>
  <c r="AK48" i="2" s="1"/>
  <c r="V48" i="2"/>
  <c r="AJ48" i="2" s="1"/>
  <c r="O48" i="2"/>
  <c r="AA47" i="2"/>
  <c r="AO47" i="2" s="1"/>
  <c r="Z47" i="2"/>
  <c r="AN47" i="2" s="1"/>
  <c r="Y47" i="2"/>
  <c r="AM47" i="2" s="1"/>
  <c r="O47" i="2"/>
  <c r="AC47" i="2" s="1"/>
  <c r="X46" i="2"/>
  <c r="AL46" i="2" s="1"/>
  <c r="W46" i="2"/>
  <c r="AK46" i="2" s="1"/>
  <c r="V46" i="2"/>
  <c r="AJ46" i="2" s="1"/>
  <c r="Q46" i="2"/>
  <c r="AE46" i="2" s="1"/>
  <c r="O46" i="2"/>
  <c r="AC46" i="2" s="1"/>
  <c r="AA45" i="2"/>
  <c r="Z45" i="2"/>
  <c r="V45" i="2"/>
  <c r="O45" i="2"/>
  <c r="AC45" i="2" s="1"/>
  <c r="Z44" i="2"/>
  <c r="AN44" i="2" s="1"/>
  <c r="Y44" i="2"/>
  <c r="AM44" i="2" s="1"/>
  <c r="X44" i="2"/>
  <c r="AL44" i="2" s="1"/>
  <c r="W44" i="2"/>
  <c r="AK44" i="2" s="1"/>
  <c r="O44" i="2"/>
  <c r="AC44" i="2" s="1"/>
  <c r="AA43" i="2"/>
  <c r="AO43" i="2" s="1"/>
  <c r="W43" i="2"/>
  <c r="AK43" i="2" s="1"/>
  <c r="V43" i="2"/>
  <c r="AJ43" i="2" s="1"/>
  <c r="Y42" i="2"/>
  <c r="X42" i="2"/>
  <c r="AL42" i="2" s="1"/>
  <c r="O42" i="2"/>
  <c r="AC42" i="2" s="1"/>
  <c r="AA41" i="2"/>
  <c r="AO41" i="2" s="1"/>
  <c r="Z41" i="2"/>
  <c r="AN41" i="2" s="1"/>
  <c r="Y41" i="2"/>
  <c r="AM41" i="2" s="1"/>
  <c r="X41" i="2"/>
  <c r="AL41" i="2" s="1"/>
  <c r="W41" i="2"/>
  <c r="AK41" i="2" s="1"/>
  <c r="V41" i="2"/>
  <c r="AJ41" i="2" s="1"/>
  <c r="Q41" i="2"/>
  <c r="AE41" i="2" s="1"/>
  <c r="Y40" i="2"/>
  <c r="AM40" i="2" s="1"/>
  <c r="X40" i="2"/>
  <c r="AL40" i="2" s="1"/>
  <c r="O40" i="2"/>
  <c r="AC40" i="2" s="1"/>
  <c r="Z39" i="2"/>
  <c r="AN39" i="2" s="1"/>
  <c r="W39" i="2"/>
  <c r="AK39" i="2" s="1"/>
  <c r="V39" i="2"/>
  <c r="AJ39" i="2" s="1"/>
  <c r="O39" i="2"/>
  <c r="AC39" i="2" s="1"/>
  <c r="Z38" i="2"/>
  <c r="AN38" i="2" s="1"/>
  <c r="Y38" i="2"/>
  <c r="AM38" i="2" s="1"/>
  <c r="X38" i="2"/>
  <c r="AL38" i="2" s="1"/>
  <c r="W38" i="2"/>
  <c r="AK38" i="2" s="1"/>
  <c r="V38" i="2"/>
  <c r="AJ38" i="2" s="1"/>
  <c r="W37" i="2"/>
  <c r="AK37" i="2" s="1"/>
  <c r="V37" i="2"/>
  <c r="AJ37" i="2" s="1"/>
  <c r="O37" i="2"/>
  <c r="AC37" i="2" s="1"/>
  <c r="AA36" i="2"/>
  <c r="AO36" i="2" s="1"/>
  <c r="Z36" i="2"/>
  <c r="AN36" i="2" s="1"/>
  <c r="Y36" i="2"/>
  <c r="AM36" i="2" s="1"/>
  <c r="X36" i="2"/>
  <c r="AL36" i="2" s="1"/>
  <c r="O36" i="2"/>
  <c r="AC36" i="2" s="1"/>
  <c r="Y35" i="2"/>
  <c r="AM35" i="2" s="1"/>
  <c r="X35" i="2"/>
  <c r="AL35" i="2" s="1"/>
  <c r="W35" i="2"/>
  <c r="AK35" i="2" s="1"/>
  <c r="O35" i="2"/>
  <c r="AC35" i="2" s="1"/>
  <c r="AA34" i="2"/>
  <c r="Z34" i="2"/>
  <c r="AN34" i="2" s="1"/>
  <c r="V34" i="2"/>
  <c r="AJ34" i="2" s="1"/>
  <c r="O34" i="2"/>
  <c r="AC34" i="2" s="1"/>
  <c r="AA33" i="2"/>
  <c r="AO33" i="2" s="1"/>
  <c r="Z33" i="2"/>
  <c r="AN33" i="2" s="1"/>
  <c r="Y33" i="2"/>
  <c r="AM33" i="2" s="1"/>
  <c r="X33" i="2"/>
  <c r="AL33" i="2" s="1"/>
  <c r="W33" i="2"/>
  <c r="AK33" i="2" s="1"/>
  <c r="O33" i="2"/>
  <c r="AA32" i="2"/>
  <c r="X32" i="2"/>
  <c r="AL32" i="2" s="1"/>
  <c r="V32" i="2"/>
  <c r="AJ32" i="2" s="1"/>
  <c r="O32" i="2"/>
  <c r="Z31" i="2"/>
  <c r="Y31" i="2"/>
  <c r="Q31" i="2"/>
  <c r="AE31" i="2" s="1"/>
  <c r="O31" i="2"/>
  <c r="AC31" i="2" s="1"/>
  <c r="AC64" i="2"/>
  <c r="AK60" i="2"/>
  <c r="AN57" i="2"/>
  <c r="AN54" i="2"/>
  <c r="AM54" i="2"/>
  <c r="AC53" i="2"/>
  <c r="AC52" i="2"/>
  <c r="AJ50" i="2"/>
  <c r="AC49" i="2"/>
  <c r="AC48" i="2"/>
  <c r="AO48" i="2"/>
  <c r="AO45" i="2"/>
  <c r="AN45" i="2"/>
  <c r="AJ45" i="2"/>
  <c r="AM42" i="2"/>
  <c r="AO34" i="2"/>
  <c r="AC33" i="2"/>
  <c r="AO32" i="2"/>
  <c r="AC32" i="2"/>
  <c r="AN31" i="2"/>
  <c r="AM31" i="2"/>
  <c r="AE12" i="2"/>
  <c r="AI9" i="2"/>
  <c r="AI7" i="2"/>
  <c r="AH4" i="2"/>
  <c r="AH2" i="2"/>
  <c r="Q24" i="2"/>
  <c r="V23" i="2"/>
  <c r="R23" i="2"/>
  <c r="Q22" i="2"/>
  <c r="P22" i="2"/>
  <c r="Q21" i="2"/>
  <c r="P21" i="2"/>
  <c r="O21" i="2"/>
  <c r="V20" i="2"/>
  <c r="V19" i="2"/>
  <c r="U19" i="2"/>
  <c r="Q19" i="2"/>
  <c r="P19" i="2"/>
  <c r="O19" i="2"/>
  <c r="R18" i="2"/>
  <c r="Q18" i="2"/>
  <c r="P18" i="2"/>
  <c r="O18" i="2"/>
  <c r="V17" i="2"/>
  <c r="U17" i="2"/>
  <c r="T17" i="2"/>
  <c r="V16" i="2"/>
  <c r="U16" i="2"/>
  <c r="T16" i="2"/>
  <c r="S16" i="2"/>
  <c r="R16" i="2"/>
  <c r="Q16" i="2"/>
  <c r="P16" i="2"/>
  <c r="O16" i="2"/>
  <c r="AA15" i="2"/>
  <c r="O3" i="2"/>
  <c r="AC3" i="2" s="1"/>
  <c r="Q3" i="2"/>
  <c r="AE3" i="2" s="1"/>
  <c r="T3" i="2"/>
  <c r="AH3" i="2" s="1"/>
  <c r="U3" i="2"/>
  <c r="AI3" i="2" s="1"/>
  <c r="Q4" i="2"/>
  <c r="AE4" i="2" s="1"/>
  <c r="R4" i="2"/>
  <c r="AF4" i="2" s="1"/>
  <c r="S4" i="2"/>
  <c r="AG4" i="2" s="1"/>
  <c r="T4" i="2"/>
  <c r="U4" i="2"/>
  <c r="AI4" i="2" s="1"/>
  <c r="V4" i="2"/>
  <c r="AJ4" i="2" s="1"/>
  <c r="O5" i="2"/>
  <c r="AC5" i="2" s="1"/>
  <c r="O6" i="2"/>
  <c r="AC6" i="2" s="1"/>
  <c r="P6" i="2"/>
  <c r="AD6" i="2" s="1"/>
  <c r="Q6" i="2"/>
  <c r="AE6" i="2" s="1"/>
  <c r="R6" i="2"/>
  <c r="AF6" i="2" s="1"/>
  <c r="S6" i="2"/>
  <c r="AG6" i="2" s="1"/>
  <c r="T6" i="2"/>
  <c r="AH6" i="2" s="1"/>
  <c r="U6" i="2"/>
  <c r="AI6" i="2" s="1"/>
  <c r="V6" i="2"/>
  <c r="AJ6" i="2" s="1"/>
  <c r="Z6" i="2"/>
  <c r="AN6" i="2" s="1"/>
  <c r="U7" i="2"/>
  <c r="V7" i="2"/>
  <c r="AJ7" i="2" s="1"/>
  <c r="O8" i="2"/>
  <c r="AC8" i="2" s="1"/>
  <c r="P8" i="2"/>
  <c r="AD8" i="2" s="1"/>
  <c r="T8" i="2"/>
  <c r="AH8" i="2" s="1"/>
  <c r="AA8" i="2"/>
  <c r="AO8" i="2" s="1"/>
  <c r="O9" i="2"/>
  <c r="AC9" i="2" s="1"/>
  <c r="P9" i="2"/>
  <c r="AD9" i="2" s="1"/>
  <c r="U9" i="2"/>
  <c r="V9" i="2"/>
  <c r="AJ9" i="2" s="1"/>
  <c r="T10" i="2"/>
  <c r="AH10" i="2" s="1"/>
  <c r="U10" i="2"/>
  <c r="AI10" i="2" s="1"/>
  <c r="V10" i="2"/>
  <c r="AJ10" i="2" s="1"/>
  <c r="AA10" i="2"/>
  <c r="AO10" i="2" s="1"/>
  <c r="O11" i="2"/>
  <c r="AC11" i="2" s="1"/>
  <c r="Q12" i="2"/>
  <c r="T12" i="2"/>
  <c r="AH12" i="2" s="1"/>
  <c r="U12" i="2"/>
  <c r="AI12" i="2" s="1"/>
  <c r="V12" i="2"/>
  <c r="AJ12" i="2" s="1"/>
  <c r="O13" i="2"/>
  <c r="AC13" i="2" s="1"/>
  <c r="S13" i="2"/>
  <c r="AG13" i="2" s="1"/>
  <c r="Q2" i="2"/>
  <c r="AE2" i="2" s="1"/>
  <c r="T2" i="2"/>
  <c r="O2" i="2"/>
  <c r="AC2" i="2" s="1"/>
  <c r="M15" i="2" a="1"/>
  <c r="M15" i="2" s="1"/>
  <c r="AA4" i="2" s="1"/>
  <c r="AO4" i="2" s="1"/>
  <c r="L15" i="2" a="1"/>
  <c r="L15" i="2" s="1"/>
  <c r="Z7" i="2" s="1"/>
  <c r="AN7" i="2" s="1"/>
  <c r="K15" i="2" a="1"/>
  <c r="K15" i="2" s="1"/>
  <c r="Y13" i="2" s="1"/>
  <c r="AM13" i="2" s="1"/>
  <c r="J15" i="2" a="1"/>
  <c r="J15" i="2" s="1"/>
  <c r="I15" i="2" a="1"/>
  <c r="I15" i="2" s="1"/>
  <c r="H15" i="2" a="1"/>
  <c r="H15" i="2" s="1"/>
  <c r="G15" i="2" a="1"/>
  <c r="G15" i="2" s="1"/>
  <c r="F15" i="2" a="1"/>
  <c r="F15" i="2" s="1"/>
  <c r="T19" i="2" s="1"/>
  <c r="E15" i="2" a="1"/>
  <c r="E15" i="2" s="1"/>
  <c r="S5" i="2" s="1"/>
  <c r="AG5" i="2" s="1"/>
  <c r="D15" i="2" a="1"/>
  <c r="D15" i="2" s="1"/>
  <c r="R11" i="2" s="1"/>
  <c r="AF11" i="2" s="1"/>
  <c r="C15" i="2" a="1"/>
  <c r="C15" i="2" s="1"/>
  <c r="A15" i="2" a="1"/>
  <c r="A15" i="2" s="1"/>
  <c r="B15" i="2" a="1"/>
  <c r="B15" i="2" s="1"/>
  <c r="P12" i="2" s="1"/>
  <c r="AD12" i="2" s="1"/>
  <c r="P60" i="2" l="1"/>
  <c r="AD60" i="2" s="1"/>
  <c r="P46" i="2"/>
  <c r="AD46" i="2" s="1"/>
  <c r="P35" i="2"/>
  <c r="AD35" i="2" s="1"/>
  <c r="P49" i="2"/>
  <c r="AD49" i="2" s="1"/>
  <c r="P55" i="2"/>
  <c r="AD55" i="2" s="1"/>
  <c r="P41" i="2"/>
  <c r="AD41" i="2" s="1"/>
  <c r="P58" i="2"/>
  <c r="AD58" i="2" s="1"/>
  <c r="P44" i="2"/>
  <c r="AD44" i="2" s="1"/>
  <c r="P33" i="2"/>
  <c r="AD33" i="2" s="1"/>
  <c r="P50" i="2"/>
  <c r="AD50" i="2" s="1"/>
  <c r="AQ50" i="2" s="1"/>
  <c r="P39" i="2"/>
  <c r="AD39" i="2" s="1"/>
  <c r="AQ39" i="2" s="1"/>
  <c r="P64" i="2"/>
  <c r="AD64" i="2" s="1"/>
  <c r="P53" i="2"/>
  <c r="AD53" i="2" s="1"/>
  <c r="P56" i="2"/>
  <c r="AD56" i="2" s="1"/>
  <c r="AQ56" i="2" s="1"/>
  <c r="P42" i="2"/>
  <c r="AD42" i="2" s="1"/>
  <c r="AQ42" i="2" s="1"/>
  <c r="P31" i="2"/>
  <c r="AD31" i="2" s="1"/>
  <c r="AQ31" i="2" s="1"/>
  <c r="P59" i="2"/>
  <c r="AD59" i="2" s="1"/>
  <c r="AQ59" i="2" s="1"/>
  <c r="P32" i="2"/>
  <c r="AD32" i="2" s="1"/>
  <c r="AQ32" i="2" s="1"/>
  <c r="P36" i="2"/>
  <c r="AD36" i="2" s="1"/>
  <c r="AQ36" i="2" s="1"/>
  <c r="P61" i="2"/>
  <c r="AD61" i="2" s="1"/>
  <c r="AQ61" i="2" s="1"/>
  <c r="P48" i="2"/>
  <c r="AD48" i="2" s="1"/>
  <c r="P38" i="2"/>
  <c r="AD38" i="2" s="1"/>
  <c r="P43" i="2"/>
  <c r="AD43" i="2" s="1"/>
  <c r="P40" i="2"/>
  <c r="AD40" i="2" s="1"/>
  <c r="P45" i="2"/>
  <c r="AD45" i="2" s="1"/>
  <c r="P63" i="2"/>
  <c r="AD63" i="2" s="1"/>
  <c r="P51" i="2"/>
  <c r="AD51" i="2" s="1"/>
  <c r="P47" i="2"/>
  <c r="AD47" i="2" s="1"/>
  <c r="P62" i="2"/>
  <c r="AD62" i="2" s="1"/>
  <c r="P57" i="2"/>
  <c r="AD57" i="2" s="1"/>
  <c r="P52" i="2"/>
  <c r="AD52" i="2" s="1"/>
  <c r="P65" i="2"/>
  <c r="AD65" i="2" s="1"/>
  <c r="AQ65" i="2" s="1"/>
  <c r="P37" i="2"/>
  <c r="AD37" i="2" s="1"/>
  <c r="AQ37" i="2" s="1"/>
  <c r="P54" i="2"/>
  <c r="AD54" i="2" s="1"/>
  <c r="AQ54" i="2" s="1"/>
  <c r="P34" i="2"/>
  <c r="AD34" i="2" s="1"/>
  <c r="AQ34" i="2" s="1"/>
  <c r="S63" i="2"/>
  <c r="AG63" i="2" s="1"/>
  <c r="S52" i="2"/>
  <c r="AG52" i="2" s="1"/>
  <c r="AQ52" i="2" s="1"/>
  <c r="S55" i="2"/>
  <c r="AG55" i="2" s="1"/>
  <c r="AQ55" i="2" s="1"/>
  <c r="S41" i="2"/>
  <c r="AG41" i="2" s="1"/>
  <c r="S47" i="2"/>
  <c r="AG47" i="2" s="1"/>
  <c r="S36" i="2"/>
  <c r="AG36" i="2" s="1"/>
  <c r="S61" i="2"/>
  <c r="AG61" i="2" s="1"/>
  <c r="S50" i="2"/>
  <c r="AG50" i="2" s="1"/>
  <c r="S39" i="2"/>
  <c r="AG39" i="2" s="1"/>
  <c r="S31" i="2"/>
  <c r="AG31" i="2" s="1"/>
  <c r="S59" i="2"/>
  <c r="AG59" i="2" s="1"/>
  <c r="S45" i="2"/>
  <c r="AG45" i="2" s="1"/>
  <c r="S34" i="2"/>
  <c r="AG34" i="2" s="1"/>
  <c r="S48" i="2"/>
  <c r="AG48" i="2" s="1"/>
  <c r="S43" i="2"/>
  <c r="AG43" i="2" s="1"/>
  <c r="S38" i="2"/>
  <c r="AG38" i="2" s="1"/>
  <c r="S37" i="2"/>
  <c r="AG37" i="2" s="1"/>
  <c r="S64" i="2"/>
  <c r="AG64" i="2" s="1"/>
  <c r="S44" i="2"/>
  <c r="AG44" i="2" s="1"/>
  <c r="S58" i="2"/>
  <c r="AG58" i="2" s="1"/>
  <c r="S40" i="2"/>
  <c r="AG40" i="2" s="1"/>
  <c r="S33" i="2"/>
  <c r="AG33" i="2" s="1"/>
  <c r="S35" i="2"/>
  <c r="AG35" i="2" s="1"/>
  <c r="S46" i="2"/>
  <c r="AG46" i="2" s="1"/>
  <c r="S65" i="2"/>
  <c r="AG65" i="2" s="1"/>
  <c r="S60" i="2"/>
  <c r="AG60" i="2" s="1"/>
  <c r="S32" i="2"/>
  <c r="AG32" i="2" s="1"/>
  <c r="S54" i="2"/>
  <c r="AG54" i="2" s="1"/>
  <c r="S56" i="2"/>
  <c r="AG56" i="2" s="1"/>
  <c r="S51" i="2"/>
  <c r="AG51" i="2" s="1"/>
  <c r="S62" i="2"/>
  <c r="AG62" i="2" s="1"/>
  <c r="S57" i="2"/>
  <c r="AG57" i="2" s="1"/>
  <c r="S42" i="2"/>
  <c r="AG42" i="2" s="1"/>
  <c r="S49" i="2"/>
  <c r="AG49" i="2" s="1"/>
  <c r="S53" i="2"/>
  <c r="AG53" i="2" s="1"/>
  <c r="R38" i="2"/>
  <c r="AF38" i="2" s="1"/>
  <c r="R63" i="2"/>
  <c r="AF63" i="2" s="1"/>
  <c r="R52" i="2"/>
  <c r="AF52" i="2" s="1"/>
  <c r="R58" i="2"/>
  <c r="AF58" i="2" s="1"/>
  <c r="R44" i="2"/>
  <c r="AF44" i="2" s="1"/>
  <c r="R33" i="2"/>
  <c r="AF33" i="2" s="1"/>
  <c r="R47" i="2"/>
  <c r="AF47" i="2" s="1"/>
  <c r="R36" i="2"/>
  <c r="AF36" i="2" s="1"/>
  <c r="R61" i="2"/>
  <c r="AF61" i="2" s="1"/>
  <c r="R56" i="2"/>
  <c r="AF56" i="2" s="1"/>
  <c r="R42" i="2"/>
  <c r="AF42" i="2" s="1"/>
  <c r="R31" i="2"/>
  <c r="AF31" i="2" s="1"/>
  <c r="R59" i="2"/>
  <c r="AF59" i="2" s="1"/>
  <c r="R45" i="2"/>
  <c r="AF45" i="2" s="1"/>
  <c r="R53" i="2"/>
  <c r="AF53" i="2" s="1"/>
  <c r="R51" i="2"/>
  <c r="AF51" i="2" s="1"/>
  <c r="R43" i="2"/>
  <c r="AF43" i="2" s="1"/>
  <c r="R40" i="2"/>
  <c r="AF40" i="2" s="1"/>
  <c r="R55" i="2"/>
  <c r="AF55" i="2" s="1"/>
  <c r="R35" i="2"/>
  <c r="AF35" i="2" s="1"/>
  <c r="R34" i="2"/>
  <c r="AF34" i="2" s="1"/>
  <c r="R60" i="2"/>
  <c r="AF60" i="2" s="1"/>
  <c r="R65" i="2"/>
  <c r="AF65" i="2" s="1"/>
  <c r="R32" i="2"/>
  <c r="AF32" i="2" s="1"/>
  <c r="R50" i="2"/>
  <c r="AF50" i="2" s="1"/>
  <c r="R37" i="2"/>
  <c r="AF37" i="2" s="1"/>
  <c r="R39" i="2"/>
  <c r="AF39" i="2" s="1"/>
  <c r="R46" i="2"/>
  <c r="AF46" i="2" s="1"/>
  <c r="AQ46" i="2" s="1"/>
  <c r="R48" i="2"/>
  <c r="AF48" i="2" s="1"/>
  <c r="AQ48" i="2" s="1"/>
  <c r="R62" i="2"/>
  <c r="AF62" i="2" s="1"/>
  <c r="R57" i="2"/>
  <c r="AF57" i="2" s="1"/>
  <c r="R54" i="2"/>
  <c r="AF54" i="2" s="1"/>
  <c r="R64" i="2"/>
  <c r="AF64" i="2" s="1"/>
  <c r="R49" i="2"/>
  <c r="AF49" i="2" s="1"/>
  <c r="R41" i="2"/>
  <c r="AF41" i="2" s="1"/>
  <c r="T55" i="2"/>
  <c r="AH55" i="2" s="1"/>
  <c r="T41" i="2"/>
  <c r="AH41" i="2" s="1"/>
  <c r="T61" i="2"/>
  <c r="AH61" i="2" s="1"/>
  <c r="T50" i="2"/>
  <c r="AH50" i="2" s="1"/>
  <c r="T39" i="2"/>
  <c r="AH39" i="2" s="1"/>
  <c r="T64" i="2"/>
  <c r="AH64" i="2" s="1"/>
  <c r="T53" i="2"/>
  <c r="AH53" i="2" s="1"/>
  <c r="T59" i="2"/>
  <c r="AH59" i="2" s="1"/>
  <c r="T45" i="2"/>
  <c r="AH45" i="2" s="1"/>
  <c r="AQ45" i="2" s="1"/>
  <c r="T34" i="2"/>
  <c r="AH34" i="2" s="1"/>
  <c r="T48" i="2"/>
  <c r="AH48" i="2" s="1"/>
  <c r="T37" i="2"/>
  <c r="AH37" i="2" s="1"/>
  <c r="T62" i="2"/>
  <c r="AH62" i="2" s="1"/>
  <c r="AQ62" i="2" s="1"/>
  <c r="T58" i="2"/>
  <c r="AH58" i="2" s="1"/>
  <c r="T40" i="2"/>
  <c r="AH40" i="2" s="1"/>
  <c r="T49" i="2"/>
  <c r="AH49" i="2" s="1"/>
  <c r="T46" i="2"/>
  <c r="AH46" i="2" s="1"/>
  <c r="T33" i="2"/>
  <c r="AH33" i="2" s="1"/>
  <c r="T63" i="2"/>
  <c r="AH63" i="2" s="1"/>
  <c r="T35" i="2"/>
  <c r="AH35" i="2" s="1"/>
  <c r="T56" i="2"/>
  <c r="AH56" i="2" s="1"/>
  <c r="T31" i="2"/>
  <c r="AH31" i="2" s="1"/>
  <c r="T51" i="2"/>
  <c r="AH51" i="2" s="1"/>
  <c r="T65" i="2"/>
  <c r="AH65" i="2" s="1"/>
  <c r="T60" i="2"/>
  <c r="AH60" i="2" s="1"/>
  <c r="T57" i="2"/>
  <c r="AH57" i="2" s="1"/>
  <c r="T42" i="2"/>
  <c r="AH42" i="2" s="1"/>
  <c r="T52" i="2"/>
  <c r="AH52" i="2" s="1"/>
  <c r="T54" i="2"/>
  <c r="AH54" i="2" s="1"/>
  <c r="T44" i="2"/>
  <c r="AH44" i="2" s="1"/>
  <c r="T38" i="2"/>
  <c r="AH38" i="2" s="1"/>
  <c r="T47" i="2"/>
  <c r="AH47" i="2" s="1"/>
  <c r="T32" i="2"/>
  <c r="AH32" i="2" s="1"/>
  <c r="T36" i="2"/>
  <c r="AH36" i="2" s="1"/>
  <c r="T43" i="2"/>
  <c r="AH43" i="2" s="1"/>
  <c r="U58" i="2"/>
  <c r="AI58" i="2" s="1"/>
  <c r="U44" i="2"/>
  <c r="AI44" i="2" s="1"/>
  <c r="U33" i="2"/>
  <c r="AI33" i="2" s="1"/>
  <c r="U50" i="2"/>
  <c r="AI50" i="2" s="1"/>
  <c r="U39" i="2"/>
  <c r="AI39" i="2" s="1"/>
  <c r="U64" i="2"/>
  <c r="AI64" i="2" s="1"/>
  <c r="U53" i="2"/>
  <c r="AI53" i="2" s="1"/>
  <c r="U56" i="2"/>
  <c r="AI56" i="2" s="1"/>
  <c r="U42" i="2"/>
  <c r="AI42" i="2" s="1"/>
  <c r="U48" i="2"/>
  <c r="AI48" i="2" s="1"/>
  <c r="U37" i="2"/>
  <c r="AI37" i="2" s="1"/>
  <c r="U62" i="2"/>
  <c r="AI62" i="2" s="1"/>
  <c r="U51" i="2"/>
  <c r="AI51" i="2" s="1"/>
  <c r="U40" i="2"/>
  <c r="AI40" i="2" s="1"/>
  <c r="U36" i="2"/>
  <c r="AI36" i="2" s="1"/>
  <c r="U43" i="2"/>
  <c r="AI43" i="2" s="1"/>
  <c r="AQ43" i="2" s="1"/>
  <c r="U63" i="2"/>
  <c r="AI63" i="2" s="1"/>
  <c r="U65" i="2"/>
  <c r="AI65" i="2" s="1"/>
  <c r="U60" i="2"/>
  <c r="AI60" i="2" s="1"/>
  <c r="U35" i="2"/>
  <c r="AI35" i="2" s="1"/>
  <c r="U55" i="2"/>
  <c r="AI55" i="2" s="1"/>
  <c r="U45" i="2"/>
  <c r="AI45" i="2" s="1"/>
  <c r="U57" i="2"/>
  <c r="AI57" i="2" s="1"/>
  <c r="U46" i="2"/>
  <c r="AI46" i="2" s="1"/>
  <c r="U41" i="2"/>
  <c r="AI41" i="2" s="1"/>
  <c r="U61" i="2"/>
  <c r="AI61" i="2" s="1"/>
  <c r="U38" i="2"/>
  <c r="AI38" i="2" s="1"/>
  <c r="U31" i="2"/>
  <c r="AI31" i="2" s="1"/>
  <c r="U54" i="2"/>
  <c r="AI54" i="2" s="1"/>
  <c r="U59" i="2"/>
  <c r="AI59" i="2" s="1"/>
  <c r="U49" i="2"/>
  <c r="AI49" i="2" s="1"/>
  <c r="U47" i="2"/>
  <c r="AI47" i="2" s="1"/>
  <c r="U52" i="2"/>
  <c r="AI52" i="2" s="1"/>
  <c r="U32" i="2"/>
  <c r="AI32" i="2" s="1"/>
  <c r="U34" i="2"/>
  <c r="AI34" i="2" s="1"/>
  <c r="Q49" i="2"/>
  <c r="AE49" i="2" s="1"/>
  <c r="AQ49" i="2" s="1"/>
  <c r="Q38" i="2"/>
  <c r="AE38" i="2" s="1"/>
  <c r="Q58" i="2"/>
  <c r="AE58" i="2" s="1"/>
  <c r="AQ58" i="2" s="1"/>
  <c r="Q44" i="2"/>
  <c r="AE44" i="2" s="1"/>
  <c r="AQ44" i="2" s="1"/>
  <c r="Q33" i="2"/>
  <c r="AE33" i="2" s="1"/>
  <c r="Q47" i="2"/>
  <c r="AE47" i="2" s="1"/>
  <c r="Q36" i="2"/>
  <c r="AE36" i="2" s="1"/>
  <c r="Q64" i="2"/>
  <c r="AE64" i="2" s="1"/>
  <c r="Q53" i="2"/>
  <c r="AE53" i="2" s="1"/>
  <c r="Q56" i="2"/>
  <c r="AE56" i="2" s="1"/>
  <c r="Q42" i="2"/>
  <c r="AE42" i="2" s="1"/>
  <c r="Q32" i="2"/>
  <c r="AE32" i="2" s="1"/>
  <c r="Q59" i="2"/>
  <c r="AE59" i="2" s="1"/>
  <c r="Q62" i="2"/>
  <c r="AE62" i="2" s="1"/>
  <c r="Q37" i="2"/>
  <c r="AE37" i="2" s="1"/>
  <c r="Q34" i="2"/>
  <c r="AE34" i="2" s="1"/>
  <c r="Q54" i="2"/>
  <c r="AE54" i="2" s="1"/>
  <c r="Q52" i="2"/>
  <c r="AE52" i="2" s="1"/>
  <c r="Q57" i="2"/>
  <c r="AE57" i="2" s="1"/>
  <c r="AQ57" i="2" s="1"/>
  <c r="AA44" i="2"/>
  <c r="AO44" i="2" s="1"/>
  <c r="W32" i="2"/>
  <c r="AK32" i="2" s="1"/>
  <c r="Q35" i="2"/>
  <c r="AE35" i="2" s="1"/>
  <c r="AQ35" i="2" s="1"/>
  <c r="AA39" i="2"/>
  <c r="AO39" i="2" s="1"/>
  <c r="Q50" i="2"/>
  <c r="AE50" i="2" s="1"/>
  <c r="W52" i="2"/>
  <c r="AK52" i="2" s="1"/>
  <c r="Q60" i="2"/>
  <c r="AE60" i="2" s="1"/>
  <c r="AQ60" i="2" s="1"/>
  <c r="Q65" i="2"/>
  <c r="AE65" i="2" s="1"/>
  <c r="V58" i="2"/>
  <c r="AJ58" i="2" s="1"/>
  <c r="V44" i="2"/>
  <c r="AJ44" i="2" s="1"/>
  <c r="V33" i="2"/>
  <c r="AJ33" i="2" s="1"/>
  <c r="V47" i="2"/>
  <c r="AJ47" i="2" s="1"/>
  <c r="V36" i="2"/>
  <c r="AJ36" i="2" s="1"/>
  <c r="V64" i="2"/>
  <c r="AJ64" i="2" s="1"/>
  <c r="V53" i="2"/>
  <c r="AJ53" i="2" s="1"/>
  <c r="V56" i="2"/>
  <c r="AJ56" i="2" s="1"/>
  <c r="V42" i="2"/>
  <c r="AJ42" i="2" s="1"/>
  <c r="V31" i="2"/>
  <c r="AJ31" i="2" s="1"/>
  <c r="V62" i="2"/>
  <c r="AJ62" i="2" s="1"/>
  <c r="V51" i="2"/>
  <c r="AJ51" i="2" s="1"/>
  <c r="V40" i="2"/>
  <c r="AJ40" i="2" s="1"/>
  <c r="V65" i="2"/>
  <c r="AJ65" i="2" s="1"/>
  <c r="V54" i="2"/>
  <c r="AJ54" i="2" s="1"/>
  <c r="W47" i="2"/>
  <c r="AK47" i="2" s="1"/>
  <c r="W36" i="2"/>
  <c r="AK36" i="2" s="1"/>
  <c r="W61" i="2"/>
  <c r="AK61" i="2" s="1"/>
  <c r="W56" i="2"/>
  <c r="AK56" i="2" s="1"/>
  <c r="W42" i="2"/>
  <c r="AK42" i="2" s="1"/>
  <c r="W31" i="2"/>
  <c r="AK31" i="2" s="1"/>
  <c r="W59" i="2"/>
  <c r="AK59" i="2" s="1"/>
  <c r="W45" i="2"/>
  <c r="AK45" i="2" s="1"/>
  <c r="W34" i="2"/>
  <c r="AK34" i="2" s="1"/>
  <c r="W51" i="2"/>
  <c r="AK51" i="2" s="1"/>
  <c r="W40" i="2"/>
  <c r="AK40" i="2" s="1"/>
  <c r="W65" i="2"/>
  <c r="AK65" i="2" s="1"/>
  <c r="W54" i="2"/>
  <c r="AK54" i="2" s="1"/>
  <c r="W57" i="2"/>
  <c r="AK57" i="2" s="1"/>
  <c r="Q63" i="2"/>
  <c r="AE63" i="2" s="1"/>
  <c r="AQ63" i="2" s="1"/>
  <c r="X61" i="2"/>
  <c r="AL61" i="2" s="1"/>
  <c r="X50" i="2"/>
  <c r="AL50" i="2" s="1"/>
  <c r="X39" i="2"/>
  <c r="AL39" i="2" s="1"/>
  <c r="X31" i="2"/>
  <c r="AL31" i="2" s="1"/>
  <c r="X59" i="2"/>
  <c r="AL59" i="2" s="1"/>
  <c r="X45" i="2"/>
  <c r="AL45" i="2" s="1"/>
  <c r="X34" i="2"/>
  <c r="AL34" i="2" s="1"/>
  <c r="X48" i="2"/>
  <c r="AL48" i="2" s="1"/>
  <c r="X37" i="2"/>
  <c r="AL37" i="2" s="1"/>
  <c r="X65" i="2"/>
  <c r="AL65" i="2" s="1"/>
  <c r="X54" i="2"/>
  <c r="AL54" i="2" s="1"/>
  <c r="X57" i="2"/>
  <c r="AL57" i="2" s="1"/>
  <c r="X43" i="2"/>
  <c r="AL43" i="2" s="1"/>
  <c r="Q55" i="2"/>
  <c r="AE55" i="2" s="1"/>
  <c r="Q45" i="2"/>
  <c r="AE45" i="2" s="1"/>
  <c r="Q40" i="2"/>
  <c r="AE40" i="2" s="1"/>
  <c r="AQ40" i="2" s="1"/>
  <c r="AA37" i="2"/>
  <c r="AO37" i="2" s="1"/>
  <c r="Q43" i="2"/>
  <c r="AE43" i="2" s="1"/>
  <c r="AA52" i="2"/>
  <c r="AO52" i="2" s="1"/>
  <c r="AA57" i="2"/>
  <c r="AO57" i="2" s="1"/>
  <c r="Y50" i="2"/>
  <c r="AM50" i="2" s="1"/>
  <c r="Y39" i="2"/>
  <c r="AM39" i="2" s="1"/>
  <c r="Y64" i="2"/>
  <c r="AM64" i="2" s="1"/>
  <c r="AQ64" i="2" s="1"/>
  <c r="Y53" i="2"/>
  <c r="AM53" i="2" s="1"/>
  <c r="AQ53" i="2" s="1"/>
  <c r="Y59" i="2"/>
  <c r="AM59" i="2" s="1"/>
  <c r="Y45" i="2"/>
  <c r="AM45" i="2" s="1"/>
  <c r="Y34" i="2"/>
  <c r="AM34" i="2" s="1"/>
  <c r="Y48" i="2"/>
  <c r="AM48" i="2" s="1"/>
  <c r="Y37" i="2"/>
  <c r="AM37" i="2" s="1"/>
  <c r="Y62" i="2"/>
  <c r="AM62" i="2" s="1"/>
  <c r="Y57" i="2"/>
  <c r="AM57" i="2" s="1"/>
  <c r="Y43" i="2"/>
  <c r="AM43" i="2" s="1"/>
  <c r="Y32" i="2"/>
  <c r="AM32" i="2" s="1"/>
  <c r="Y60" i="2"/>
  <c r="AM60" i="2" s="1"/>
  <c r="Y46" i="2"/>
  <c r="AM46" i="2" s="1"/>
  <c r="V35" i="2"/>
  <c r="AJ35" i="2" s="1"/>
  <c r="W55" i="2"/>
  <c r="AK55" i="2" s="1"/>
  <c r="V60" i="2"/>
  <c r="AJ60" i="2" s="1"/>
  <c r="Y65" i="2"/>
  <c r="AM65" i="2" s="1"/>
  <c r="Z64" i="2"/>
  <c r="AN64" i="2" s="1"/>
  <c r="Z53" i="2"/>
  <c r="AN53" i="2" s="1"/>
  <c r="Z56" i="2"/>
  <c r="AN56" i="2" s="1"/>
  <c r="Z42" i="2"/>
  <c r="AN42" i="2" s="1"/>
  <c r="Z48" i="2"/>
  <c r="AN48" i="2" s="1"/>
  <c r="Z37" i="2"/>
  <c r="AN37" i="2" s="1"/>
  <c r="Z62" i="2"/>
  <c r="AN62" i="2" s="1"/>
  <c r="Z51" i="2"/>
  <c r="AN51" i="2" s="1"/>
  <c r="AQ51" i="2" s="1"/>
  <c r="Z40" i="2"/>
  <c r="AN40" i="2" s="1"/>
  <c r="Z43" i="2"/>
  <c r="AN43" i="2" s="1"/>
  <c r="Z32" i="2"/>
  <c r="AN32" i="2" s="1"/>
  <c r="Z60" i="2"/>
  <c r="AN60" i="2" s="1"/>
  <c r="Z46" i="2"/>
  <c r="AN46" i="2" s="1"/>
  <c r="Z35" i="2"/>
  <c r="AN35" i="2" s="1"/>
  <c r="Z49" i="2"/>
  <c r="AN49" i="2" s="1"/>
  <c r="Q39" i="2"/>
  <c r="AE39" i="2" s="1"/>
  <c r="Q48" i="2"/>
  <c r="AE48" i="2" s="1"/>
  <c r="AA56" i="2"/>
  <c r="AO56" i="2" s="1"/>
  <c r="AA42" i="2"/>
  <c r="AO42" i="2" s="1"/>
  <c r="AA31" i="2"/>
  <c r="AO31" i="2" s="1"/>
  <c r="AA62" i="2"/>
  <c r="AO62" i="2" s="1"/>
  <c r="AA51" i="2"/>
  <c r="AO51" i="2" s="1"/>
  <c r="AA40" i="2"/>
  <c r="AO40" i="2" s="1"/>
  <c r="AA65" i="2"/>
  <c r="AO65" i="2" s="1"/>
  <c r="AA54" i="2"/>
  <c r="AO54" i="2" s="1"/>
  <c r="AA60" i="2"/>
  <c r="AO60" i="2" s="1"/>
  <c r="AA46" i="2"/>
  <c r="AO46" i="2" s="1"/>
  <c r="AA35" i="2"/>
  <c r="AO35" i="2" s="1"/>
  <c r="AA49" i="2"/>
  <c r="AO49" i="2" s="1"/>
  <c r="AA38" i="2"/>
  <c r="AO38" i="2" s="1"/>
  <c r="O50" i="2"/>
  <c r="AC50" i="2" s="1"/>
  <c r="O41" i="2"/>
  <c r="AC41" i="2" s="1"/>
  <c r="O61" i="2"/>
  <c r="AC61" i="2" s="1"/>
  <c r="O38" i="2"/>
  <c r="AC38" i="2" s="1"/>
  <c r="O58" i="2"/>
  <c r="AC58" i="2" s="1"/>
  <c r="O43" i="2"/>
  <c r="AC43" i="2" s="1"/>
  <c r="AQ47" i="2"/>
  <c r="AQ33" i="2"/>
  <c r="W6" i="2"/>
  <c r="AK6" i="2" s="1"/>
  <c r="W3" i="2"/>
  <c r="AK3" i="2" s="1"/>
  <c r="W15" i="2"/>
  <c r="W21" i="2"/>
  <c r="W24" i="2"/>
  <c r="W11" i="2"/>
  <c r="AK11" i="2" s="1"/>
  <c r="W8" i="2"/>
  <c r="AK8" i="2" s="1"/>
  <c r="W5" i="2"/>
  <c r="AK5" i="2" s="1"/>
  <c r="W4" i="2"/>
  <c r="AK4" i="2" s="1"/>
  <c r="W7" i="2"/>
  <c r="AK7" i="2" s="1"/>
  <c r="W17" i="2"/>
  <c r="W13" i="2"/>
  <c r="AK13" i="2" s="1"/>
  <c r="W19" i="2"/>
  <c r="W20" i="2"/>
  <c r="W9" i="2"/>
  <c r="AK9" i="2" s="1"/>
  <c r="W23" i="2"/>
  <c r="W2" i="2"/>
  <c r="AK2" i="2" s="1"/>
  <c r="W18" i="2"/>
  <c r="W10" i="2"/>
  <c r="AK10" i="2" s="1"/>
  <c r="W12" i="2"/>
  <c r="AK12" i="2" s="1"/>
  <c r="W16" i="2"/>
  <c r="W22" i="2"/>
  <c r="Z15" i="2"/>
  <c r="AA17" i="2"/>
  <c r="Y23" i="2"/>
  <c r="R2" i="2"/>
  <c r="AF2" i="2" s="1"/>
  <c r="AA7" i="2"/>
  <c r="AO7" i="2" s="1"/>
  <c r="R10" i="2"/>
  <c r="AF10" i="2" s="1"/>
  <c r="R3" i="2"/>
  <c r="AF3" i="2" s="1"/>
  <c r="AQ3" i="2" s="1"/>
  <c r="R19" i="2"/>
  <c r="S21" i="2"/>
  <c r="AA23" i="2"/>
  <c r="O17" i="2"/>
  <c r="O10" i="2"/>
  <c r="AC10" i="2" s="1"/>
  <c r="AQ10" i="2" s="1"/>
  <c r="O20" i="2"/>
  <c r="O7" i="2"/>
  <c r="AC7" i="2" s="1"/>
  <c r="O23" i="2"/>
  <c r="O4" i="2"/>
  <c r="AC4" i="2" s="1"/>
  <c r="P2" i="2"/>
  <c r="AD2" i="2" s="1"/>
  <c r="AA9" i="2"/>
  <c r="AO9" i="2" s="1"/>
  <c r="Y7" i="2"/>
  <c r="AM7" i="2" s="1"/>
  <c r="Y5" i="2"/>
  <c r="AM5" i="2" s="1"/>
  <c r="X15" i="2"/>
  <c r="X6" i="2"/>
  <c r="AL6" i="2" s="1"/>
  <c r="X18" i="2"/>
  <c r="X3" i="2"/>
  <c r="AL3" i="2" s="1"/>
  <c r="X24" i="2"/>
  <c r="X2" i="2"/>
  <c r="AL2" i="2" s="1"/>
  <c r="X11" i="2"/>
  <c r="AL11" i="2" s="1"/>
  <c r="Z18" i="2"/>
  <c r="Z21" i="2"/>
  <c r="Z12" i="2"/>
  <c r="AN12" i="2" s="1"/>
  <c r="Z24" i="2"/>
  <c r="Z9" i="2"/>
  <c r="AN9" i="2" s="1"/>
  <c r="Z3" i="2"/>
  <c r="AN3" i="2" s="1"/>
  <c r="Z16" i="2"/>
  <c r="Z2" i="2"/>
  <c r="AN2" i="2" s="1"/>
  <c r="Z19" i="2"/>
  <c r="Z10" i="2"/>
  <c r="AN10" i="2" s="1"/>
  <c r="X20" i="2"/>
  <c r="Y22" i="2"/>
  <c r="Y10" i="2"/>
  <c r="AM10" i="2" s="1"/>
  <c r="Y20" i="2"/>
  <c r="Z20" i="2"/>
  <c r="AA2" i="2"/>
  <c r="AO2" i="2" s="1"/>
  <c r="Y3" i="2"/>
  <c r="AM3" i="2" s="1"/>
  <c r="AA18" i="2"/>
  <c r="X23" i="2"/>
  <c r="S2" i="2"/>
  <c r="AG2" i="2" s="1"/>
  <c r="S12" i="2"/>
  <c r="AG12" i="2" s="1"/>
  <c r="R12" i="2"/>
  <c r="AF12" i="2" s="1"/>
  <c r="S10" i="2"/>
  <c r="AG10" i="2" s="1"/>
  <c r="AA5" i="2"/>
  <c r="AO5" i="2" s="1"/>
  <c r="S3" i="2"/>
  <c r="AG3" i="2" s="1"/>
  <c r="R21" i="2"/>
  <c r="Z23" i="2"/>
  <c r="P5" i="2"/>
  <c r="AD5" i="2" s="1"/>
  <c r="P20" i="2"/>
  <c r="P13" i="2"/>
  <c r="AD13" i="2" s="1"/>
  <c r="AQ13" i="2" s="1"/>
  <c r="P23" i="2"/>
  <c r="P10" i="2"/>
  <c r="AD10" i="2" s="1"/>
  <c r="P7" i="2"/>
  <c r="AD7" i="2" s="1"/>
  <c r="P4" i="2"/>
  <c r="AD4" i="2" s="1"/>
  <c r="Z5" i="2"/>
  <c r="AN5" i="2" s="1"/>
  <c r="X16" i="2"/>
  <c r="S19" i="2"/>
  <c r="X21" i="2"/>
  <c r="O24" i="2"/>
  <c r="Q8" i="2"/>
  <c r="AE8" i="2" s="1"/>
  <c r="AQ8" i="2" s="1"/>
  <c r="Q5" i="2"/>
  <c r="AE5" i="2" s="1"/>
  <c r="AQ5" i="2" s="1"/>
  <c r="Q17" i="2"/>
  <c r="Q23" i="2"/>
  <c r="Q13" i="2"/>
  <c r="AE13" i="2" s="1"/>
  <c r="Q10" i="2"/>
  <c r="AE10" i="2" s="1"/>
  <c r="AA13" i="2"/>
  <c r="AO13" i="2" s="1"/>
  <c r="O12" i="2"/>
  <c r="AC12" i="2" s="1"/>
  <c r="AQ12" i="2" s="1"/>
  <c r="X9" i="2"/>
  <c r="AL9" i="2" s="1"/>
  <c r="X7" i="2"/>
  <c r="AL7" i="2" s="1"/>
  <c r="X5" i="2"/>
  <c r="AL5" i="2" s="1"/>
  <c r="P3" i="2"/>
  <c r="AD3" i="2" s="1"/>
  <c r="P17" i="2"/>
  <c r="O22" i="2"/>
  <c r="P24" i="2"/>
  <c r="AA11" i="2"/>
  <c r="AO11" i="2" s="1"/>
  <c r="X22" i="2"/>
  <c r="Y12" i="2"/>
  <c r="AM12" i="2" s="1"/>
  <c r="S17" i="2"/>
  <c r="S20" i="2"/>
  <c r="S11" i="2"/>
  <c r="AG11" i="2" s="1"/>
  <c r="S23" i="2"/>
  <c r="S8" i="2"/>
  <c r="AG8" i="2" s="1"/>
  <c r="S15" i="2"/>
  <c r="S18" i="2"/>
  <c r="Z11" i="2"/>
  <c r="AN11" i="2" s="1"/>
  <c r="Y15" i="2"/>
  <c r="Y18" i="2"/>
  <c r="Y9" i="2"/>
  <c r="AM9" i="2" s="1"/>
  <c r="Y21" i="2"/>
  <c r="Y6" i="2"/>
  <c r="AM6" i="2" s="1"/>
  <c r="Y2" i="2"/>
  <c r="AM2" i="2" s="1"/>
  <c r="Y16" i="2"/>
  <c r="X12" i="2"/>
  <c r="AL12" i="2" s="1"/>
  <c r="Z22" i="2"/>
  <c r="X10" i="2"/>
  <c r="AL10" i="2" s="1"/>
  <c r="AQ6" i="2"/>
  <c r="AA20" i="2"/>
  <c r="R24" i="2"/>
  <c r="T20" i="2"/>
  <c r="T23" i="2"/>
  <c r="T11" i="2"/>
  <c r="AH11" i="2" s="1"/>
  <c r="T5" i="2"/>
  <c r="AH5" i="2" s="1"/>
  <c r="T15" i="2"/>
  <c r="T18" i="2"/>
  <c r="T21" i="2"/>
  <c r="X13" i="2"/>
  <c r="AL13" i="2" s="1"/>
  <c r="Y11" i="2"/>
  <c r="AM11" i="2" s="1"/>
  <c r="R22" i="2"/>
  <c r="S24" i="2"/>
  <c r="T9" i="2"/>
  <c r="AH9" i="2" s="1"/>
  <c r="Z4" i="2"/>
  <c r="AN4" i="2" s="1"/>
  <c r="V3" i="2"/>
  <c r="AJ3" i="2" s="1"/>
  <c r="V2" i="2"/>
  <c r="AJ2" i="2" s="1"/>
  <c r="V18" i="2"/>
  <c r="V11" i="2"/>
  <c r="AJ11" i="2" s="1"/>
  <c r="V21" i="2"/>
  <c r="V8" i="2"/>
  <c r="AJ8" i="2" s="1"/>
  <c r="V24" i="2"/>
  <c r="V5" i="2"/>
  <c r="AJ5" i="2" s="1"/>
  <c r="V13" i="2"/>
  <c r="AJ13" i="2" s="1"/>
  <c r="S9" i="2"/>
  <c r="AG9" i="2" s="1"/>
  <c r="S7" i="2"/>
  <c r="AG7" i="2" s="1"/>
  <c r="Y4" i="2"/>
  <c r="AM4" i="2" s="1"/>
  <c r="P15" i="2"/>
  <c r="X17" i="2"/>
  <c r="Y19" i="2"/>
  <c r="T22" i="2"/>
  <c r="Y24" i="2"/>
  <c r="AA21" i="2"/>
  <c r="AA24" i="2"/>
  <c r="AA12" i="2"/>
  <c r="AO12" i="2" s="1"/>
  <c r="AA6" i="2"/>
  <c r="AO6" i="2" s="1"/>
  <c r="AA16" i="2"/>
  <c r="AA3" i="2"/>
  <c r="AO3" i="2" s="1"/>
  <c r="AA19" i="2"/>
  <c r="AA22" i="2"/>
  <c r="Z8" i="2"/>
  <c r="AN8" i="2" s="1"/>
  <c r="Y8" i="2"/>
  <c r="AM8" i="2" s="1"/>
  <c r="X8" i="2"/>
  <c r="AL8" i="2" s="1"/>
  <c r="R17" i="2"/>
  <c r="R8" i="2"/>
  <c r="AF8" i="2" s="1"/>
  <c r="R20" i="2"/>
  <c r="R5" i="2"/>
  <c r="AF5" i="2" s="1"/>
  <c r="R13" i="2"/>
  <c r="AF13" i="2" s="1"/>
  <c r="R15" i="2"/>
  <c r="Z13" i="2"/>
  <c r="AN13" i="2" s="1"/>
  <c r="U23" i="2"/>
  <c r="U2" i="2"/>
  <c r="AI2" i="2" s="1"/>
  <c r="U15" i="2"/>
  <c r="U8" i="2"/>
  <c r="AI8" i="2" s="1"/>
  <c r="U18" i="2"/>
  <c r="U5" i="2"/>
  <c r="AI5" i="2" s="1"/>
  <c r="U21" i="2"/>
  <c r="U24" i="2"/>
  <c r="U11" i="2"/>
  <c r="AI11" i="2" s="1"/>
  <c r="T7" i="2"/>
  <c r="AH7" i="2" s="1"/>
  <c r="O15" i="2"/>
  <c r="X19" i="2"/>
  <c r="S22" i="2"/>
  <c r="T24" i="2"/>
  <c r="U13" i="2"/>
  <c r="AI13" i="2" s="1"/>
  <c r="Q11" i="2"/>
  <c r="AE11" i="2" s="1"/>
  <c r="R9" i="2"/>
  <c r="AF9" i="2" s="1"/>
  <c r="R7" i="2"/>
  <c r="AF7" i="2" s="1"/>
  <c r="X4" i="2"/>
  <c r="AL4" i="2" s="1"/>
  <c r="Q15" i="2"/>
  <c r="Y17" i="2"/>
  <c r="Q20" i="2"/>
  <c r="U22" i="2"/>
  <c r="T13" i="2"/>
  <c r="AH13" i="2" s="1"/>
  <c r="P11" i="2"/>
  <c r="AD11" i="2" s="1"/>
  <c r="AQ11" i="2" s="1"/>
  <c r="Q9" i="2"/>
  <c r="AE9" i="2" s="1"/>
  <c r="AQ9" i="2" s="1"/>
  <c r="Q7" i="2"/>
  <c r="AE7" i="2" s="1"/>
  <c r="AQ7" i="2" s="1"/>
  <c r="V15" i="2"/>
  <c r="Z17" i="2"/>
  <c r="U20" i="2"/>
  <c r="V22" i="2"/>
  <c r="AQ38" i="2" l="1"/>
  <c r="AQ41" i="2"/>
  <c r="AQ4" i="2"/>
  <c r="AQ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<sst xmlns="http://schemas.openxmlformats.org/spreadsheetml/2006/main" count="6008" uniqueCount="956">
  <si>
    <t>Data</t>
  </si>
  <si>
    <t>ID</t>
  </si>
  <si>
    <t>Name</t>
  </si>
  <si>
    <t>Class_1</t>
  </si>
  <si>
    <t>Class_2</t>
  </si>
  <si>
    <t>Class_3</t>
  </si>
  <si>
    <t>Unit</t>
  </si>
  <si>
    <t>Dim</t>
  </si>
  <si>
    <t>Tick</t>
  </si>
  <si>
    <t>Palette</t>
  </si>
  <si>
    <t>ColourKey</t>
  </si>
  <si>
    <t>Style</t>
  </si>
  <si>
    <t>Prefix</t>
  </si>
  <si>
    <t>hb1</t>
  </si>
  <si>
    <t>EXRT.DS41.NZB17</t>
  </si>
  <si>
    <t>17 currency basket</t>
  </si>
  <si>
    <t>Index</t>
  </si>
  <si>
    <t>TWI</t>
  </si>
  <si>
    <t>.0f</t>
  </si>
  <si>
    <t>qual</t>
  </si>
  <si>
    <t>black</t>
  </si>
  <si>
    <t>Line</t>
  </si>
  <si>
    <t>NA</t>
  </si>
  <si>
    <t>EXR.DS11.D06</t>
  </si>
  <si>
    <t>United States dollar</t>
  </si>
  <si>
    <t>NZD/USD</t>
  </si>
  <si>
    <t>Exchange rates (quoted per NZ$)</t>
  </si>
  <si>
    <t>NZD to $USD</t>
  </si>
  <si>
    <t>.2f</t>
  </si>
  <si>
    <t>$</t>
  </si>
  <si>
    <t>EXR.DS11.D04</t>
  </si>
  <si>
    <t>UK pound sterling</t>
  </si>
  <si>
    <t>NZD/GBP</t>
  </si>
  <si>
    <t>NZD to £GBP</t>
  </si>
  <si>
    <t>£</t>
  </si>
  <si>
    <t>EXR.DS11.D01</t>
  </si>
  <si>
    <t>Australian dollar</t>
  </si>
  <si>
    <t>NZD/AUD</t>
  </si>
  <si>
    <t>NZD to $AUD</t>
  </si>
  <si>
    <t>EXR.DS11.D05</t>
  </si>
  <si>
    <t>Japanese yen</t>
  </si>
  <si>
    <t>NZD/JPY</t>
  </si>
  <si>
    <t>NZD to ¥JPY</t>
  </si>
  <si>
    <t>¥</t>
  </si>
  <si>
    <t>EXR.DS11.D03</t>
  </si>
  <si>
    <t>European euro</t>
  </si>
  <si>
    <t>NZD/EUR</t>
  </si>
  <si>
    <t>NZD to €EUR</t>
  </si>
  <si>
    <t>€</t>
  </si>
  <si>
    <t>EXR.DS11.D02</t>
  </si>
  <si>
    <t>Canadian dollar</t>
  </si>
  <si>
    <t>NZD/CAD</t>
  </si>
  <si>
    <t>NZD to $CAD</t>
  </si>
  <si>
    <t>EXR.DS11.D12</t>
  </si>
  <si>
    <t>South Korean won</t>
  </si>
  <si>
    <t>NZD/KRW</t>
  </si>
  <si>
    <t>NZD to ₩KRW</t>
  </si>
  <si>
    <t>₩</t>
  </si>
  <si>
    <t>EXR.DS11.D11</t>
  </si>
  <si>
    <t>Chinese renminbi</t>
  </si>
  <si>
    <t>NZD/CNY</t>
  </si>
  <si>
    <t>NZD to ¥CNY</t>
  </si>
  <si>
    <t>EXR.DS11.D14</t>
  </si>
  <si>
    <t>Malaysian ringgit</t>
  </si>
  <si>
    <t>NZD/MYR</t>
  </si>
  <si>
    <t>NZD to RM</t>
  </si>
  <si>
    <t>RM</t>
  </si>
  <si>
    <t>EXR.DS11.D08</t>
  </si>
  <si>
    <t>Hong Kong dollar</t>
  </si>
  <si>
    <t>NZD/HKD</t>
  </si>
  <si>
    <t>NZD to $HK</t>
  </si>
  <si>
    <t>EXR.DS11.D13</t>
  </si>
  <si>
    <t>Indonesian rupiah</t>
  </si>
  <si>
    <t>NZD/IDR</t>
  </si>
  <si>
    <t>NZD to p (IDR)</t>
  </si>
  <si>
    <t>p</t>
  </si>
  <si>
    <t>EXR.DS11.D15</t>
  </si>
  <si>
    <t>Thai baht</t>
  </si>
  <si>
    <t>NZD/THB</t>
  </si>
  <si>
    <t>NZD to B (THB)</t>
  </si>
  <si>
    <t>B</t>
  </si>
  <si>
    <t>EXR.DS11.D09</t>
  </si>
  <si>
    <t>Singapore dollar</t>
  </si>
  <si>
    <t>NZD/SGD</t>
  </si>
  <si>
    <t>NZD to $SGD</t>
  </si>
  <si>
    <t>EXR.DS11.D16</t>
  </si>
  <si>
    <t>New Taiwan dollar</t>
  </si>
  <si>
    <t>NZD/TWD</t>
  </si>
  <si>
    <t>NZD to $NT</t>
  </si>
  <si>
    <t>EXR.DS11.D31</t>
  </si>
  <si>
    <t>Indian rupee</t>
  </si>
  <si>
    <t>NZD/INR</t>
  </si>
  <si>
    <t>NZD to ₹INR</t>
  </si>
  <si>
    <t>₹</t>
  </si>
  <si>
    <t>EXR.DS11.D32</t>
  </si>
  <si>
    <t>Philippine peso</t>
  </si>
  <si>
    <t>NZD/PHP</t>
  </si>
  <si>
    <t>NZD to ₱PHP</t>
  </si>
  <si>
    <t>₱</t>
  </si>
  <si>
    <t>EXR.DS11.D33</t>
  </si>
  <si>
    <t>Vietnamese dong</t>
  </si>
  <si>
    <t>NZD/VND</t>
  </si>
  <si>
    <t>NZD to ₫VND</t>
  </si>
  <si>
    <t>₫</t>
  </si>
  <si>
    <t>EXRT.DS41.N</t>
  </si>
  <si>
    <t>Base June 1979=100</t>
  </si>
  <si>
    <t>Index Historic</t>
  </si>
  <si>
    <t>Historical TWI</t>
  </si>
  <si>
    <t>TWI (H)</t>
  </si>
  <si>
    <t>hb2</t>
  </si>
  <si>
    <t>INM.DP1.N</t>
  </si>
  <si>
    <t>Official Cash Rate (OCR)</t>
  </si>
  <si>
    <t>OCR</t>
  </si>
  <si>
    <t>%pa</t>
  </si>
  <si>
    <t>%</t>
  </si>
  <si>
    <t>.1f</t>
  </si>
  <si>
    <t>manual</t>
  </si>
  <si>
    <t>grey_snow</t>
  </si>
  <si>
    <t>Fill</t>
  </si>
  <si>
    <t>INM.DG101.NZZCF</t>
  </si>
  <si>
    <t>1 year (bond)</t>
  </si>
  <si>
    <t>Secondary market government bond closing yields</t>
  </si>
  <si>
    <t>1 year</t>
  </si>
  <si>
    <t>INM.DG102.NZZCF</t>
  </si>
  <si>
    <t>2 year (bond)</t>
  </si>
  <si>
    <t>2 year</t>
  </si>
  <si>
    <t>INM.DG105.NZZCF</t>
  </si>
  <si>
    <t>5 year (bond)</t>
  </si>
  <si>
    <t>5 year</t>
  </si>
  <si>
    <t>INM.DG110.NZZCF</t>
  </si>
  <si>
    <t>10 year (bond)</t>
  </si>
  <si>
    <t>10 year</t>
  </si>
  <si>
    <t>INM.DS01.NZZC</t>
  </si>
  <si>
    <t>1 year (swap)</t>
  </si>
  <si>
    <t>Swap rates close</t>
  </si>
  <si>
    <t>INM.DS02.NZZC</t>
  </si>
  <si>
    <t>2 year (swap)</t>
  </si>
  <si>
    <t>INM.DS05.NZZC</t>
  </si>
  <si>
    <t>5 year (swap)</t>
  </si>
  <si>
    <t>INM.DS10.NZZC</t>
  </si>
  <si>
    <t>10 year (swap)</t>
  </si>
  <si>
    <t>INM.DS61.NZZC</t>
  </si>
  <si>
    <t>Spread 2-10 year</t>
  </si>
  <si>
    <t>bps</t>
  </si>
  <si>
    <t>hc35</t>
  </si>
  <si>
    <t>LVRP.QME1.A</t>
  </si>
  <si>
    <t>Opening position</t>
  </si>
  <si>
    <t>Total</t>
  </si>
  <si>
    <t>NZDm</t>
  </si>
  <si>
    <t>,d</t>
  </si>
  <si>
    <t>teal_snow</t>
  </si>
  <si>
    <t>LVRP.QME31.A</t>
  </si>
  <si>
    <t>Drawdowns</t>
  </si>
  <si>
    <t>teal</t>
  </si>
  <si>
    <t>LVRP.QME32.A</t>
  </si>
  <si>
    <t>Interest charged</t>
  </si>
  <si>
    <t>LVRP.QME33.A</t>
  </si>
  <si>
    <t>Scheduled repayments</t>
  </si>
  <si>
    <t>LVRP.QME34.A</t>
  </si>
  <si>
    <t>Repayment of loan in full</t>
  </si>
  <si>
    <t>LVRP.QME35.A</t>
  </si>
  <si>
    <t>Other excess repayments</t>
  </si>
  <si>
    <t>LVRP.QME36.A</t>
  </si>
  <si>
    <t>Repayment deficiencies</t>
  </si>
  <si>
    <t>LVRP.QME37.A</t>
  </si>
  <si>
    <t>Net write-offs</t>
  </si>
  <si>
    <t>LVRP.QME38.A</t>
  </si>
  <si>
    <t>Other adjustments</t>
  </si>
  <si>
    <t>LVRP.QME1.B</t>
  </si>
  <si>
    <t>&gt;80% LVR</t>
  </si>
  <si>
    <t>Breakdown</t>
  </si>
  <si>
    <t>LVRP.QME31.B</t>
  </si>
  <si>
    <t>LVRP.QME32.B</t>
  </si>
  <si>
    <t>LVRP.QME33.B</t>
  </si>
  <si>
    <t>LVRP.QME34.B</t>
  </si>
  <si>
    <t>LVRP.QME35.B</t>
  </si>
  <si>
    <t>Other excess repayment</t>
  </si>
  <si>
    <t>LVRP.QME36.B</t>
  </si>
  <si>
    <t>LVRP.QME37.B</t>
  </si>
  <si>
    <t>LVRP.QME38.B</t>
  </si>
  <si>
    <t>LVRP.QME1.C</t>
  </si>
  <si>
    <t>&lt;=80% LVR</t>
  </si>
  <si>
    <t>LVRP.QME31.C</t>
  </si>
  <si>
    <t>LVRP.QME32.C</t>
  </si>
  <si>
    <t>LVRP.QME33.C</t>
  </si>
  <si>
    <t>LVRP.QME34.C</t>
  </si>
  <si>
    <t>LVRP.QME35.C</t>
  </si>
  <si>
    <t>LVRP.QME36.C</t>
  </si>
  <si>
    <t>LVRP.QME37.C</t>
  </si>
  <si>
    <t>LVRP.QME38.C</t>
  </si>
  <si>
    <t>hm1</t>
  </si>
  <si>
    <t>CPI.Q.C.ia</t>
  </si>
  <si>
    <t>Consumers price index (CPI)</t>
  </si>
  <si>
    <t>CPI.Q.C.iaq</t>
  </si>
  <si>
    <t>q/q%</t>
  </si>
  <si>
    <t>CPI.Q.C.iay</t>
  </si>
  <si>
    <t>y/y%</t>
  </si>
  <si>
    <t>CPIT.Q.C.ia</t>
  </si>
  <si>
    <t>Tradable inflation</t>
  </si>
  <si>
    <t>CPIT.Q.C.iaq</t>
  </si>
  <si>
    <t>CPIT.Q.C.iay</t>
  </si>
  <si>
    <t>CPIN.Q.C.ia</t>
  </si>
  <si>
    <t>Non-tradable inflation</t>
  </si>
  <si>
    <t>CPIN.Q.C.iaq</t>
  </si>
  <si>
    <t>CPIN.Q.C.iay</t>
  </si>
  <si>
    <t>CPI.Q.C01.ia</t>
  </si>
  <si>
    <t>Food</t>
  </si>
  <si>
    <t>CPI.Q.C01.iaq</t>
  </si>
  <si>
    <t>CPI.Q.C01.iay</t>
  </si>
  <si>
    <t>CPI.Q.C04.ia</t>
  </si>
  <si>
    <t>Housing and household utilities</t>
  </si>
  <si>
    <t>CPI.Q.C04.iaq</t>
  </si>
  <si>
    <t>CPI.Q.C04.iay</t>
  </si>
  <si>
    <t>CPI.Q.C07.ia</t>
  </si>
  <si>
    <t>Transportation</t>
  </si>
  <si>
    <t>CPI.Q.C07.iaq</t>
  </si>
  <si>
    <t>CPI.Q.C07.iay</t>
  </si>
  <si>
    <t>CPI.Q.C07202.ia</t>
  </si>
  <si>
    <t>Petrol</t>
  </si>
  <si>
    <t>CPI.Q.C07202.iaq</t>
  </si>
  <si>
    <t>CPI.Q.C07202.iay</t>
  </si>
  <si>
    <t>CPI.Q.ZC21.ia</t>
  </si>
  <si>
    <t>CPI excluding petrol</t>
  </si>
  <si>
    <t>CPI.Q.ZC21.iaq</t>
  </si>
  <si>
    <t>CPI.Q.ZC21.iay</t>
  </si>
  <si>
    <t>CPI.Q.ZC40.iaq</t>
  </si>
  <si>
    <t>Trimmed mean</t>
  </si>
  <si>
    <t>CPIM.Q.C40T10B17.iay</t>
  </si>
  <si>
    <t>CPI.Q.ZC41.iaq</t>
  </si>
  <si>
    <t>Weighted median</t>
  </si>
  <si>
    <t>CPIW.Q.C41P50B17.iay</t>
  </si>
  <si>
    <t>CPI.Q.ZC42.iay</t>
  </si>
  <si>
    <t>Factor model</t>
  </si>
  <si>
    <t>CPI.Q.ZC43.iay</t>
  </si>
  <si>
    <t>Sectoral factor model</t>
  </si>
  <si>
    <t>CPI.Q.ZC431.iay</t>
  </si>
  <si>
    <t>Sectoral factor model - tradable core</t>
  </si>
  <si>
    <t>CPI.Q.ZC432.iay</t>
  </si>
  <si>
    <t>Sectoral factor model - non-tradable core</t>
  </si>
  <si>
    <t>HPI.Q.H01T0.ia</t>
  </si>
  <si>
    <t>PropertyIQ House price index (HPI)</t>
  </si>
  <si>
    <t>HPI.Q.H01T0.iaq</t>
  </si>
  <si>
    <t>HPI.Q.H01T0.iay</t>
  </si>
  <si>
    <t>GDE.Q.DY.RS</t>
  </si>
  <si>
    <t>GDP deflator</t>
  </si>
  <si>
    <t>GDE.Q.DY.rsq</t>
  </si>
  <si>
    <t>GDE.Q.DY.rsy</t>
  </si>
  <si>
    <t>PPI06.Q.T0I1.ia</t>
  </si>
  <si>
    <t>Producers price index (PPI) inputs</t>
  </si>
  <si>
    <t>PPI06.Q.T0I1.iaq</t>
  </si>
  <si>
    <t>PPI06.Q.T0I1.iay</t>
  </si>
  <si>
    <t>PPI06.Q.T0I2.ia</t>
  </si>
  <si>
    <t>Producers price index (PPI) outputs</t>
  </si>
  <si>
    <t>PPI06.Q.T0I2.iaq</t>
  </si>
  <si>
    <t>PPI06.Q.T0I2.iay</t>
  </si>
  <si>
    <t>hm2</t>
  </si>
  <si>
    <t>RTS06.Q.S1G.na</t>
  </si>
  <si>
    <t>Retail trade sales</t>
  </si>
  <si>
    <t>Retail trade sales NZDm</t>
  </si>
  <si>
    <t>RTS06.Q.S1G.ns</t>
  </si>
  <si>
    <t>Retail trade sales NZDm s.a.</t>
  </si>
  <si>
    <t>NZDm s.a.</t>
  </si>
  <si>
    <t>RTS06.Q.S1G.nsq</t>
  </si>
  <si>
    <t>Retail trade % s.a.</t>
  </si>
  <si>
    <t>% s.a.</t>
  </si>
  <si>
    <t>RTS06.Q.S1G.nay</t>
  </si>
  <si>
    <t>Retail trade %</t>
  </si>
  <si>
    <t>RTS06.Q.S1G.ra</t>
  </si>
  <si>
    <t>Retail trade volumes</t>
  </si>
  <si>
    <t>Retail trade volumes NZDm(r)</t>
  </si>
  <si>
    <t>NZDm(r)</t>
  </si>
  <si>
    <t>RTS06.Q.S1G.rs</t>
  </si>
  <si>
    <t>Retail trade volumes NZDm(r) s.a.</t>
  </si>
  <si>
    <t>NZDm(r) s.a.</t>
  </si>
  <si>
    <t>RTS06.Q.S1G.rsq</t>
  </si>
  <si>
    <t>Retail trade volumes %(r) s.a.</t>
  </si>
  <si>
    <t>%(r) s.a.</t>
  </si>
  <si>
    <t>RTS06.Q.S1G.ray</t>
  </si>
  <si>
    <t>Retail trade %(r)</t>
  </si>
  <si>
    <t>%(r)</t>
  </si>
  <si>
    <t>GDE.Q.EC1.RA</t>
  </si>
  <si>
    <t>Private consumption expenditure (GDP)</t>
  </si>
  <si>
    <t>Private consumption expenditure (GDP) NZDm(r)</t>
  </si>
  <si>
    <t>GDE.Q.EC1.RS</t>
  </si>
  <si>
    <t>Private consumption expenditure (GDP) NZDm(r) s.a.</t>
  </si>
  <si>
    <t>GDE.Q.EC1.rsq</t>
  </si>
  <si>
    <t>Private consumption expenditure (GDP) %(r) s.a.</t>
  </si>
  <si>
    <t>GDE.Q.EC1.ray</t>
  </si>
  <si>
    <t>Private consumption expenditure (GDP) %(r)</t>
  </si>
  <si>
    <t>GDE.Q.EG13.RA</t>
  </si>
  <si>
    <t>General government consumption expenditure (GDP)</t>
  </si>
  <si>
    <t>General government consumption expenditure (GDP) NZDm(r)</t>
  </si>
  <si>
    <t>GDE.Q.EG13.RS</t>
  </si>
  <si>
    <t>General government consumption expenditure (GDP) NZDm(r) s.a.</t>
  </si>
  <si>
    <t>GDE.Q.EG13.rsq</t>
  </si>
  <si>
    <t>General government consumption expenditure (GDP) %(r) s.a.</t>
  </si>
  <si>
    <t>GDE.Q.EG13.ray</t>
  </si>
  <si>
    <t>General government consumption expenditure (GDP) %(r)</t>
  </si>
  <si>
    <t>hm3</t>
  </si>
  <si>
    <t>QBLD.Q.B11N1BZR1.ns</t>
  </si>
  <si>
    <t>Residential Building Consents (s.a.)</t>
  </si>
  <si>
    <t>Residential consents</t>
  </si>
  <si>
    <t>Building consents - residential dwellings (Number s.a.)</t>
  </si>
  <si>
    <t>no s.a.</t>
  </si>
  <si>
    <t>Number</t>
  </si>
  <si>
    <t>QBLD.Q.B11N1BZR1.nsq</t>
  </si>
  <si>
    <t>Residential Building Consents (q/q% s.a.)</t>
  </si>
  <si>
    <t>Building consents - residential dwellings (q/q% s.a.)</t>
  </si>
  <si>
    <t>GDE.Q.EI24.RA</t>
  </si>
  <si>
    <t>Residential buildings (GDP) (Real $m)</t>
  </si>
  <si>
    <t>Gross fixed capital formation</t>
  </si>
  <si>
    <t>Gross fixed capital formation - residential buildings (GDP) (Real $m)</t>
  </si>
  <si>
    <t>Real $m</t>
  </si>
  <si>
    <t>GDE.Q.EI24.RS</t>
  </si>
  <si>
    <t>Residential buildings (GDP) (Real $m s.a.)</t>
  </si>
  <si>
    <t>Gross fixed capital formation - residential buildings (GDP) (Real $m s.a.)</t>
  </si>
  <si>
    <t>GDE.Q.EI24.rsq</t>
  </si>
  <si>
    <t>Residential buildings (GDP) (Real q/q% s.a)</t>
  </si>
  <si>
    <t>Gross fixed capital formation - residential buildings (GDP) (Real q/q% s.a)</t>
  </si>
  <si>
    <t>Real q/q</t>
  </si>
  <si>
    <t>GDE.Q.EI24.ray</t>
  </si>
  <si>
    <t>Residential buildings (GDP) (Real y/y%)</t>
  </si>
  <si>
    <t>Gross fixed capital formation - residential buildings (GDP) (Real y/y%)</t>
  </si>
  <si>
    <t>Real y/y</t>
  </si>
  <si>
    <t>GDE.Q.EI25.RA</t>
  </si>
  <si>
    <t>Other fixed assets (GDP) (Real $m)</t>
  </si>
  <si>
    <t>Gross fixed capital formation - other fixed assets (GDP) (Real $m)</t>
  </si>
  <si>
    <t>GDE.Q.EI25.RS</t>
  </si>
  <si>
    <t>Other fixed assets (GDP) (Real $m s.a.)</t>
  </si>
  <si>
    <t>Gross fixed capital formation - other fixed assets (GDP) (Real $m s.a.)</t>
  </si>
  <si>
    <t>GDE.Q.EI25.rsq</t>
  </si>
  <si>
    <t>Other fixed assets (GDP) (Real q/q% s.a.)</t>
  </si>
  <si>
    <t>Gross fixed capital formation - other fixed assets (GDP) (Real q/q% s.a.)</t>
  </si>
  <si>
    <t>GDE.Q.EI25.ray</t>
  </si>
  <si>
    <t>Other fixed assets (GDP) (Real y/y%)</t>
  </si>
  <si>
    <t>Gross fixed capital formation - other fixed assets (GDP) (Real y/y%)</t>
  </si>
  <si>
    <t>GDE.Q.EI23.RA</t>
  </si>
  <si>
    <t>Change in inventories (GDP) (Real $m)</t>
  </si>
  <si>
    <t>Change in inventories</t>
  </si>
  <si>
    <t>GDE.Q.EI23.RS</t>
  </si>
  <si>
    <t>Change in inventories (GDP) (Real $m s.a.)</t>
  </si>
  <si>
    <t>hm4</t>
  </si>
  <si>
    <t>MAN06.Q.S1C0.ns</t>
  </si>
  <si>
    <t>Manufacturing operating income</t>
  </si>
  <si>
    <t>Operating income $m s.a.</t>
  </si>
  <si>
    <t>Manufacturing</t>
  </si>
  <si>
    <t>m</t>
  </si>
  <si>
    <t>$m s.a.</t>
  </si>
  <si>
    <t>MAN06.Q.S1C0.na</t>
  </si>
  <si>
    <t>Operating income $m</t>
  </si>
  <si>
    <t>$m</t>
  </si>
  <si>
    <t>MAN06.Q.S1C0.nsq</t>
  </si>
  <si>
    <t>Operating income q/q% s.a.</t>
  </si>
  <si>
    <t>q/q% s.a.</t>
  </si>
  <si>
    <t>MAN06.Q.S1C0.nay</t>
  </si>
  <si>
    <t>Operating income y/y%</t>
  </si>
  <si>
    <t>MAN06.Q.VC0.na</t>
  </si>
  <si>
    <t>Manufacturing stocks</t>
  </si>
  <si>
    <t>Stocks $m</t>
  </si>
  <si>
    <t>MAN06.Q.VC0.nay</t>
  </si>
  <si>
    <t>Stocks y/y%</t>
  </si>
  <si>
    <t>MAN06.Q.S1C111.ns</t>
  </si>
  <si>
    <t>Meat and dairy manufacturing operating income</t>
  </si>
  <si>
    <t>Meat and dairy</t>
  </si>
  <si>
    <t>MAN06.Q.S1C111.na</t>
  </si>
  <si>
    <t>MAN06.Q.S1C111.nsq</t>
  </si>
  <si>
    <t>MAN06.Q.S1C111.nay</t>
  </si>
  <si>
    <t>Sales $m s.a.</t>
  </si>
  <si>
    <t>Retail trade</t>
  </si>
  <si>
    <t>Sales $m</t>
  </si>
  <si>
    <t>Sales q/q% s.a.</t>
  </si>
  <si>
    <t>Sales y/y%</t>
  </si>
  <si>
    <t>RTS06.Q.VG.na</t>
  </si>
  <si>
    <t>Retail trade stocks</t>
  </si>
  <si>
    <t>RTS06.Q.VG.nay</t>
  </si>
  <si>
    <t>WTS06.Q.S1F0.ns</t>
  </si>
  <si>
    <t>Wholesale trade sales</t>
  </si>
  <si>
    <t>Wholesale trade</t>
  </si>
  <si>
    <t>WTS06.Q.S1F0.na</t>
  </si>
  <si>
    <t>WTS06.Q.S1F0.nsq</t>
  </si>
  <si>
    <t>WTS06.Q.S1F0.nay</t>
  </si>
  <si>
    <t>WTS06.Q.VF0.na</t>
  </si>
  <si>
    <t>Wholesale trade stocks</t>
  </si>
  <si>
    <t>WTS06.Q.VF0.nay</t>
  </si>
  <si>
    <t>hm5</t>
  </si>
  <si>
    <t>GDP06.Q.QT0.ra</t>
  </si>
  <si>
    <t>GDP - Production (Real $m)</t>
  </si>
  <si>
    <t>GDPReal $m</t>
  </si>
  <si>
    <t>GDP</t>
  </si>
  <si>
    <t>GDP-Production (Real $m)</t>
  </si>
  <si>
    <t>number</t>
  </si>
  <si>
    <t>GDP06.Q.QT0.rs</t>
  </si>
  <si>
    <t>GDP - Production (Real $m s.a.)</t>
  </si>
  <si>
    <t>GDPReal $m s.a.</t>
  </si>
  <si>
    <t>GDP-Production (Real $m s.a.)</t>
  </si>
  <si>
    <t>GDP06.Q.QT0.rsq</t>
  </si>
  <si>
    <t>GDP - Production (Real q/q% s.a.)</t>
  </si>
  <si>
    <t>GDPReal q/q% s.a.</t>
  </si>
  <si>
    <t>GDP-Production (Real q/q% s.a.)</t>
  </si>
  <si>
    <t>GDP06.Q.QT0.ray</t>
  </si>
  <si>
    <t>GDP - Production (Real y/y%)</t>
  </si>
  <si>
    <t>GDPReal y/y%</t>
  </si>
  <si>
    <t>GDP-Production (Real y/y%)</t>
  </si>
  <si>
    <t>GDE.Q.EY.NA</t>
  </si>
  <si>
    <t>GDP - Expenditure (Nominal $m)</t>
  </si>
  <si>
    <t>GDPNominal $m</t>
  </si>
  <si>
    <t>GDP-Expenditure (Nominal $m)</t>
  </si>
  <si>
    <t>GDE.Q.EY.NS</t>
  </si>
  <si>
    <t>GDP - Expenditure (Nominal $m s.a.)</t>
  </si>
  <si>
    <t>GDPNominal $m s.a.</t>
  </si>
  <si>
    <t>GDP-Expenditure (Nominal $m s.a.)</t>
  </si>
  <si>
    <t>GDE.Q.EY.nsq</t>
  </si>
  <si>
    <t>GDP - Expenditure (Nominal q/q% s.a.)</t>
  </si>
  <si>
    <t>GDPNominal q/q% s.a.</t>
  </si>
  <si>
    <t>GDP-Expenditure (Nominal q/q% s.a.)</t>
  </si>
  <si>
    <t>GDE.Q.EY.nay</t>
  </si>
  <si>
    <t>GDP - Expenditure (Nominal y/y%)</t>
  </si>
  <si>
    <t>GDPNominal y/y%</t>
  </si>
  <si>
    <t>GDP-Expenditure (Nominal y/y%)</t>
  </si>
  <si>
    <t>GDE.Q.EY.RA</t>
  </si>
  <si>
    <t>GDP - Expenditure (Real $m)</t>
  </si>
  <si>
    <t>GDP-Expenditure (Real $m)</t>
  </si>
  <si>
    <t>GDE.Q.EY.RS</t>
  </si>
  <si>
    <t>GDP - Expenditure (Real $m s.a.)</t>
  </si>
  <si>
    <t>GDP-Expenditure (Real $m s.a.)</t>
  </si>
  <si>
    <t>GDE.Q.EY.rsq</t>
  </si>
  <si>
    <t>GDP - Expenditure (Real q/q% s.a.)</t>
  </si>
  <si>
    <t>GDP-Expenditure (Real q/q% s.a.)</t>
  </si>
  <si>
    <t>GDE.Q.EY.ray</t>
  </si>
  <si>
    <t>GDP - Expenditure (Real y/y%)</t>
  </si>
  <si>
    <t>GDP-Expenditure (Real y/y%)</t>
  </si>
  <si>
    <t>GDE.Q.EC1.NA</t>
  </si>
  <si>
    <t>Private Consumption (Nominal $m))</t>
  </si>
  <si>
    <t>Consumption expenditureNominal $m)</t>
  </si>
  <si>
    <t>Consumption expenditure</t>
  </si>
  <si>
    <t>Private Consumption (Nominal $m)</t>
  </si>
  <si>
    <t>GDE.Q.EC1.NS</t>
  </si>
  <si>
    <t>Private Consumption (Nominal $m s.a.)</t>
  </si>
  <si>
    <t>Consumption expenditureNominal $m s.a.</t>
  </si>
  <si>
    <t>GDE.Q.EC1.nsq</t>
  </si>
  <si>
    <t>Private Consumption (Nominal q/q% s.a.)</t>
  </si>
  <si>
    <t>Consumption expenditureNominal q/q% s.a.</t>
  </si>
  <si>
    <t>GDE.Q.EC1.nay</t>
  </si>
  <si>
    <t>Private Consumption (Nominal y/y%)</t>
  </si>
  <si>
    <t>Consumption expenditureNominal y/y%</t>
  </si>
  <si>
    <t>Private Consumption (Real $m)</t>
  </si>
  <si>
    <t>Consumption expenditureReal $m</t>
  </si>
  <si>
    <t>Private Consumption (Real $m s.a.)</t>
  </si>
  <si>
    <t>Consumption expenditureReal $m s.a.</t>
  </si>
  <si>
    <t>Private Consumption (Real q/q% s.a.)</t>
  </si>
  <si>
    <t>Consumption expenditureReal q/q% s.a.</t>
  </si>
  <si>
    <t>Private Consumption (Real y/y%)</t>
  </si>
  <si>
    <t>Consumption expenditureReal y/y%</t>
  </si>
  <si>
    <t>GDE.Q.EG13.NA</t>
  </si>
  <si>
    <t>Government Consumption (Nominal $m)</t>
  </si>
  <si>
    <t>Consumption expenditureNominal $m</t>
  </si>
  <si>
    <t>GDE.Q.EG13.NS</t>
  </si>
  <si>
    <t>Government Consumption (Nominal $m s.a.)</t>
  </si>
  <si>
    <t>GDE.Q.EG13.nsq</t>
  </si>
  <si>
    <t>Government Consumption (Nominal q/q% s.a.)</t>
  </si>
  <si>
    <t>GDE.Q.EG13.nay</t>
  </si>
  <si>
    <t>Government Consumption (Nominal y/y%)</t>
  </si>
  <si>
    <t>Government Consumption (Real $m)</t>
  </si>
  <si>
    <t>Government Consumption (Real $m s.a.)</t>
  </si>
  <si>
    <t>Government Consumption (Real q/q% s.a.)</t>
  </si>
  <si>
    <t>Government Consumption (Real y/y%)</t>
  </si>
  <si>
    <t>GDE.Q.EI23.NA</t>
  </si>
  <si>
    <t>Change in inventories (Nominal $m)</t>
  </si>
  <si>
    <t>Change in inventoriesNominal $m</t>
  </si>
  <si>
    <t>GDE.Q.EI23.NS</t>
  </si>
  <si>
    <t>Change in inventories (Nominal $m s.a.)</t>
  </si>
  <si>
    <t>Change in inventoriesNominal $m s.a.</t>
  </si>
  <si>
    <t>Change in inventories (Real $m)</t>
  </si>
  <si>
    <t>Change in inventoriesReal $m</t>
  </si>
  <si>
    <t>Change in inventories (Real $m s.a.)</t>
  </si>
  <si>
    <t>Change in inventoriesReal $m s.a.</t>
  </si>
  <si>
    <t>GDE.Q.EI24.NA</t>
  </si>
  <si>
    <t>GFCF - Residential (Nominal $m)</t>
  </si>
  <si>
    <t>Gross fixed capital formationNominal $m</t>
  </si>
  <si>
    <t>GDE.Q.EI24.NS</t>
  </si>
  <si>
    <t>GFCF - Residential (Nominal $m s.a.)</t>
  </si>
  <si>
    <t>Gross fixed capital formationNominal $m s.a.</t>
  </si>
  <si>
    <t>GDE.Q.EI24.nsq</t>
  </si>
  <si>
    <t>GFCF - Residential (Nominal q/q% s.a.)</t>
  </si>
  <si>
    <t>Gross fixed capital formationNominal q/q% s.a.</t>
  </si>
  <si>
    <t>GDE.Q.EI24.nay</t>
  </si>
  <si>
    <t>GFCF - Residential (Nominal y/y%)</t>
  </si>
  <si>
    <t>Gross fixed capital formationNominal y/y%</t>
  </si>
  <si>
    <t>GFCF - Residential (Real $m)</t>
  </si>
  <si>
    <t>Gross fixed capital formationReal $m</t>
  </si>
  <si>
    <t>GFCF - Residential (Real $m s.a.)</t>
  </si>
  <si>
    <t>Gross fixed capital formationReal $m s.a.</t>
  </si>
  <si>
    <t>GFCF - Residential (Real q/q% s.a.)</t>
  </si>
  <si>
    <t>Gross fixed capital formationReal q/q% s.a.</t>
  </si>
  <si>
    <t>GFCF - Residential (Real y/y%)</t>
  </si>
  <si>
    <t>Gross fixed capital formationReal y/y%</t>
  </si>
  <si>
    <t>GDE.Q.EI25.NA</t>
  </si>
  <si>
    <t>GFCF - Other Fixed Assets (Nominal $m)</t>
  </si>
  <si>
    <t>GFCF - Other (Nominal $m)</t>
  </si>
  <si>
    <t>GDE.Q.EI25.NS</t>
  </si>
  <si>
    <t>GFCF - Other Fixed Assets (Nominal $m s.a.)</t>
  </si>
  <si>
    <t>GFCF - Other (Nominal $m s.a.)</t>
  </si>
  <si>
    <t>GDE.Q.EI25.nsq</t>
  </si>
  <si>
    <t>GFCF - Other Fixed Assets (Nominal q/q% s.a.)</t>
  </si>
  <si>
    <t>GFCF - Other (Nominal q/q% s.a.)</t>
  </si>
  <si>
    <t>GDE.Q.EI25.nay</t>
  </si>
  <si>
    <t>GFCF - Other Fixed Assets (Nominal y/y%)</t>
  </si>
  <si>
    <t>GFCF - Other (Nominal y/y%)</t>
  </si>
  <si>
    <t>GFCF - Other Fixed Assets (Real $m)</t>
  </si>
  <si>
    <t>GFCF - Other (Real $m)</t>
  </si>
  <si>
    <t>GFCF - Other Fixed Assets (Real $m s.a.)</t>
  </si>
  <si>
    <t>GFCF - Other (Real $m s.a.)</t>
  </si>
  <si>
    <t>GFCF - Other Fixed Assets (Real q/q% s.a.)</t>
  </si>
  <si>
    <t>GFCF - Other (Real q/q% s.a.)</t>
  </si>
  <si>
    <t>GFCF - Other Fixed Assets (Real y/y%)</t>
  </si>
  <si>
    <t>GFCF - Other (Real y/y%)</t>
  </si>
  <si>
    <t>GDE.Q.EY1.NA</t>
  </si>
  <si>
    <t>GNE (Nominal $m)</t>
  </si>
  <si>
    <t>GNE  (Nominal $m)</t>
  </si>
  <si>
    <t>GDE.Q.EY1.NS</t>
  </si>
  <si>
    <t>GNE (Nominal $m s.a.)</t>
  </si>
  <si>
    <t>GNE  (Nominal $m s.a.)</t>
  </si>
  <si>
    <t>GDE.Q.EY1.nsq</t>
  </si>
  <si>
    <t>GNE (Nominal q/q% s.a.)</t>
  </si>
  <si>
    <t>GNE  (Nominal q/q% s.a.)</t>
  </si>
  <si>
    <t>GDE.Q.EY1.nay</t>
  </si>
  <si>
    <t>GNE (Nominal y/y%)</t>
  </si>
  <si>
    <t>GNE  (Nominal y/y%)</t>
  </si>
  <si>
    <t>GDE.Q.EY1.RA</t>
  </si>
  <si>
    <t>GNE (Real $m)</t>
  </si>
  <si>
    <t>GNE  (Real $m)</t>
  </si>
  <si>
    <t>GDE.Q.EY1.RS</t>
  </si>
  <si>
    <t>GNE (Real $m s.a.)</t>
  </si>
  <si>
    <t>GNE  (Real $m s.a.)</t>
  </si>
  <si>
    <t>GDE.Q.EY1.rsq</t>
  </si>
  <si>
    <t>GNE (Real q/q% s.a.)</t>
  </si>
  <si>
    <t>GNE  (Real q/q% s.a.)</t>
  </si>
  <si>
    <t>GDE.Q.EY1.ray</t>
  </si>
  <si>
    <t>GNE (Real y/y%)</t>
  </si>
  <si>
    <t>GNE  (Real y/y%)</t>
  </si>
  <si>
    <t>GDE.Q.EX.NA</t>
  </si>
  <si>
    <t>Export of G&amp;S (Nominal $m)</t>
  </si>
  <si>
    <t>Import/Export of G&amp;SNominal $m</t>
  </si>
  <si>
    <t>Import/Export of G&amp;S</t>
  </si>
  <si>
    <t>Exports G&amp;S (Nominal $m)</t>
  </si>
  <si>
    <t>GDE.Q.EX.NS</t>
  </si>
  <si>
    <t>Export of G&amp;S (Nominal $m s.a.)</t>
  </si>
  <si>
    <t>Import/Export of G&amp;SNominal $m s.a.</t>
  </si>
  <si>
    <t>Exports G&amp;S (Nominal $m s.a.)</t>
  </si>
  <si>
    <t>GDE.Q.EX.nsq</t>
  </si>
  <si>
    <t>Export of G&amp;S (Nominal q/q% s.a.)</t>
  </si>
  <si>
    <t>Import/Export of G&amp;SNominal q/q% s.a.</t>
  </si>
  <si>
    <t>Exports G&amp;S (Nominal q/q% s.a.)</t>
  </si>
  <si>
    <t>GDE.Q.EX.nay</t>
  </si>
  <si>
    <t>Export of G&amp;S (Nominal y/y%)</t>
  </si>
  <si>
    <t>Import/Export of G&amp;SNominal y/y%</t>
  </si>
  <si>
    <t>Exports G&amp;S (Nominal y/y%)</t>
  </si>
  <si>
    <t>GDE.Q.EX.RA</t>
  </si>
  <si>
    <t>Export of G&amp;S (Real $m)</t>
  </si>
  <si>
    <t>Import/Export of G&amp;SReal $m</t>
  </si>
  <si>
    <t>Exports G&amp;S (Real $m)</t>
  </si>
  <si>
    <t>GDE.Q.EX.RS</t>
  </si>
  <si>
    <t>Export of G&amp;S (Real $m s.a.)</t>
  </si>
  <si>
    <t>Import/Export of G&amp;SReal $m s.a.</t>
  </si>
  <si>
    <t>Exports G&amp;S (Real $m s.a.)</t>
  </si>
  <si>
    <t>GDE.Q.EX.rsq</t>
  </si>
  <si>
    <t>Export of G&amp;S (Real q/q% s.a.)</t>
  </si>
  <si>
    <t>Import/Export of G&amp;SReal q/q% s.a.</t>
  </si>
  <si>
    <t>Exports G&amp;S (Real q/q% s.a.)</t>
  </si>
  <si>
    <t>GDE.Q.EX.ray</t>
  </si>
  <si>
    <t>Export of G&amp;S (Real y/y%)</t>
  </si>
  <si>
    <t>Import/Export of G&amp;SReal y/y%</t>
  </si>
  <si>
    <t>Exports G&amp;S (Real y/y%)</t>
  </si>
  <si>
    <t>GDE.Q.EM.NA</t>
  </si>
  <si>
    <t>Import of G&amp;S (Nominal $m)</t>
  </si>
  <si>
    <t>Import G&amp;S (Nominal $m)</t>
  </si>
  <si>
    <t>GDE.Q.EM.NS</t>
  </si>
  <si>
    <t>Import of G&amp;S (Nominal $m s.a.)</t>
  </si>
  <si>
    <t>Import G&amp;S (Nominal $m s.a.)</t>
  </si>
  <si>
    <t>GDE.Q.EM.nsq</t>
  </si>
  <si>
    <t>Import of G&amp;S (Nominal q/q% s.a.)</t>
  </si>
  <si>
    <t>Import G&amp;S (Nominal q/q% s.a.)</t>
  </si>
  <si>
    <t>GDE.Q.EM.nay</t>
  </si>
  <si>
    <t>Import of G&amp;S (Nominal y/y%)</t>
  </si>
  <si>
    <t>Import G&amp;S (Nominal y/y%)</t>
  </si>
  <si>
    <t>GDE.Q.EM.RA</t>
  </si>
  <si>
    <t>Import of G&amp;S (Real $m)</t>
  </si>
  <si>
    <t>Import G&amp;S (Real $m)</t>
  </si>
  <si>
    <t>GDE.Q.EM.RS</t>
  </si>
  <si>
    <t>Import of G&amp;S (Real $m s.a.)</t>
  </si>
  <si>
    <t>Import G&amp;S (Real $m s.a.)</t>
  </si>
  <si>
    <t>GDE.Q.EM.rsq</t>
  </si>
  <si>
    <t>Import of G&amp;S (Real q/q% s.a.)</t>
  </si>
  <si>
    <t>Import G&amp;S (Real q/q% s.a.)</t>
  </si>
  <si>
    <t>GDE.Q.EM.ray</t>
  </si>
  <si>
    <t>Import of G&amp;S (Real y/y%)</t>
  </si>
  <si>
    <t>Import G&amp;S (Real y/y%)</t>
  </si>
  <si>
    <t>hm6</t>
  </si>
  <si>
    <t>NATF.Y.D04.na</t>
  </si>
  <si>
    <t>National</t>
  </si>
  <si>
    <t>Saving ($m)</t>
  </si>
  <si>
    <t>teal_dark</t>
  </si>
  <si>
    <t>Bar</t>
  </si>
  <si>
    <t>ISAA.Y.I12.na</t>
  </si>
  <si>
    <t>Businesses</t>
  </si>
  <si>
    <t>teal_base</t>
  </si>
  <si>
    <t>ISAF.Y.I13.na</t>
  </si>
  <si>
    <t>Financial intermediaries</t>
  </si>
  <si>
    <t>teal_lite</t>
  </si>
  <si>
    <t>ISAG.Y.I13.na</t>
  </si>
  <si>
    <t>General government</t>
  </si>
  <si>
    <t>gold_lite</t>
  </si>
  <si>
    <t>ISAJ.Y.I12.na</t>
  </si>
  <si>
    <t>Non-profit institutions serving households</t>
  </si>
  <si>
    <t>navy_lite</t>
  </si>
  <si>
    <t>ISAK.Y.I10.na</t>
  </si>
  <si>
    <t>Households</t>
  </si>
  <si>
    <t>navy_base</t>
  </si>
  <si>
    <t>ISAK.Y.I18.na</t>
  </si>
  <si>
    <t>Household saving rate (%)</t>
  </si>
  <si>
    <t>ruby_base</t>
  </si>
  <si>
    <t>hm7</t>
  </si>
  <si>
    <t>OTIT.Q.U1T.iaq</t>
  </si>
  <si>
    <t>Terms of Trade</t>
  </si>
  <si>
    <t>Terms of Trade (q/q%)</t>
  </si>
  <si>
    <t>(q/q%)</t>
  </si>
  <si>
    <t>OTIT.Q.U1T.iay</t>
  </si>
  <si>
    <t>Terms of Trade (y/y%)</t>
  </si>
  <si>
    <t>(y/y%)</t>
  </si>
  <si>
    <t>BOPR.Q.TJ101.na</t>
  </si>
  <si>
    <t>Current account balance to GDP ratio (%)</t>
  </si>
  <si>
    <t>BOPR.Q.TJ102.na</t>
  </si>
  <si>
    <t>Net international investment position to GDP ratio (%)</t>
  </si>
  <si>
    <t>International Investment Position (NZD millions)</t>
  </si>
  <si>
    <t>BOP.Q.TB2.na</t>
  </si>
  <si>
    <t>Balance on goods</t>
  </si>
  <si>
    <t>Balance of Payments</t>
  </si>
  <si>
    <t>BOP.Q.TB3.na</t>
  </si>
  <si>
    <t>Balance on services</t>
  </si>
  <si>
    <t>BOP.Q.TB5.na</t>
  </si>
  <si>
    <t>Balance on primary income</t>
  </si>
  <si>
    <t>BOP.Q.TB6.na</t>
  </si>
  <si>
    <t>Balance on secondary income</t>
  </si>
  <si>
    <t>BOP.Q.TB1.na</t>
  </si>
  <si>
    <t>Current account balance</t>
  </si>
  <si>
    <t>Balance of Payments (Total)</t>
  </si>
  <si>
    <t>IIPA.Q.AP1.na</t>
  </si>
  <si>
    <t>International assets</t>
  </si>
  <si>
    <t>International Investment Position</t>
  </si>
  <si>
    <t>IIPA.Q.LP2.na</t>
  </si>
  <si>
    <t>International liabilities</t>
  </si>
  <si>
    <t>IIP.Q.TA.NA</t>
  </si>
  <si>
    <t>Net international investment position (IIP)</t>
  </si>
  <si>
    <t>OTIT.Q.U1T.ia</t>
  </si>
  <si>
    <t>Terms of Trade (Index)</t>
  </si>
  <si>
    <t>(Index)</t>
  </si>
  <si>
    <t>hm8</t>
  </si>
  <si>
    <t>OTIX.Q.UA.ns</t>
  </si>
  <si>
    <t>Export values $m s.a.</t>
  </si>
  <si>
    <t>Values ($m s.a.)</t>
  </si>
  <si>
    <t>Export</t>
  </si>
  <si>
    <t>OTIM.Q.UA.ns</t>
  </si>
  <si>
    <t>Import values $m s.a.</t>
  </si>
  <si>
    <t>Import</t>
  </si>
  <si>
    <t>OTIX.Q.UA.na</t>
  </si>
  <si>
    <t>Export values $m</t>
  </si>
  <si>
    <t>Values ($m)</t>
  </si>
  <si>
    <t>OTIM.Q.UA.na</t>
  </si>
  <si>
    <t>Import values $m</t>
  </si>
  <si>
    <t>OTIX.Q.UA.nsq</t>
  </si>
  <si>
    <t>Export values q/q% s.a.</t>
  </si>
  <si>
    <t>Values (q/q% s.a.)</t>
  </si>
  <si>
    <t>OTIM.Q.UA.nsq</t>
  </si>
  <si>
    <t>Import values q/q% s.a.</t>
  </si>
  <si>
    <t>OTIX.Q.UA.nay</t>
  </si>
  <si>
    <t>Export values y/y%</t>
  </si>
  <si>
    <t>Values (y/y%)</t>
  </si>
  <si>
    <t>OTIM.Q.UA.nay</t>
  </si>
  <si>
    <t>Import values y/y%</t>
  </si>
  <si>
    <t>OTIX.Q.U1A.ia</t>
  </si>
  <si>
    <t>Export prices Index</t>
  </si>
  <si>
    <t>Prices (Index)</t>
  </si>
  <si>
    <t>OTIM.Q.U1A.ia</t>
  </si>
  <si>
    <t>Import prices Index</t>
  </si>
  <si>
    <t>OTIX.Q.U1A.iaq</t>
  </si>
  <si>
    <t>Export prices q/q%</t>
  </si>
  <si>
    <t>Prices (q/q%)</t>
  </si>
  <si>
    <t>OTIM.Q.U1A.iaq</t>
  </si>
  <si>
    <t>Import prices q/q%</t>
  </si>
  <si>
    <t>OTIX.Q.U1A.iay</t>
  </si>
  <si>
    <t>Export prices y/y%</t>
  </si>
  <si>
    <t>Prices (y/y%)</t>
  </si>
  <si>
    <t>OTIM.Q.U1A.iay</t>
  </si>
  <si>
    <t>Import prices y/y%</t>
  </si>
  <si>
    <t>OTIX.Q.U2A.ia</t>
  </si>
  <si>
    <t>Export volumes Index</t>
  </si>
  <si>
    <t>Volumes (Index)</t>
  </si>
  <si>
    <t>OTIM.Q.U2A.ia</t>
  </si>
  <si>
    <t>Import volumes Index</t>
  </si>
  <si>
    <t>OTIX.Q.U2A.isq</t>
  </si>
  <si>
    <t>Export volumes q/q% s.a.</t>
  </si>
  <si>
    <t>Volumes (q/q% s.a.)</t>
  </si>
  <si>
    <t>OTIM.Q.U2A.isq</t>
  </si>
  <si>
    <t>Import volumes q/q% s.a.</t>
  </si>
  <si>
    <t>OTIX.Q.U2A.iay</t>
  </si>
  <si>
    <t>Export volumes y/y%</t>
  </si>
  <si>
    <t>Volumes (y/y%)</t>
  </si>
  <si>
    <t>OTIM.Q.U2A.iay</t>
  </si>
  <si>
    <t>Import volumes y/y%</t>
  </si>
  <si>
    <t>OTIX.Q.U2A.is</t>
  </si>
  <si>
    <t>Export volumes Index s.a.</t>
  </si>
  <si>
    <t>Volumes (Index s.a.)</t>
  </si>
  <si>
    <t>Index s.a.</t>
  </si>
  <si>
    <t>OTIM.Q.U2A.is</t>
  </si>
  <si>
    <t>Import volumes Index s.a.</t>
  </si>
  <si>
    <t>hm9</t>
  </si>
  <si>
    <t>HLFS.Q.L05G001.ns</t>
  </si>
  <si>
    <t>Labour force participation rate	 - % s.a.</t>
  </si>
  <si>
    <t>Labour Force % s.a.</t>
  </si>
  <si>
    <t>Labour force participation rate</t>
  </si>
  <si>
    <t>Total %</t>
  </si>
  <si>
    <t>HLFS.Q.L06G001.ns</t>
  </si>
  <si>
    <t>Unemployment rate	 - % s.a.</t>
  </si>
  <si>
    <t>Unemployment % s.a.</t>
  </si>
  <si>
    <t>Unemployment rate</t>
  </si>
  <si>
    <t>HLFS.Q.L04G001.ns</t>
  </si>
  <si>
    <t>Not in labour force - 000s s.a.</t>
  </si>
  <si>
    <t>Not in labour force</t>
  </si>
  <si>
    <t>000s s.a.</t>
  </si>
  <si>
    <t>000s</t>
  </si>
  <si>
    <t>000's</t>
  </si>
  <si>
    <t>HLFS.Q.L07G001.ns</t>
  </si>
  <si>
    <t>Working-age population - 000s s.a.</t>
  </si>
  <si>
    <t>Working-age population</t>
  </si>
  <si>
    <t>LCI.Q.W1S0T0.ia</t>
  </si>
  <si>
    <t>Labour cost index (LCI) - Index</t>
  </si>
  <si>
    <t>LCI Index</t>
  </si>
  <si>
    <t>Labour cost index (LCI)</t>
  </si>
  <si>
    <t>LCI.Q.W1S0T0.iay</t>
  </si>
  <si>
    <t>Labour cost index (LCI) - y/y%</t>
  </si>
  <si>
    <t>LCI y/y%</t>
  </si>
  <si>
    <t>HLFS.Q.L04G001.nay</t>
  </si>
  <si>
    <t>Not in labour force - y/y%</t>
  </si>
  <si>
    <t>Not in Labour Force y/y%</t>
  </si>
  <si>
    <t>HLFS.Q.L07G001.nay</t>
  </si>
  <si>
    <t>Working-age population - y/y%</t>
  </si>
  <si>
    <t>Working-age population %</t>
  </si>
  <si>
    <t>HLFS.Q.L01G001.nay</t>
  </si>
  <si>
    <t>Labour force - Employed (y/y%)</t>
  </si>
  <si>
    <t>Employed (y/y%)</t>
  </si>
  <si>
    <t>Labour force</t>
  </si>
  <si>
    <t>HLFS.Q.L02G001.nay</t>
  </si>
  <si>
    <t>Labour force - Unemployed (y/y%)</t>
  </si>
  <si>
    <t>Unemployed (y/y%)</t>
  </si>
  <si>
    <t>HLFS.Q.L03G001.nay</t>
  </si>
  <si>
    <t>Labour force - Total (y/y%)</t>
  </si>
  <si>
    <t>Total (y/y%)</t>
  </si>
  <si>
    <t>HLFS.Q.L01G001.ns</t>
  </si>
  <si>
    <t>Labour force - Employed (000s s.a.)</t>
  </si>
  <si>
    <t>Employed (000s s.a.)</t>
  </si>
  <si>
    <t>HLFS.Q.L02G001.ns</t>
  </si>
  <si>
    <t>Labour force - Unemployed (000s s.a.)</t>
  </si>
  <si>
    <t>Unemployed (000s s.a.)</t>
  </si>
  <si>
    <t>HLFS.Q.L03G001.ns</t>
  </si>
  <si>
    <t>Labour force - Total (000s s.a.)</t>
  </si>
  <si>
    <t>Labour Force (000s s.a.)</t>
  </si>
  <si>
    <t>Total (000s s.a.)</t>
  </si>
  <si>
    <t>QESS21.Q.E03S2.na</t>
  </si>
  <si>
    <t>Private sector wages - $</t>
  </si>
  <si>
    <t>Private sector wages $</t>
  </si>
  <si>
    <t>Private sector wages</t>
  </si>
  <si>
    <t>QESS21.Q.E03S2.naq</t>
  </si>
  <si>
    <t>Private sector wages - q/q%</t>
  </si>
  <si>
    <t>QESS21.Q.E03S2.nay</t>
  </si>
  <si>
    <t>Private sector wages - y/y%</t>
  </si>
  <si>
    <t>QESS21.Q.E03S1.na</t>
  </si>
  <si>
    <t>Public sector wages - $</t>
  </si>
  <si>
    <t>Public sector wages</t>
  </si>
  <si>
    <t>QESS21.Q.E03S1.naq</t>
  </si>
  <si>
    <t>Public sector wages - q/q%</t>
  </si>
  <si>
    <t>QESS21.Q.E03S1.nay</t>
  </si>
  <si>
    <t>Public sector wages - y/y%</t>
  </si>
  <si>
    <t>QESS21.Q.E03S0.na</t>
  </si>
  <si>
    <t>Average hourly earnings (ordinary time and overtime)	 - $</t>
  </si>
  <si>
    <t>Hourly Earnings $</t>
  </si>
  <si>
    <t>Average hourly earnings (ordinary time and overtime)</t>
  </si>
  <si>
    <t>QESS21.Q.E03S0.naq</t>
  </si>
  <si>
    <t>Average hourly earnings (ordinary time and overtime)	 - q/q%</t>
  </si>
  <si>
    <t>Hourly Earnings q/q%</t>
  </si>
  <si>
    <t>QESS21.Q.E03S0.nay</t>
  </si>
  <si>
    <t>Average hourly earnings (ordinary time and overtime)	 - y/y%</t>
  </si>
  <si>
    <t>Hourly Earnings y/y%</t>
  </si>
  <si>
    <t>hm10</t>
  </si>
  <si>
    <t>QVB.Q.MR0H01.na</t>
  </si>
  <si>
    <t>House sales</t>
  </si>
  <si>
    <t>no</t>
  </si>
  <si>
    <t>navyspread</t>
  </si>
  <si>
    <t>House price index (HPI)</t>
  </si>
  <si>
    <t>HHAL.QC1</t>
  </si>
  <si>
    <t>Total value of housing stock</t>
  </si>
  <si>
    <t>Residential investment (GDP)</t>
  </si>
  <si>
    <t>NZDm (r.)</t>
  </si>
  <si>
    <t>hm14</t>
  </si>
  <si>
    <t>SOE.Q.E100.na</t>
  </si>
  <si>
    <t>Perception of monetary conditions (net) - End of current quarter</t>
  </si>
  <si>
    <t>Perception of monetary conditions (net)</t>
  </si>
  <si>
    <t>SOE.Q.E101.na</t>
  </si>
  <si>
    <t>Perception of monetary conditions (net) - Next quarter</t>
  </si>
  <si>
    <t>SOE.Q.E102.na</t>
  </si>
  <si>
    <t>Perception of monetary conditions (net) - 1 year out</t>
  </si>
  <si>
    <t>SOE.Q.E210.na</t>
  </si>
  <si>
    <t>Annual CPI growth - 1 year out</t>
  </si>
  <si>
    <t>Annual CPI growth</t>
  </si>
  <si>
    <t>SOE.Q.E215.na</t>
  </si>
  <si>
    <t>Annual CPI growth - 2 years out</t>
  </si>
  <si>
    <t>SOE.Q.E220.na</t>
  </si>
  <si>
    <t>Annual CPI growth - 5 years out</t>
  </si>
  <si>
    <t>SOE.Q.E230.na</t>
  </si>
  <si>
    <t>Annual CPI growth - 10 years out</t>
  </si>
  <si>
    <t>SOE.Q.E350.na</t>
  </si>
  <si>
    <t>Official Cash Rate (OCR) - End of current quarter</t>
  </si>
  <si>
    <t>SOE.Q.E351.na</t>
  </si>
  <si>
    <t>Official Cash Rate (OCR) - 1 year out</t>
  </si>
  <si>
    <t>SOE.Q.E353.na</t>
  </si>
  <si>
    <t>Official Cash Rate (OCR) - 10 years out</t>
  </si>
  <si>
    <t>SOE.Q.E356.na</t>
  </si>
  <si>
    <t>Official Cash Rate (OCR) - 10 year average</t>
  </si>
  <si>
    <t>SOE.Q.E310.na</t>
  </si>
  <si>
    <t>10 year government bond yields - End of current quarter</t>
  </si>
  <si>
    <t>10 year government bond yields</t>
  </si>
  <si>
    <t>SOE.Q.E311.na</t>
  </si>
  <si>
    <t>10 year government bond yields - 1 year out</t>
  </si>
  <si>
    <t>SOE.Q.E402.ra</t>
  </si>
  <si>
    <t>Annual GDP growth - 1 year out</t>
  </si>
  <si>
    <t>Annual GDP growth</t>
  </si>
  <si>
    <t>SOE.Q.E403.ra</t>
  </si>
  <si>
    <t>Annual GDP growth - 2 years out</t>
  </si>
  <si>
    <t>SOE.Q.E460.na</t>
  </si>
  <si>
    <t>Annual hourly wage growth - 1 year out</t>
  </si>
  <si>
    <t>Annual hourly wage growth</t>
  </si>
  <si>
    <t>SOE.Q.E461.na</t>
  </si>
  <si>
    <t>Annual hourly wage growth - 2 years out</t>
  </si>
  <si>
    <t>SOE.Q.E470.na</t>
  </si>
  <si>
    <t>Unemployment rate - 1 year out</t>
  </si>
  <si>
    <t>SOE.Q.E471.na</t>
  </si>
  <si>
    <t>Unemployment rate - 2 years out</t>
  </si>
  <si>
    <t>SOE.Q.E320.na</t>
  </si>
  <si>
    <t>US dollar exchange rate - Next quarter</t>
  </si>
  <si>
    <t>US dollar exchange rate</t>
  </si>
  <si>
    <t>SOE.Q.E321.na</t>
  </si>
  <si>
    <t>US dollar exchange rate - 1 year out</t>
  </si>
  <si>
    <t>SOE.Q.E330.na</t>
  </si>
  <si>
    <t>Australian dollar exchange rate - Next quarter</t>
  </si>
  <si>
    <t>Australian dollar exchange rate</t>
  </si>
  <si>
    <t>SOE.Q.E331.na</t>
  </si>
  <si>
    <t>Australian dollar exchange rate - 1 year out</t>
  </si>
  <si>
    <t>SOE.Q.E480.na</t>
  </si>
  <si>
    <t>House price index - 1 year out</t>
  </si>
  <si>
    <t>House price index</t>
  </si>
  <si>
    <t>SOE.Q.E481.na</t>
  </si>
  <si>
    <t>House price index - 2 years out</t>
  </si>
  <si>
    <t>hs32</t>
  </si>
  <si>
    <t>BSPA.MAM2A4.P1</t>
  </si>
  <si>
    <t>Owner occupier property use</t>
  </si>
  <si>
    <t>Use</t>
  </si>
  <si>
    <t>BSPA.MAM2A4.P1H1</t>
  </si>
  <si>
    <t>Interest only</t>
  </si>
  <si>
    <t>Type</t>
  </si>
  <si>
    <t>BSPA.MAM2A4.P1H2</t>
  </si>
  <si>
    <t>Revolving credit</t>
  </si>
  <si>
    <t>BSPA.MAM2A4.P1H3</t>
  </si>
  <si>
    <t>Principal &amp; interest</t>
  </si>
  <si>
    <t>BSPA.MAM2A4.P1H6</t>
  </si>
  <si>
    <t>Other</t>
  </si>
  <si>
    <t>BSPA.MAM3A4.P1</t>
  </si>
  <si>
    <t>Residential investor property use</t>
  </si>
  <si>
    <t>BSPA.MAM3A4.P1N1</t>
  </si>
  <si>
    <t>BSPA.MAM3A4.P1N2</t>
  </si>
  <si>
    <t>BSPA.MAM3A4.P1N3</t>
  </si>
  <si>
    <t>BSPA.MAM3A4.P1N9</t>
  </si>
  <si>
    <t>BSPAS.MAN1A4.P2</t>
  </si>
  <si>
    <t>Personal consumer loans</t>
  </si>
  <si>
    <t>BSPA.MAN1A4.P2C1</t>
  </si>
  <si>
    <t>Overdrafts</t>
  </si>
  <si>
    <t>BSPA.MAN1A4.P2C2</t>
  </si>
  <si>
    <t>Credit cards</t>
  </si>
  <si>
    <t>BSPA.MAN1A4.P2C3</t>
  </si>
  <si>
    <t>Term loans</t>
  </si>
  <si>
    <t>BSPA.MAN1A4.P2C9</t>
  </si>
  <si>
    <t>BSPAS.MALA4.P3</t>
  </si>
  <si>
    <t>Business loans</t>
  </si>
  <si>
    <t>BSPA.MALA4.P3N1</t>
  </si>
  <si>
    <t>BSPA.MALA4.P3N2</t>
  </si>
  <si>
    <t>BSPA.MALA4.P3N3</t>
  </si>
  <si>
    <t>BSPA.MALA4.P3N6</t>
  </si>
  <si>
    <t>BSPAS.MALA4.P4ZA</t>
  </si>
  <si>
    <t>Agriculture loans</t>
  </si>
  <si>
    <t>BSPA.MALA4.P4N1A</t>
  </si>
  <si>
    <t>BSPA.MALA4.P4N2A</t>
  </si>
  <si>
    <t>BSPA.MALA4.P4N3A</t>
  </si>
  <si>
    <t>BSPA.MALA4.P4N6A</t>
  </si>
  <si>
    <t>BSPA.MALA4.P5</t>
  </si>
  <si>
    <t>Financial institutions loans</t>
  </si>
  <si>
    <t>BSPA.MALA4.P5N1</t>
  </si>
  <si>
    <t>BSPA.MALA4.P5N2</t>
  </si>
  <si>
    <t>BSPA.MALA4.P5N3</t>
  </si>
  <si>
    <t>BSPA.MALA4.P5N6</t>
  </si>
  <si>
    <t>BSPA.MALA4.P9</t>
  </si>
  <si>
    <t>Other loans</t>
  </si>
  <si>
    <t>BSPA.MALA4.P9N1</t>
  </si>
  <si>
    <t>BSPA.MALA4.P9N2</t>
  </si>
  <si>
    <t>BSPA.MALA4.P9N3</t>
  </si>
  <si>
    <t>BSPA.MALA4.P9N6</t>
  </si>
  <si>
    <t>fuel</t>
  </si>
  <si>
    <t>USD per Barrel</t>
  </si>
  <si>
    <t>NZD per Barrel</t>
  </si>
  <si>
    <t>adp</t>
  </si>
  <si>
    <t>Available monthly stay unit capacity</t>
  </si>
  <si>
    <t>Average guests per stay unit night</t>
  </si>
  <si>
    <t>Average nights stayed per guest</t>
  </si>
  <si>
    <t>Average stay units per establishment</t>
  </si>
  <si>
    <t>Capacity utilisation rate (%)</t>
  </si>
  <si>
    <t>Domestic guest nights</t>
  </si>
  <si>
    <t>Guest arrivals</t>
  </si>
  <si>
    <t>International guest nights</t>
  </si>
  <si>
    <t>Monthly stay unit capacity</t>
  </si>
  <si>
    <t>Number of active establishments</t>
  </si>
  <si>
    <t>Number of establishments</t>
  </si>
  <si>
    <t>Number of stay units</t>
  </si>
  <si>
    <t>Occupancy rate (%)</t>
  </si>
  <si>
    <t>Percentage of stay unit capacity available (%)</t>
  </si>
  <si>
    <t>Proportion of domestic guests (%)</t>
  </si>
  <si>
    <t>Proportion of international guests (%)</t>
  </si>
  <si>
    <t>Stay unit nights occupied</t>
  </si>
  <si>
    <t>Total guest nights</t>
  </si>
  <si>
    <t>bond</t>
  </si>
  <si>
    <t>Lodged Bonds</t>
  </si>
  <si>
    <t>Active Bonds</t>
  </si>
  <si>
    <t>Closed Bonds</t>
  </si>
  <si>
    <t>Median Rent</t>
  </si>
  <si>
    <t>Geometric Mean Rent</t>
  </si>
  <si>
    <t>Upper Quartile Rent</t>
  </si>
  <si>
    <t>Lower Quartile Rent</t>
  </si>
  <si>
    <t>Log Std Dev Weekly Rent</t>
  </si>
  <si>
    <t>border</t>
  </si>
  <si>
    <t>Arrivals</t>
  </si>
  <si>
    <t>-</t>
  </si>
  <si>
    <t>NDM01</t>
  </si>
  <si>
    <t>All house types</t>
  </si>
  <si>
    <t>VALUE</t>
  </si>
  <si>
    <t>Single house</t>
  </si>
  <si>
    <t>Stack</t>
  </si>
  <si>
    <t>Scheme house</t>
  </si>
  <si>
    <t>Apartment</t>
  </si>
  <si>
    <t>"Class_1": "Residential consents"</t>
  </si>
  <si>
    <t>"Class_1": "Gross fixed capital formation"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</si>
</sst>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color theme="1"/>
      <name val="Arial"/>
      <family val="2"/>
    </font>
    <font>
      <sz val="8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C2B0-13F4-4AA9-82F0-D78FAEDE6409}">
  <sheetPr filterMode="1"/>
  <dimension ref="A1:M385"/>
  <sheetViews>
    <sheetView tabSelected="1" workbookViewId="0">
      <selection activeCell="H293" sqref="H293"/>
    </sheetView>
  </sheetViews>
  <sheetFormatPr defaultRowHeight="10.15" x14ac:dyDescent="0.3"/>
  <cols>
    <col min="2" max="2" width="37.08203125" bestFit="1" customWidth="1"/>
    <col min="3" max="3" width="31" customWidth="1"/>
    <col min="4" max="4" width="26.1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hidden="1" x14ac:dyDescent="0.3">
      <c r="A3" t="s">
        <v>13</v>
      </c>
      <c r="B3" t="s">
        <v>23</v>
      </c>
      <c r="C3" t="s">
        <v>24</v>
      </c>
      <c r="D3" t="s">
        <v>25</v>
      </c>
      <c r="E3" t="s">
        <v>26</v>
      </c>
      <c r="F3" t="s">
        <v>24</v>
      </c>
      <c r="G3" t="s">
        <v>25</v>
      </c>
      <c r="H3" t="s">
        <v>27</v>
      </c>
      <c r="I3" t="s">
        <v>28</v>
      </c>
      <c r="J3" t="s">
        <v>19</v>
      </c>
      <c r="K3" t="s">
        <v>20</v>
      </c>
      <c r="L3" t="s">
        <v>21</v>
      </c>
      <c r="M3" t="s">
        <v>29</v>
      </c>
    </row>
    <row r="4" spans="1:13" hidden="1" x14ac:dyDescent="0.3">
      <c r="A4" t="s">
        <v>13</v>
      </c>
      <c r="B4" t="s">
        <v>30</v>
      </c>
      <c r="C4" t="s">
        <v>31</v>
      </c>
      <c r="D4" t="s">
        <v>32</v>
      </c>
      <c r="E4" t="s">
        <v>26</v>
      </c>
      <c r="F4" t="s">
        <v>31</v>
      </c>
      <c r="G4" t="s">
        <v>32</v>
      </c>
      <c r="H4" t="s">
        <v>33</v>
      </c>
      <c r="I4" t="s">
        <v>28</v>
      </c>
      <c r="J4" t="s">
        <v>19</v>
      </c>
      <c r="K4" t="s">
        <v>20</v>
      </c>
      <c r="L4" t="s">
        <v>21</v>
      </c>
      <c r="M4" t="s">
        <v>34</v>
      </c>
    </row>
    <row r="5" spans="1:13" hidden="1" x14ac:dyDescent="0.3">
      <c r="A5" t="s">
        <v>13</v>
      </c>
      <c r="B5" t="s">
        <v>35</v>
      </c>
      <c r="C5" t="s">
        <v>36</v>
      </c>
      <c r="D5" t="s">
        <v>37</v>
      </c>
      <c r="E5" t="s">
        <v>26</v>
      </c>
      <c r="F5" t="s">
        <v>36</v>
      </c>
      <c r="G5" t="s">
        <v>37</v>
      </c>
      <c r="H5" t="s">
        <v>38</v>
      </c>
      <c r="I5" t="s">
        <v>28</v>
      </c>
      <c r="J5" t="s">
        <v>19</v>
      </c>
      <c r="K5" t="s">
        <v>20</v>
      </c>
      <c r="L5" t="s">
        <v>21</v>
      </c>
      <c r="M5" t="s">
        <v>29</v>
      </c>
    </row>
    <row r="6" spans="1:13" hidden="1" x14ac:dyDescent="0.3">
      <c r="A6" t="s">
        <v>13</v>
      </c>
      <c r="B6" t="s">
        <v>39</v>
      </c>
      <c r="C6" t="s">
        <v>40</v>
      </c>
      <c r="D6" t="s">
        <v>41</v>
      </c>
      <c r="E6" t="s">
        <v>26</v>
      </c>
      <c r="F6" t="s">
        <v>40</v>
      </c>
      <c r="G6" t="s">
        <v>41</v>
      </c>
      <c r="H6" t="s">
        <v>42</v>
      </c>
      <c r="I6" t="s">
        <v>18</v>
      </c>
      <c r="J6" t="s">
        <v>19</v>
      </c>
      <c r="K6" t="s">
        <v>20</v>
      </c>
      <c r="L6" t="s">
        <v>21</v>
      </c>
      <c r="M6" t="s">
        <v>43</v>
      </c>
    </row>
    <row r="7" spans="1:13" hidden="1" x14ac:dyDescent="0.3">
      <c r="A7" t="s">
        <v>13</v>
      </c>
      <c r="B7" t="s">
        <v>44</v>
      </c>
      <c r="C7" t="s">
        <v>45</v>
      </c>
      <c r="D7" t="s">
        <v>46</v>
      </c>
      <c r="E7" t="s">
        <v>26</v>
      </c>
      <c r="F7" t="s">
        <v>45</v>
      </c>
      <c r="G7" t="s">
        <v>46</v>
      </c>
      <c r="H7" t="s">
        <v>47</v>
      </c>
      <c r="I7" t="s">
        <v>28</v>
      </c>
      <c r="J7" t="s">
        <v>19</v>
      </c>
      <c r="K7" t="s">
        <v>20</v>
      </c>
      <c r="L7" t="s">
        <v>21</v>
      </c>
      <c r="M7" t="s">
        <v>48</v>
      </c>
    </row>
    <row r="8" spans="1:13" hidden="1" x14ac:dyDescent="0.3">
      <c r="A8" t="s">
        <v>13</v>
      </c>
      <c r="B8" t="s">
        <v>49</v>
      </c>
      <c r="C8" t="s">
        <v>50</v>
      </c>
      <c r="D8" t="s">
        <v>51</v>
      </c>
      <c r="E8" t="s">
        <v>26</v>
      </c>
      <c r="F8" t="s">
        <v>50</v>
      </c>
      <c r="G8" t="s">
        <v>51</v>
      </c>
      <c r="H8" t="s">
        <v>52</v>
      </c>
      <c r="I8" t="s">
        <v>28</v>
      </c>
      <c r="J8" t="s">
        <v>19</v>
      </c>
      <c r="K8" t="s">
        <v>20</v>
      </c>
      <c r="L8" t="s">
        <v>21</v>
      </c>
      <c r="M8" t="s">
        <v>29</v>
      </c>
    </row>
    <row r="9" spans="1:13" hidden="1" x14ac:dyDescent="0.3">
      <c r="A9" t="s">
        <v>13</v>
      </c>
      <c r="B9" t="s">
        <v>53</v>
      </c>
      <c r="C9" t="s">
        <v>54</v>
      </c>
      <c r="D9" t="s">
        <v>55</v>
      </c>
      <c r="E9" t="s">
        <v>26</v>
      </c>
      <c r="F9" t="s">
        <v>54</v>
      </c>
      <c r="G9" t="s">
        <v>55</v>
      </c>
      <c r="H9" t="s">
        <v>56</v>
      </c>
      <c r="I9" t="s">
        <v>18</v>
      </c>
      <c r="J9" t="s">
        <v>19</v>
      </c>
      <c r="K9" t="s">
        <v>20</v>
      </c>
      <c r="L9" t="s">
        <v>21</v>
      </c>
      <c r="M9" t="s">
        <v>57</v>
      </c>
    </row>
    <row r="10" spans="1:13" hidden="1" x14ac:dyDescent="0.3">
      <c r="A10" t="s">
        <v>13</v>
      </c>
      <c r="B10" t="s">
        <v>58</v>
      </c>
      <c r="C10" t="s">
        <v>59</v>
      </c>
      <c r="D10" t="s">
        <v>60</v>
      </c>
      <c r="E10" t="s">
        <v>26</v>
      </c>
      <c r="F10" t="s">
        <v>59</v>
      </c>
      <c r="G10" t="s">
        <v>60</v>
      </c>
      <c r="H10" t="s">
        <v>61</v>
      </c>
      <c r="I10" t="s">
        <v>28</v>
      </c>
      <c r="J10" t="s">
        <v>19</v>
      </c>
      <c r="K10" t="s">
        <v>20</v>
      </c>
      <c r="L10" t="s">
        <v>21</v>
      </c>
      <c r="M10" t="s">
        <v>43</v>
      </c>
    </row>
    <row r="11" spans="1:13" hidden="1" x14ac:dyDescent="0.3">
      <c r="A11" t="s">
        <v>13</v>
      </c>
      <c r="B11" t="s">
        <v>62</v>
      </c>
      <c r="C11" t="s">
        <v>63</v>
      </c>
      <c r="D11" t="s">
        <v>64</v>
      </c>
      <c r="E11" t="s">
        <v>26</v>
      </c>
      <c r="F11" t="s">
        <v>63</v>
      </c>
      <c r="G11" t="s">
        <v>64</v>
      </c>
      <c r="H11" t="s">
        <v>65</v>
      </c>
      <c r="I11" t="s">
        <v>28</v>
      </c>
      <c r="J11" t="s">
        <v>19</v>
      </c>
      <c r="K11" t="s">
        <v>20</v>
      </c>
      <c r="L11" t="s">
        <v>21</v>
      </c>
      <c r="M11" t="s">
        <v>66</v>
      </c>
    </row>
    <row r="12" spans="1:13" hidden="1" x14ac:dyDescent="0.3">
      <c r="A12" t="s">
        <v>13</v>
      </c>
      <c r="B12" t="s">
        <v>67</v>
      </c>
      <c r="C12" t="s">
        <v>68</v>
      </c>
      <c r="D12" t="s">
        <v>69</v>
      </c>
      <c r="E12" t="s">
        <v>26</v>
      </c>
      <c r="F12" t="s">
        <v>68</v>
      </c>
      <c r="G12" t="s">
        <v>69</v>
      </c>
      <c r="H12" t="s">
        <v>70</v>
      </c>
      <c r="I12" t="s">
        <v>28</v>
      </c>
      <c r="J12" t="s">
        <v>19</v>
      </c>
      <c r="K12" t="s">
        <v>20</v>
      </c>
      <c r="L12" t="s">
        <v>21</v>
      </c>
      <c r="M12" t="s">
        <v>29</v>
      </c>
    </row>
    <row r="13" spans="1:13" hidden="1" x14ac:dyDescent="0.3">
      <c r="A13" t="s">
        <v>13</v>
      </c>
      <c r="B13" t="s">
        <v>71</v>
      </c>
      <c r="C13" t="s">
        <v>72</v>
      </c>
      <c r="D13" t="s">
        <v>73</v>
      </c>
      <c r="E13" t="s">
        <v>26</v>
      </c>
      <c r="F13" t="s">
        <v>72</v>
      </c>
      <c r="G13" t="s">
        <v>73</v>
      </c>
      <c r="H13" t="s">
        <v>74</v>
      </c>
      <c r="I13" t="s">
        <v>18</v>
      </c>
      <c r="J13" t="s">
        <v>19</v>
      </c>
      <c r="K13" t="s">
        <v>20</v>
      </c>
      <c r="L13" t="s">
        <v>21</v>
      </c>
      <c r="M13" t="s">
        <v>75</v>
      </c>
    </row>
    <row r="14" spans="1:13" hidden="1" x14ac:dyDescent="0.3">
      <c r="A14" t="s">
        <v>13</v>
      </c>
      <c r="B14" t="s">
        <v>76</v>
      </c>
      <c r="C14" t="s">
        <v>77</v>
      </c>
      <c r="D14" t="s">
        <v>78</v>
      </c>
      <c r="E14" t="s">
        <v>26</v>
      </c>
      <c r="F14" t="s">
        <v>77</v>
      </c>
      <c r="G14" t="s">
        <v>78</v>
      </c>
      <c r="H14" t="s">
        <v>79</v>
      </c>
      <c r="I14" t="s">
        <v>18</v>
      </c>
      <c r="J14" t="s">
        <v>19</v>
      </c>
      <c r="K14" t="s">
        <v>20</v>
      </c>
      <c r="L14" t="s">
        <v>21</v>
      </c>
      <c r="M14" t="s">
        <v>80</v>
      </c>
    </row>
    <row r="15" spans="1:13" hidden="1" x14ac:dyDescent="0.3">
      <c r="A15" t="s">
        <v>13</v>
      </c>
      <c r="B15" t="s">
        <v>81</v>
      </c>
      <c r="C15" t="s">
        <v>82</v>
      </c>
      <c r="D15" t="s">
        <v>83</v>
      </c>
      <c r="E15" t="s">
        <v>26</v>
      </c>
      <c r="F15" t="s">
        <v>82</v>
      </c>
      <c r="G15" t="s">
        <v>83</v>
      </c>
      <c r="H15" t="s">
        <v>84</v>
      </c>
      <c r="I15" t="s">
        <v>28</v>
      </c>
      <c r="J15" t="s">
        <v>19</v>
      </c>
      <c r="K15" t="s">
        <v>20</v>
      </c>
      <c r="L15" t="s">
        <v>21</v>
      </c>
      <c r="M15" t="s">
        <v>29</v>
      </c>
    </row>
    <row r="16" spans="1:13" hidden="1" x14ac:dyDescent="0.3">
      <c r="A16" t="s">
        <v>13</v>
      </c>
      <c r="B16" t="s">
        <v>85</v>
      </c>
      <c r="C16" t="s">
        <v>86</v>
      </c>
      <c r="D16" t="s">
        <v>87</v>
      </c>
      <c r="E16" t="s">
        <v>26</v>
      </c>
      <c r="F16" t="s">
        <v>86</v>
      </c>
      <c r="G16" t="s">
        <v>87</v>
      </c>
      <c r="H16" t="s">
        <v>88</v>
      </c>
      <c r="I16" t="s">
        <v>18</v>
      </c>
      <c r="J16" t="s">
        <v>19</v>
      </c>
      <c r="K16" t="s">
        <v>20</v>
      </c>
      <c r="L16" t="s">
        <v>21</v>
      </c>
      <c r="M16" t="s">
        <v>29</v>
      </c>
    </row>
    <row r="17" spans="1:13" hidden="1" x14ac:dyDescent="0.3">
      <c r="A17" t="s">
        <v>13</v>
      </c>
      <c r="B17" t="s">
        <v>89</v>
      </c>
      <c r="C17" t="s">
        <v>90</v>
      </c>
      <c r="D17" t="s">
        <v>91</v>
      </c>
      <c r="E17" t="s">
        <v>26</v>
      </c>
      <c r="F17" t="s">
        <v>90</v>
      </c>
      <c r="G17" t="s">
        <v>91</v>
      </c>
      <c r="H17" t="s">
        <v>92</v>
      </c>
      <c r="I17" t="s">
        <v>18</v>
      </c>
      <c r="J17" t="s">
        <v>19</v>
      </c>
      <c r="K17" t="s">
        <v>20</v>
      </c>
      <c r="L17" t="s">
        <v>21</v>
      </c>
      <c r="M17" t="s">
        <v>93</v>
      </c>
    </row>
    <row r="18" spans="1:13" hidden="1" x14ac:dyDescent="0.3">
      <c r="A18" t="s">
        <v>13</v>
      </c>
      <c r="B18" t="s">
        <v>94</v>
      </c>
      <c r="C18" t="s">
        <v>95</v>
      </c>
      <c r="D18" t="s">
        <v>96</v>
      </c>
      <c r="E18" t="s">
        <v>26</v>
      </c>
      <c r="F18" t="s">
        <v>95</v>
      </c>
      <c r="G18" t="s">
        <v>96</v>
      </c>
      <c r="H18" t="s">
        <v>97</v>
      </c>
      <c r="I18" t="s">
        <v>18</v>
      </c>
      <c r="J18" t="s">
        <v>19</v>
      </c>
      <c r="K18" t="s">
        <v>20</v>
      </c>
      <c r="L18" t="s">
        <v>21</v>
      </c>
      <c r="M18" t="s">
        <v>98</v>
      </c>
    </row>
    <row r="19" spans="1:13" hidden="1" x14ac:dyDescent="0.3">
      <c r="A19" t="s">
        <v>13</v>
      </c>
      <c r="B19" t="s">
        <v>99</v>
      </c>
      <c r="C19" t="s">
        <v>100</v>
      </c>
      <c r="D19" t="s">
        <v>101</v>
      </c>
      <c r="E19" t="s">
        <v>26</v>
      </c>
      <c r="F19" t="s">
        <v>100</v>
      </c>
      <c r="G19" t="s">
        <v>101</v>
      </c>
      <c r="H19" t="s">
        <v>102</v>
      </c>
      <c r="I19" t="s">
        <v>18</v>
      </c>
      <c r="J19" t="s">
        <v>19</v>
      </c>
      <c r="K19" t="s">
        <v>20</v>
      </c>
      <c r="L19" t="s">
        <v>21</v>
      </c>
      <c r="M19" t="s">
        <v>103</v>
      </c>
    </row>
    <row r="20" spans="1:13" hidden="1" x14ac:dyDescent="0.3">
      <c r="A20" t="s">
        <v>13</v>
      </c>
      <c r="B20" t="s">
        <v>104</v>
      </c>
      <c r="C20" t="s">
        <v>105</v>
      </c>
      <c r="D20" t="s">
        <v>106</v>
      </c>
      <c r="E20" t="s">
        <v>107</v>
      </c>
      <c r="F20" t="s">
        <v>105</v>
      </c>
      <c r="G20" t="s">
        <v>16</v>
      </c>
      <c r="H20" t="s">
        <v>108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</row>
    <row r="21" spans="1:13" hidden="1" x14ac:dyDescent="0.3">
      <c r="A21" t="s">
        <v>109</v>
      </c>
      <c r="B21" t="s">
        <v>110</v>
      </c>
      <c r="C21" t="s">
        <v>111</v>
      </c>
      <c r="D21" t="s">
        <v>112</v>
      </c>
      <c r="E21" t="s">
        <v>111</v>
      </c>
      <c r="F21" t="s">
        <v>22</v>
      </c>
      <c r="G21" t="s">
        <v>113</v>
      </c>
      <c r="H21" t="s">
        <v>114</v>
      </c>
      <c r="I21" t="s">
        <v>115</v>
      </c>
      <c r="J21" t="s">
        <v>116</v>
      </c>
      <c r="K21" t="s">
        <v>117</v>
      </c>
      <c r="L21" t="s">
        <v>118</v>
      </c>
      <c r="M21" t="s">
        <v>22</v>
      </c>
    </row>
    <row r="22" spans="1:13" hidden="1" x14ac:dyDescent="0.3">
      <c r="A22" t="s">
        <v>109</v>
      </c>
      <c r="B22" t="s">
        <v>119</v>
      </c>
      <c r="C22" t="s">
        <v>120</v>
      </c>
      <c r="D22" t="s">
        <v>121</v>
      </c>
      <c r="E22" t="s">
        <v>122</v>
      </c>
      <c r="F22" t="s">
        <v>22</v>
      </c>
      <c r="G22" t="s">
        <v>113</v>
      </c>
      <c r="H22" t="s">
        <v>114</v>
      </c>
      <c r="I22" t="s">
        <v>115</v>
      </c>
      <c r="J22" t="s">
        <v>19</v>
      </c>
      <c r="K22" t="s">
        <v>22</v>
      </c>
      <c r="L22" t="s">
        <v>21</v>
      </c>
      <c r="M22" t="s">
        <v>22</v>
      </c>
    </row>
    <row r="23" spans="1:13" hidden="1" x14ac:dyDescent="0.3">
      <c r="A23" t="s">
        <v>109</v>
      </c>
      <c r="B23" t="s">
        <v>123</v>
      </c>
      <c r="C23" t="s">
        <v>124</v>
      </c>
      <c r="D23" t="s">
        <v>121</v>
      </c>
      <c r="E23" t="s">
        <v>125</v>
      </c>
      <c r="F23" t="s">
        <v>22</v>
      </c>
      <c r="G23" t="s">
        <v>113</v>
      </c>
      <c r="H23" t="s">
        <v>114</v>
      </c>
      <c r="I23" t="s">
        <v>115</v>
      </c>
      <c r="J23" t="s">
        <v>19</v>
      </c>
      <c r="K23" t="s">
        <v>22</v>
      </c>
      <c r="L23" t="s">
        <v>21</v>
      </c>
      <c r="M23" t="s">
        <v>22</v>
      </c>
    </row>
    <row r="24" spans="1:13" hidden="1" x14ac:dyDescent="0.3">
      <c r="A24" t="s">
        <v>109</v>
      </c>
      <c r="B24" t="s">
        <v>126</v>
      </c>
      <c r="C24" t="s">
        <v>127</v>
      </c>
      <c r="D24" t="s">
        <v>121</v>
      </c>
      <c r="E24" t="s">
        <v>128</v>
      </c>
      <c r="F24" t="s">
        <v>22</v>
      </c>
      <c r="G24" t="s">
        <v>113</v>
      </c>
      <c r="H24" t="s">
        <v>114</v>
      </c>
      <c r="I24" t="s">
        <v>115</v>
      </c>
      <c r="J24" t="s">
        <v>19</v>
      </c>
      <c r="K24" t="s">
        <v>22</v>
      </c>
      <c r="L24" t="s">
        <v>21</v>
      </c>
      <c r="M24" t="s">
        <v>22</v>
      </c>
    </row>
    <row r="25" spans="1:13" hidden="1" x14ac:dyDescent="0.3">
      <c r="A25" t="s">
        <v>109</v>
      </c>
      <c r="B25" t="s">
        <v>129</v>
      </c>
      <c r="C25" t="s">
        <v>130</v>
      </c>
      <c r="D25" t="s">
        <v>121</v>
      </c>
      <c r="E25" t="s">
        <v>131</v>
      </c>
      <c r="F25" t="s">
        <v>22</v>
      </c>
      <c r="G25" t="s">
        <v>113</v>
      </c>
      <c r="H25" t="s">
        <v>114</v>
      </c>
      <c r="I25" t="s">
        <v>115</v>
      </c>
      <c r="J25" t="s">
        <v>19</v>
      </c>
      <c r="K25" t="s">
        <v>22</v>
      </c>
      <c r="L25" t="s">
        <v>21</v>
      </c>
      <c r="M25" t="s">
        <v>22</v>
      </c>
    </row>
    <row r="26" spans="1:13" hidden="1" x14ac:dyDescent="0.3">
      <c r="A26" t="s">
        <v>109</v>
      </c>
      <c r="B26" t="s">
        <v>132</v>
      </c>
      <c r="C26" t="s">
        <v>133</v>
      </c>
      <c r="D26" t="s">
        <v>134</v>
      </c>
      <c r="E26" t="s">
        <v>122</v>
      </c>
      <c r="F26" t="s">
        <v>22</v>
      </c>
      <c r="G26" t="s">
        <v>113</v>
      </c>
      <c r="H26" t="s">
        <v>114</v>
      </c>
      <c r="I26" t="s">
        <v>115</v>
      </c>
      <c r="J26" t="s">
        <v>19</v>
      </c>
      <c r="K26" t="s">
        <v>22</v>
      </c>
      <c r="L26" t="s">
        <v>21</v>
      </c>
      <c r="M26" t="s">
        <v>22</v>
      </c>
    </row>
    <row r="27" spans="1:13" hidden="1" x14ac:dyDescent="0.3">
      <c r="A27" t="s">
        <v>109</v>
      </c>
      <c r="B27" t="s">
        <v>135</v>
      </c>
      <c r="C27" t="s">
        <v>136</v>
      </c>
      <c r="D27" t="s">
        <v>134</v>
      </c>
      <c r="E27" t="s">
        <v>125</v>
      </c>
      <c r="F27" t="s">
        <v>22</v>
      </c>
      <c r="G27" t="s">
        <v>113</v>
      </c>
      <c r="H27" t="s">
        <v>114</v>
      </c>
      <c r="I27" t="s">
        <v>115</v>
      </c>
      <c r="J27" t="s">
        <v>19</v>
      </c>
      <c r="K27" t="s">
        <v>22</v>
      </c>
      <c r="L27" t="s">
        <v>21</v>
      </c>
      <c r="M27" t="s">
        <v>22</v>
      </c>
    </row>
    <row r="28" spans="1:13" hidden="1" x14ac:dyDescent="0.3">
      <c r="A28" t="s">
        <v>109</v>
      </c>
      <c r="B28" t="s">
        <v>137</v>
      </c>
      <c r="C28" t="s">
        <v>138</v>
      </c>
      <c r="D28" t="s">
        <v>134</v>
      </c>
      <c r="E28" t="s">
        <v>128</v>
      </c>
      <c r="F28" t="s">
        <v>22</v>
      </c>
      <c r="G28" t="s">
        <v>113</v>
      </c>
      <c r="H28" t="s">
        <v>114</v>
      </c>
      <c r="I28" t="s">
        <v>115</v>
      </c>
      <c r="J28" t="s">
        <v>19</v>
      </c>
      <c r="K28" t="s">
        <v>22</v>
      </c>
      <c r="L28" t="s">
        <v>21</v>
      </c>
      <c r="M28" t="s">
        <v>22</v>
      </c>
    </row>
    <row r="29" spans="1:13" hidden="1" x14ac:dyDescent="0.3">
      <c r="A29" t="s">
        <v>109</v>
      </c>
      <c r="B29" t="s">
        <v>139</v>
      </c>
      <c r="C29" t="s">
        <v>140</v>
      </c>
      <c r="D29" t="s">
        <v>134</v>
      </c>
      <c r="E29" t="s">
        <v>131</v>
      </c>
      <c r="F29" t="s">
        <v>22</v>
      </c>
      <c r="G29" t="s">
        <v>113</v>
      </c>
      <c r="H29" t="s">
        <v>114</v>
      </c>
      <c r="I29" t="s">
        <v>115</v>
      </c>
      <c r="J29" t="s">
        <v>19</v>
      </c>
      <c r="K29" t="s">
        <v>22</v>
      </c>
      <c r="L29" t="s">
        <v>21</v>
      </c>
      <c r="M29" t="s">
        <v>22</v>
      </c>
    </row>
    <row r="30" spans="1:13" hidden="1" x14ac:dyDescent="0.3">
      <c r="A30" t="s">
        <v>109</v>
      </c>
      <c r="B30" t="s">
        <v>141</v>
      </c>
      <c r="C30" t="s">
        <v>142</v>
      </c>
      <c r="D30" t="s">
        <v>134</v>
      </c>
      <c r="E30" t="s">
        <v>142</v>
      </c>
      <c r="F30" t="s">
        <v>22</v>
      </c>
      <c r="G30" t="s">
        <v>143</v>
      </c>
      <c r="H30" t="s">
        <v>143</v>
      </c>
      <c r="I30" t="s">
        <v>115</v>
      </c>
      <c r="J30" t="s">
        <v>19</v>
      </c>
      <c r="K30" t="s">
        <v>22</v>
      </c>
      <c r="L30" t="s">
        <v>21</v>
      </c>
      <c r="M30" t="s">
        <v>22</v>
      </c>
    </row>
    <row r="31" spans="1:13" hidden="1" x14ac:dyDescent="0.3">
      <c r="A31" t="s">
        <v>144</v>
      </c>
      <c r="B31" t="s">
        <v>145</v>
      </c>
      <c r="C31" t="s">
        <v>146</v>
      </c>
      <c r="D31" t="s">
        <v>147</v>
      </c>
      <c r="E31" t="s">
        <v>146</v>
      </c>
      <c r="F31" t="s">
        <v>147</v>
      </c>
      <c r="G31" t="s">
        <v>148</v>
      </c>
      <c r="H31" t="s">
        <v>148</v>
      </c>
      <c r="I31" t="s">
        <v>149</v>
      </c>
      <c r="J31" t="s">
        <v>116</v>
      </c>
      <c r="K31" t="s">
        <v>150</v>
      </c>
      <c r="L31" t="s">
        <v>118</v>
      </c>
      <c r="M31" t="s">
        <v>22</v>
      </c>
    </row>
    <row r="32" spans="1:13" hidden="1" x14ac:dyDescent="0.3">
      <c r="A32" t="s">
        <v>144</v>
      </c>
      <c r="B32" t="s">
        <v>151</v>
      </c>
      <c r="C32" t="s">
        <v>152</v>
      </c>
      <c r="D32" t="s">
        <v>147</v>
      </c>
      <c r="E32" t="s">
        <v>152</v>
      </c>
      <c r="F32" t="s">
        <v>147</v>
      </c>
      <c r="G32" t="s">
        <v>148</v>
      </c>
      <c r="H32" t="s">
        <v>148</v>
      </c>
      <c r="I32" t="s">
        <v>149</v>
      </c>
      <c r="J32" t="s">
        <v>153</v>
      </c>
      <c r="K32" t="s">
        <v>20</v>
      </c>
      <c r="L32" t="s">
        <v>21</v>
      </c>
      <c r="M32" t="s">
        <v>22</v>
      </c>
    </row>
    <row r="33" spans="1:13" hidden="1" x14ac:dyDescent="0.3">
      <c r="A33" t="s">
        <v>144</v>
      </c>
      <c r="B33" t="s">
        <v>154</v>
      </c>
      <c r="C33" t="s">
        <v>155</v>
      </c>
      <c r="D33" t="s">
        <v>147</v>
      </c>
      <c r="E33" t="s">
        <v>155</v>
      </c>
      <c r="F33" t="s">
        <v>147</v>
      </c>
      <c r="G33" t="s">
        <v>148</v>
      </c>
      <c r="H33" t="s">
        <v>148</v>
      </c>
      <c r="I33" t="s">
        <v>149</v>
      </c>
      <c r="J33" t="s">
        <v>153</v>
      </c>
      <c r="K33" t="s">
        <v>20</v>
      </c>
      <c r="L33" t="s">
        <v>21</v>
      </c>
      <c r="M33" t="s">
        <v>22</v>
      </c>
    </row>
    <row r="34" spans="1:13" hidden="1" x14ac:dyDescent="0.3">
      <c r="A34" t="s">
        <v>144</v>
      </c>
      <c r="B34" t="s">
        <v>156</v>
      </c>
      <c r="C34" t="s">
        <v>157</v>
      </c>
      <c r="D34" t="s">
        <v>147</v>
      </c>
      <c r="E34" t="s">
        <v>157</v>
      </c>
      <c r="F34" t="s">
        <v>147</v>
      </c>
      <c r="G34" t="s">
        <v>148</v>
      </c>
      <c r="H34" t="s">
        <v>148</v>
      </c>
      <c r="I34" t="s">
        <v>149</v>
      </c>
      <c r="J34" t="s">
        <v>153</v>
      </c>
      <c r="K34" t="s">
        <v>20</v>
      </c>
      <c r="L34" t="s">
        <v>21</v>
      </c>
      <c r="M34" t="s">
        <v>22</v>
      </c>
    </row>
    <row r="35" spans="1:13" hidden="1" x14ac:dyDescent="0.3">
      <c r="A35" t="s">
        <v>144</v>
      </c>
      <c r="B35" t="s">
        <v>158</v>
      </c>
      <c r="C35" t="s">
        <v>159</v>
      </c>
      <c r="D35" t="s">
        <v>147</v>
      </c>
      <c r="E35" t="s">
        <v>159</v>
      </c>
      <c r="F35" t="s">
        <v>147</v>
      </c>
      <c r="G35" t="s">
        <v>148</v>
      </c>
      <c r="H35" t="s">
        <v>148</v>
      </c>
      <c r="I35" t="s">
        <v>149</v>
      </c>
      <c r="J35" t="s">
        <v>153</v>
      </c>
      <c r="K35" t="s">
        <v>20</v>
      </c>
      <c r="L35" t="s">
        <v>21</v>
      </c>
      <c r="M35" t="s">
        <v>22</v>
      </c>
    </row>
    <row r="36" spans="1:13" hidden="1" x14ac:dyDescent="0.3">
      <c r="A36" t="s">
        <v>144</v>
      </c>
      <c r="B36" t="s">
        <v>160</v>
      </c>
      <c r="C36" t="s">
        <v>161</v>
      </c>
      <c r="D36" t="s">
        <v>147</v>
      </c>
      <c r="E36" t="s">
        <v>161</v>
      </c>
      <c r="F36" t="s">
        <v>147</v>
      </c>
      <c r="G36" t="s">
        <v>148</v>
      </c>
      <c r="H36" t="s">
        <v>148</v>
      </c>
      <c r="I36" t="s">
        <v>149</v>
      </c>
      <c r="J36" t="s">
        <v>153</v>
      </c>
      <c r="K36" t="s">
        <v>20</v>
      </c>
      <c r="L36" t="s">
        <v>21</v>
      </c>
      <c r="M36" t="s">
        <v>22</v>
      </c>
    </row>
    <row r="37" spans="1:13" hidden="1" x14ac:dyDescent="0.3">
      <c r="A37" t="s">
        <v>144</v>
      </c>
      <c r="B37" t="s">
        <v>162</v>
      </c>
      <c r="C37" t="s">
        <v>163</v>
      </c>
      <c r="D37" t="s">
        <v>147</v>
      </c>
      <c r="E37" t="s">
        <v>163</v>
      </c>
      <c r="F37" t="s">
        <v>147</v>
      </c>
      <c r="G37" t="s">
        <v>148</v>
      </c>
      <c r="H37" t="s">
        <v>148</v>
      </c>
      <c r="I37" t="s">
        <v>149</v>
      </c>
      <c r="J37" t="s">
        <v>153</v>
      </c>
      <c r="K37" t="s">
        <v>20</v>
      </c>
      <c r="L37" t="s">
        <v>21</v>
      </c>
      <c r="M37" t="s">
        <v>22</v>
      </c>
    </row>
    <row r="38" spans="1:13" hidden="1" x14ac:dyDescent="0.3">
      <c r="A38" t="s">
        <v>144</v>
      </c>
      <c r="B38" t="s">
        <v>164</v>
      </c>
      <c r="C38" t="s">
        <v>165</v>
      </c>
      <c r="D38" t="s">
        <v>147</v>
      </c>
      <c r="E38" t="s">
        <v>165</v>
      </c>
      <c r="F38" t="s">
        <v>147</v>
      </c>
      <c r="G38" t="s">
        <v>148</v>
      </c>
      <c r="H38" t="s">
        <v>148</v>
      </c>
      <c r="I38" t="s">
        <v>149</v>
      </c>
      <c r="J38" t="s">
        <v>153</v>
      </c>
      <c r="K38" t="s">
        <v>20</v>
      </c>
      <c r="L38" t="s">
        <v>21</v>
      </c>
      <c r="M38" t="s">
        <v>22</v>
      </c>
    </row>
    <row r="39" spans="1:13" hidden="1" x14ac:dyDescent="0.3">
      <c r="A39" t="s">
        <v>144</v>
      </c>
      <c r="B39" t="s">
        <v>166</v>
      </c>
      <c r="C39" t="s">
        <v>167</v>
      </c>
      <c r="D39" t="s">
        <v>147</v>
      </c>
      <c r="E39" t="s">
        <v>167</v>
      </c>
      <c r="F39" t="s">
        <v>147</v>
      </c>
      <c r="G39" t="s">
        <v>148</v>
      </c>
      <c r="H39" t="s">
        <v>148</v>
      </c>
      <c r="I39" t="s">
        <v>149</v>
      </c>
      <c r="J39" t="s">
        <v>153</v>
      </c>
      <c r="K39" t="s">
        <v>20</v>
      </c>
      <c r="L39" t="s">
        <v>21</v>
      </c>
      <c r="M39" t="s">
        <v>22</v>
      </c>
    </row>
    <row r="40" spans="1:13" hidden="1" x14ac:dyDescent="0.3">
      <c r="A40" t="s">
        <v>144</v>
      </c>
      <c r="B40" t="s">
        <v>168</v>
      </c>
      <c r="C40" t="s">
        <v>146</v>
      </c>
      <c r="D40" t="s">
        <v>169</v>
      </c>
      <c r="E40" t="s">
        <v>146</v>
      </c>
      <c r="F40" t="s">
        <v>170</v>
      </c>
      <c r="G40" t="s">
        <v>148</v>
      </c>
      <c r="H40" t="s">
        <v>148</v>
      </c>
      <c r="I40" t="s">
        <v>149</v>
      </c>
      <c r="J40" t="s">
        <v>116</v>
      </c>
      <c r="K40" t="s">
        <v>150</v>
      </c>
      <c r="L40" t="s">
        <v>118</v>
      </c>
      <c r="M40" t="s">
        <v>22</v>
      </c>
    </row>
    <row r="41" spans="1:13" hidden="1" x14ac:dyDescent="0.3">
      <c r="A41" t="s">
        <v>144</v>
      </c>
      <c r="B41" t="s">
        <v>171</v>
      </c>
      <c r="C41" t="s">
        <v>152</v>
      </c>
      <c r="D41" t="s">
        <v>169</v>
      </c>
      <c r="E41" t="s">
        <v>152</v>
      </c>
      <c r="F41" t="s">
        <v>170</v>
      </c>
      <c r="G41" t="s">
        <v>148</v>
      </c>
      <c r="H41" t="s">
        <v>148</v>
      </c>
      <c r="I41" t="s">
        <v>149</v>
      </c>
      <c r="J41" t="s">
        <v>153</v>
      </c>
      <c r="K41" t="s">
        <v>20</v>
      </c>
      <c r="L41" t="s">
        <v>21</v>
      </c>
      <c r="M41" t="s">
        <v>22</v>
      </c>
    </row>
    <row r="42" spans="1:13" hidden="1" x14ac:dyDescent="0.3">
      <c r="A42" t="s">
        <v>144</v>
      </c>
      <c r="B42" t="s">
        <v>172</v>
      </c>
      <c r="C42" t="s">
        <v>155</v>
      </c>
      <c r="D42" t="s">
        <v>169</v>
      </c>
      <c r="E42" t="s">
        <v>155</v>
      </c>
      <c r="F42" t="s">
        <v>170</v>
      </c>
      <c r="G42" t="s">
        <v>148</v>
      </c>
      <c r="H42" t="s">
        <v>148</v>
      </c>
      <c r="I42" t="s">
        <v>149</v>
      </c>
      <c r="J42" t="s">
        <v>153</v>
      </c>
      <c r="K42" t="s">
        <v>20</v>
      </c>
      <c r="L42" t="s">
        <v>21</v>
      </c>
      <c r="M42" t="s">
        <v>22</v>
      </c>
    </row>
    <row r="43" spans="1:13" hidden="1" x14ac:dyDescent="0.3">
      <c r="A43" t="s">
        <v>144</v>
      </c>
      <c r="B43" t="s">
        <v>173</v>
      </c>
      <c r="C43" t="s">
        <v>157</v>
      </c>
      <c r="D43" t="s">
        <v>169</v>
      </c>
      <c r="E43" t="s">
        <v>157</v>
      </c>
      <c r="F43" t="s">
        <v>170</v>
      </c>
      <c r="G43" t="s">
        <v>148</v>
      </c>
      <c r="H43" t="s">
        <v>148</v>
      </c>
      <c r="I43" t="s">
        <v>149</v>
      </c>
      <c r="J43" t="s">
        <v>153</v>
      </c>
      <c r="K43" t="s">
        <v>20</v>
      </c>
      <c r="L43" t="s">
        <v>21</v>
      </c>
      <c r="M43" t="s">
        <v>22</v>
      </c>
    </row>
    <row r="44" spans="1:13" hidden="1" x14ac:dyDescent="0.3">
      <c r="A44" t="s">
        <v>144</v>
      </c>
      <c r="B44" t="s">
        <v>174</v>
      </c>
      <c r="C44" t="s">
        <v>159</v>
      </c>
      <c r="D44" t="s">
        <v>169</v>
      </c>
      <c r="E44" t="s">
        <v>159</v>
      </c>
      <c r="F44" t="s">
        <v>170</v>
      </c>
      <c r="G44" t="s">
        <v>148</v>
      </c>
      <c r="H44" t="s">
        <v>148</v>
      </c>
      <c r="I44" t="s">
        <v>149</v>
      </c>
      <c r="J44" t="s">
        <v>153</v>
      </c>
      <c r="K44" t="s">
        <v>20</v>
      </c>
      <c r="L44" t="s">
        <v>21</v>
      </c>
      <c r="M44" t="s">
        <v>22</v>
      </c>
    </row>
    <row r="45" spans="1:13" hidden="1" x14ac:dyDescent="0.3">
      <c r="A45" t="s">
        <v>144</v>
      </c>
      <c r="B45" t="s">
        <v>175</v>
      </c>
      <c r="C45" t="s">
        <v>176</v>
      </c>
      <c r="D45" t="s">
        <v>169</v>
      </c>
      <c r="E45" t="s">
        <v>176</v>
      </c>
      <c r="F45" t="s">
        <v>170</v>
      </c>
      <c r="G45" t="s">
        <v>148</v>
      </c>
      <c r="H45" t="s">
        <v>148</v>
      </c>
      <c r="I45" t="s">
        <v>149</v>
      </c>
      <c r="J45" t="s">
        <v>153</v>
      </c>
      <c r="K45" t="s">
        <v>20</v>
      </c>
      <c r="L45" t="s">
        <v>21</v>
      </c>
      <c r="M45" t="s">
        <v>22</v>
      </c>
    </row>
    <row r="46" spans="1:13" hidden="1" x14ac:dyDescent="0.3">
      <c r="A46" t="s">
        <v>144</v>
      </c>
      <c r="B46" t="s">
        <v>177</v>
      </c>
      <c r="C46" t="s">
        <v>163</v>
      </c>
      <c r="D46" t="s">
        <v>169</v>
      </c>
      <c r="E46" t="s">
        <v>163</v>
      </c>
      <c r="F46" t="s">
        <v>170</v>
      </c>
      <c r="G46" t="s">
        <v>148</v>
      </c>
      <c r="H46" t="s">
        <v>148</v>
      </c>
      <c r="I46" t="s">
        <v>149</v>
      </c>
      <c r="J46" t="s">
        <v>153</v>
      </c>
      <c r="K46" t="s">
        <v>20</v>
      </c>
      <c r="L46" t="s">
        <v>21</v>
      </c>
      <c r="M46" t="s">
        <v>22</v>
      </c>
    </row>
    <row r="47" spans="1:13" hidden="1" x14ac:dyDescent="0.3">
      <c r="A47" t="s">
        <v>144</v>
      </c>
      <c r="B47" t="s">
        <v>178</v>
      </c>
      <c r="C47" t="s">
        <v>165</v>
      </c>
      <c r="D47" t="s">
        <v>169</v>
      </c>
      <c r="E47" t="s">
        <v>165</v>
      </c>
      <c r="F47" t="s">
        <v>170</v>
      </c>
      <c r="G47" t="s">
        <v>148</v>
      </c>
      <c r="H47" t="s">
        <v>148</v>
      </c>
      <c r="I47" t="s">
        <v>149</v>
      </c>
      <c r="J47" t="s">
        <v>153</v>
      </c>
      <c r="K47" t="s">
        <v>20</v>
      </c>
      <c r="L47" t="s">
        <v>21</v>
      </c>
      <c r="M47" t="s">
        <v>22</v>
      </c>
    </row>
    <row r="48" spans="1:13" hidden="1" x14ac:dyDescent="0.3">
      <c r="A48" t="s">
        <v>144</v>
      </c>
      <c r="B48" t="s">
        <v>179</v>
      </c>
      <c r="C48" t="s">
        <v>167</v>
      </c>
      <c r="D48" t="s">
        <v>169</v>
      </c>
      <c r="E48" t="s">
        <v>167</v>
      </c>
      <c r="F48" t="s">
        <v>170</v>
      </c>
      <c r="G48" t="s">
        <v>148</v>
      </c>
      <c r="H48" t="s">
        <v>148</v>
      </c>
      <c r="I48" t="s">
        <v>149</v>
      </c>
      <c r="J48" t="s">
        <v>153</v>
      </c>
      <c r="K48" t="s">
        <v>20</v>
      </c>
      <c r="L48" t="s">
        <v>21</v>
      </c>
      <c r="M48" t="s">
        <v>22</v>
      </c>
    </row>
    <row r="49" spans="1:13" hidden="1" x14ac:dyDescent="0.3">
      <c r="A49" t="s">
        <v>144</v>
      </c>
      <c r="B49" t="s">
        <v>180</v>
      </c>
      <c r="C49" t="s">
        <v>146</v>
      </c>
      <c r="D49" t="s">
        <v>181</v>
      </c>
      <c r="E49" t="s">
        <v>146</v>
      </c>
      <c r="F49" t="s">
        <v>170</v>
      </c>
      <c r="G49" t="s">
        <v>148</v>
      </c>
      <c r="H49" t="s">
        <v>148</v>
      </c>
      <c r="I49" t="s">
        <v>149</v>
      </c>
      <c r="J49" t="s">
        <v>116</v>
      </c>
      <c r="K49" t="s">
        <v>150</v>
      </c>
      <c r="L49" t="s">
        <v>118</v>
      </c>
      <c r="M49" t="s">
        <v>22</v>
      </c>
    </row>
    <row r="50" spans="1:13" hidden="1" x14ac:dyDescent="0.3">
      <c r="A50" t="s">
        <v>144</v>
      </c>
      <c r="B50" t="s">
        <v>182</v>
      </c>
      <c r="C50" t="s">
        <v>152</v>
      </c>
      <c r="D50" t="s">
        <v>181</v>
      </c>
      <c r="E50" t="s">
        <v>152</v>
      </c>
      <c r="F50" t="s">
        <v>170</v>
      </c>
      <c r="G50" t="s">
        <v>148</v>
      </c>
      <c r="H50" t="s">
        <v>148</v>
      </c>
      <c r="I50" t="s">
        <v>149</v>
      </c>
      <c r="J50" t="s">
        <v>153</v>
      </c>
      <c r="K50" t="s">
        <v>20</v>
      </c>
      <c r="L50" t="s">
        <v>21</v>
      </c>
      <c r="M50" t="s">
        <v>22</v>
      </c>
    </row>
    <row r="51" spans="1:13" hidden="1" x14ac:dyDescent="0.3">
      <c r="A51" t="s">
        <v>144</v>
      </c>
      <c r="B51" t="s">
        <v>183</v>
      </c>
      <c r="C51" t="s">
        <v>155</v>
      </c>
      <c r="D51" t="s">
        <v>181</v>
      </c>
      <c r="E51" t="s">
        <v>155</v>
      </c>
      <c r="F51" t="s">
        <v>170</v>
      </c>
      <c r="G51" t="s">
        <v>148</v>
      </c>
      <c r="H51" t="s">
        <v>148</v>
      </c>
      <c r="I51" t="s">
        <v>149</v>
      </c>
      <c r="J51" t="s">
        <v>153</v>
      </c>
      <c r="K51" t="s">
        <v>20</v>
      </c>
      <c r="L51" t="s">
        <v>21</v>
      </c>
      <c r="M51" t="s">
        <v>22</v>
      </c>
    </row>
    <row r="52" spans="1:13" hidden="1" x14ac:dyDescent="0.3">
      <c r="A52" t="s">
        <v>144</v>
      </c>
      <c r="B52" t="s">
        <v>184</v>
      </c>
      <c r="C52" t="s">
        <v>157</v>
      </c>
      <c r="D52" t="s">
        <v>181</v>
      </c>
      <c r="E52" t="s">
        <v>157</v>
      </c>
      <c r="F52" t="s">
        <v>170</v>
      </c>
      <c r="G52" t="s">
        <v>148</v>
      </c>
      <c r="H52" t="s">
        <v>148</v>
      </c>
      <c r="I52" t="s">
        <v>149</v>
      </c>
      <c r="J52" t="s">
        <v>153</v>
      </c>
      <c r="K52" t="s">
        <v>20</v>
      </c>
      <c r="L52" t="s">
        <v>21</v>
      </c>
      <c r="M52" t="s">
        <v>22</v>
      </c>
    </row>
    <row r="53" spans="1:13" hidden="1" x14ac:dyDescent="0.3">
      <c r="A53" t="s">
        <v>144</v>
      </c>
      <c r="B53" t="s">
        <v>185</v>
      </c>
      <c r="C53" t="s">
        <v>159</v>
      </c>
      <c r="D53" t="s">
        <v>181</v>
      </c>
      <c r="E53" t="s">
        <v>159</v>
      </c>
      <c r="F53" t="s">
        <v>170</v>
      </c>
      <c r="G53" t="s">
        <v>148</v>
      </c>
      <c r="H53" t="s">
        <v>148</v>
      </c>
      <c r="I53" t="s">
        <v>149</v>
      </c>
      <c r="J53" t="s">
        <v>153</v>
      </c>
      <c r="K53" t="s">
        <v>20</v>
      </c>
      <c r="L53" t="s">
        <v>21</v>
      </c>
      <c r="M53" t="s">
        <v>22</v>
      </c>
    </row>
    <row r="54" spans="1:13" hidden="1" x14ac:dyDescent="0.3">
      <c r="A54" t="s">
        <v>144</v>
      </c>
      <c r="B54" t="s">
        <v>186</v>
      </c>
      <c r="C54" t="s">
        <v>161</v>
      </c>
      <c r="D54" t="s">
        <v>181</v>
      </c>
      <c r="E54" t="s">
        <v>161</v>
      </c>
      <c r="F54" t="s">
        <v>170</v>
      </c>
      <c r="G54" t="s">
        <v>148</v>
      </c>
      <c r="H54" t="s">
        <v>148</v>
      </c>
      <c r="I54" t="s">
        <v>149</v>
      </c>
      <c r="J54" t="s">
        <v>153</v>
      </c>
      <c r="K54" t="s">
        <v>20</v>
      </c>
      <c r="L54" t="s">
        <v>21</v>
      </c>
      <c r="M54" t="s">
        <v>22</v>
      </c>
    </row>
    <row r="55" spans="1:13" hidden="1" x14ac:dyDescent="0.3">
      <c r="A55" t="s">
        <v>144</v>
      </c>
      <c r="B55" t="s">
        <v>187</v>
      </c>
      <c r="C55" t="s">
        <v>163</v>
      </c>
      <c r="D55" t="s">
        <v>181</v>
      </c>
      <c r="E55" t="s">
        <v>163</v>
      </c>
      <c r="F55" t="s">
        <v>170</v>
      </c>
      <c r="G55" t="s">
        <v>148</v>
      </c>
      <c r="H55" t="s">
        <v>148</v>
      </c>
      <c r="I55" t="s">
        <v>149</v>
      </c>
      <c r="J55" t="s">
        <v>153</v>
      </c>
      <c r="K55" t="s">
        <v>20</v>
      </c>
      <c r="L55" t="s">
        <v>21</v>
      </c>
      <c r="M55" t="s">
        <v>22</v>
      </c>
    </row>
    <row r="56" spans="1:13" hidden="1" x14ac:dyDescent="0.3">
      <c r="A56" t="s">
        <v>144</v>
      </c>
      <c r="B56" t="s">
        <v>188</v>
      </c>
      <c r="C56" t="s">
        <v>165</v>
      </c>
      <c r="D56" t="s">
        <v>181</v>
      </c>
      <c r="E56" t="s">
        <v>165</v>
      </c>
      <c r="F56" t="s">
        <v>170</v>
      </c>
      <c r="G56" t="s">
        <v>148</v>
      </c>
      <c r="H56" t="s">
        <v>148</v>
      </c>
      <c r="I56" t="s">
        <v>149</v>
      </c>
      <c r="J56" t="s">
        <v>153</v>
      </c>
      <c r="K56" t="s">
        <v>20</v>
      </c>
      <c r="L56" t="s">
        <v>21</v>
      </c>
      <c r="M56" t="s">
        <v>22</v>
      </c>
    </row>
    <row r="57" spans="1:13" hidden="1" x14ac:dyDescent="0.3">
      <c r="A57" t="s">
        <v>144</v>
      </c>
      <c r="B57" t="s">
        <v>189</v>
      </c>
      <c r="C57" t="s">
        <v>167</v>
      </c>
      <c r="D57" t="s">
        <v>181</v>
      </c>
      <c r="E57" t="s">
        <v>167</v>
      </c>
      <c r="F57" t="s">
        <v>170</v>
      </c>
      <c r="G57" t="s">
        <v>148</v>
      </c>
      <c r="H57" t="s">
        <v>148</v>
      </c>
      <c r="I57" t="s">
        <v>149</v>
      </c>
      <c r="J57" t="s">
        <v>153</v>
      </c>
      <c r="K57" t="s">
        <v>20</v>
      </c>
      <c r="L57" t="s">
        <v>21</v>
      </c>
      <c r="M57" t="s">
        <v>22</v>
      </c>
    </row>
    <row r="58" spans="1:13" hidden="1" x14ac:dyDescent="0.3">
      <c r="A58" t="s">
        <v>190</v>
      </c>
      <c r="B58" t="s">
        <v>191</v>
      </c>
      <c r="C58" t="s">
        <v>192</v>
      </c>
      <c r="D58" t="s">
        <v>22</v>
      </c>
      <c r="E58" t="s">
        <v>192</v>
      </c>
      <c r="F58" t="s">
        <v>22</v>
      </c>
      <c r="G58" t="s">
        <v>16</v>
      </c>
      <c r="H58" t="s">
        <v>16</v>
      </c>
      <c r="I58" t="s">
        <v>18</v>
      </c>
      <c r="J58" t="s">
        <v>116</v>
      </c>
      <c r="K58" t="s">
        <v>117</v>
      </c>
      <c r="L58" t="s">
        <v>118</v>
      </c>
      <c r="M58" t="s">
        <v>22</v>
      </c>
    </row>
    <row r="59" spans="1:13" hidden="1" x14ac:dyDescent="0.3">
      <c r="A59" t="s">
        <v>190</v>
      </c>
      <c r="B59" t="s">
        <v>193</v>
      </c>
      <c r="C59" t="s">
        <v>192</v>
      </c>
      <c r="D59" t="s">
        <v>22</v>
      </c>
      <c r="E59" t="s">
        <v>192</v>
      </c>
      <c r="F59" t="s">
        <v>22</v>
      </c>
      <c r="G59" t="s">
        <v>114</v>
      </c>
      <c r="H59" t="s">
        <v>194</v>
      </c>
      <c r="I59" t="s">
        <v>28</v>
      </c>
      <c r="J59" t="s">
        <v>116</v>
      </c>
      <c r="K59" t="s">
        <v>117</v>
      </c>
      <c r="L59" t="s">
        <v>118</v>
      </c>
      <c r="M59" t="s">
        <v>22</v>
      </c>
    </row>
    <row r="60" spans="1:13" hidden="1" x14ac:dyDescent="0.3">
      <c r="A60" t="s">
        <v>190</v>
      </c>
      <c r="B60" t="s">
        <v>195</v>
      </c>
      <c r="C60" t="s">
        <v>192</v>
      </c>
      <c r="D60" t="s">
        <v>22</v>
      </c>
      <c r="E60" t="s">
        <v>192</v>
      </c>
      <c r="F60" t="s">
        <v>22</v>
      </c>
      <c r="G60" t="s">
        <v>114</v>
      </c>
      <c r="H60" t="s">
        <v>196</v>
      </c>
      <c r="I60" t="s">
        <v>28</v>
      </c>
      <c r="J60" t="s">
        <v>116</v>
      </c>
      <c r="K60" t="s">
        <v>117</v>
      </c>
      <c r="L60" t="s">
        <v>118</v>
      </c>
      <c r="M60" t="s">
        <v>22</v>
      </c>
    </row>
    <row r="61" spans="1:13" hidden="1" x14ac:dyDescent="0.3">
      <c r="A61" t="s">
        <v>190</v>
      </c>
      <c r="B61" t="s">
        <v>197</v>
      </c>
      <c r="C61" t="s">
        <v>198</v>
      </c>
      <c r="D61" t="s">
        <v>22</v>
      </c>
      <c r="E61" t="s">
        <v>198</v>
      </c>
      <c r="F61" t="s">
        <v>22</v>
      </c>
      <c r="G61" t="s">
        <v>16</v>
      </c>
      <c r="H61" t="s">
        <v>16</v>
      </c>
      <c r="I61" t="s">
        <v>18</v>
      </c>
      <c r="J61" t="s">
        <v>19</v>
      </c>
      <c r="K61" t="s">
        <v>20</v>
      </c>
      <c r="L61" t="s">
        <v>21</v>
      </c>
      <c r="M61" t="s">
        <v>22</v>
      </c>
    </row>
    <row r="62" spans="1:13" hidden="1" x14ac:dyDescent="0.3">
      <c r="A62" t="s">
        <v>190</v>
      </c>
      <c r="B62" t="s">
        <v>199</v>
      </c>
      <c r="C62" t="s">
        <v>198</v>
      </c>
      <c r="D62" t="s">
        <v>22</v>
      </c>
      <c r="E62" t="s">
        <v>198</v>
      </c>
      <c r="F62" t="s">
        <v>22</v>
      </c>
      <c r="G62" t="s">
        <v>114</v>
      </c>
      <c r="H62" t="s">
        <v>194</v>
      </c>
      <c r="I62" t="s">
        <v>28</v>
      </c>
      <c r="J62" t="s">
        <v>19</v>
      </c>
      <c r="K62" t="s">
        <v>20</v>
      </c>
      <c r="L62" t="s">
        <v>21</v>
      </c>
      <c r="M62" t="s">
        <v>22</v>
      </c>
    </row>
    <row r="63" spans="1:13" hidden="1" x14ac:dyDescent="0.3">
      <c r="A63" t="s">
        <v>190</v>
      </c>
      <c r="B63" t="s">
        <v>200</v>
      </c>
      <c r="C63" t="s">
        <v>198</v>
      </c>
      <c r="D63" t="s">
        <v>22</v>
      </c>
      <c r="E63" t="s">
        <v>198</v>
      </c>
      <c r="F63" t="s">
        <v>22</v>
      </c>
      <c r="G63" t="s">
        <v>114</v>
      </c>
      <c r="H63" t="s">
        <v>196</v>
      </c>
      <c r="I63" t="s">
        <v>28</v>
      </c>
      <c r="J63" t="s">
        <v>19</v>
      </c>
      <c r="K63" t="s">
        <v>20</v>
      </c>
      <c r="L63" t="s">
        <v>21</v>
      </c>
      <c r="M63" t="s">
        <v>22</v>
      </c>
    </row>
    <row r="64" spans="1:13" hidden="1" x14ac:dyDescent="0.3">
      <c r="A64" t="s">
        <v>190</v>
      </c>
      <c r="B64" t="s">
        <v>201</v>
      </c>
      <c r="C64" t="s">
        <v>202</v>
      </c>
      <c r="D64" t="s">
        <v>22</v>
      </c>
      <c r="E64" t="s">
        <v>202</v>
      </c>
      <c r="F64" t="s">
        <v>22</v>
      </c>
      <c r="G64" t="s">
        <v>16</v>
      </c>
      <c r="H64" t="s">
        <v>16</v>
      </c>
      <c r="I64" t="s">
        <v>18</v>
      </c>
      <c r="J64" t="s">
        <v>19</v>
      </c>
      <c r="K64" t="s">
        <v>20</v>
      </c>
      <c r="L64" t="s">
        <v>21</v>
      </c>
      <c r="M64" t="s">
        <v>22</v>
      </c>
    </row>
    <row r="65" spans="1:13" hidden="1" x14ac:dyDescent="0.3">
      <c r="A65" t="s">
        <v>190</v>
      </c>
      <c r="B65" t="s">
        <v>203</v>
      </c>
      <c r="C65" t="s">
        <v>202</v>
      </c>
      <c r="D65" t="s">
        <v>22</v>
      </c>
      <c r="E65" t="s">
        <v>202</v>
      </c>
      <c r="F65" t="s">
        <v>22</v>
      </c>
      <c r="G65" t="s">
        <v>114</v>
      </c>
      <c r="H65" t="s">
        <v>194</v>
      </c>
      <c r="I65" t="s">
        <v>28</v>
      </c>
      <c r="J65" t="s">
        <v>19</v>
      </c>
      <c r="K65" t="s">
        <v>20</v>
      </c>
      <c r="L65" t="s">
        <v>21</v>
      </c>
      <c r="M65" t="s">
        <v>22</v>
      </c>
    </row>
    <row r="66" spans="1:13" hidden="1" x14ac:dyDescent="0.3">
      <c r="A66" t="s">
        <v>190</v>
      </c>
      <c r="B66" t="s">
        <v>204</v>
      </c>
      <c r="C66" t="s">
        <v>202</v>
      </c>
      <c r="D66" t="s">
        <v>22</v>
      </c>
      <c r="E66" t="s">
        <v>202</v>
      </c>
      <c r="F66" t="s">
        <v>22</v>
      </c>
      <c r="G66" t="s">
        <v>114</v>
      </c>
      <c r="H66" t="s">
        <v>196</v>
      </c>
      <c r="I66" t="s">
        <v>28</v>
      </c>
      <c r="J66" t="s">
        <v>19</v>
      </c>
      <c r="K66" t="s">
        <v>20</v>
      </c>
      <c r="L66" t="s">
        <v>21</v>
      </c>
      <c r="M66" t="s">
        <v>22</v>
      </c>
    </row>
    <row r="67" spans="1:13" hidden="1" x14ac:dyDescent="0.3">
      <c r="A67" t="s">
        <v>190</v>
      </c>
      <c r="B67" t="s">
        <v>205</v>
      </c>
      <c r="C67" t="s">
        <v>206</v>
      </c>
      <c r="D67" t="s">
        <v>22</v>
      </c>
      <c r="E67" t="s">
        <v>206</v>
      </c>
      <c r="F67" t="s">
        <v>22</v>
      </c>
      <c r="G67" t="s">
        <v>16</v>
      </c>
      <c r="H67" t="s">
        <v>16</v>
      </c>
      <c r="I67" t="s">
        <v>18</v>
      </c>
      <c r="J67" t="s">
        <v>19</v>
      </c>
      <c r="K67" t="s">
        <v>20</v>
      </c>
      <c r="L67" t="s">
        <v>21</v>
      </c>
      <c r="M67" t="s">
        <v>22</v>
      </c>
    </row>
    <row r="68" spans="1:13" hidden="1" x14ac:dyDescent="0.3">
      <c r="A68" t="s">
        <v>190</v>
      </c>
      <c r="B68" t="s">
        <v>207</v>
      </c>
      <c r="C68" t="s">
        <v>206</v>
      </c>
      <c r="D68" t="s">
        <v>22</v>
      </c>
      <c r="E68" t="s">
        <v>206</v>
      </c>
      <c r="F68" t="s">
        <v>22</v>
      </c>
      <c r="G68" t="s">
        <v>114</v>
      </c>
      <c r="H68" t="s">
        <v>194</v>
      </c>
      <c r="I68" t="s">
        <v>28</v>
      </c>
      <c r="J68" t="s">
        <v>19</v>
      </c>
      <c r="K68" t="s">
        <v>20</v>
      </c>
      <c r="L68" t="s">
        <v>21</v>
      </c>
      <c r="M68" t="s">
        <v>22</v>
      </c>
    </row>
    <row r="69" spans="1:13" hidden="1" x14ac:dyDescent="0.3">
      <c r="A69" t="s">
        <v>190</v>
      </c>
      <c r="B69" t="s">
        <v>208</v>
      </c>
      <c r="C69" t="s">
        <v>206</v>
      </c>
      <c r="D69" t="s">
        <v>22</v>
      </c>
      <c r="E69" t="s">
        <v>206</v>
      </c>
      <c r="F69" t="s">
        <v>22</v>
      </c>
      <c r="G69" t="s">
        <v>114</v>
      </c>
      <c r="H69" t="s">
        <v>196</v>
      </c>
      <c r="I69" t="s">
        <v>28</v>
      </c>
      <c r="J69" t="s">
        <v>19</v>
      </c>
      <c r="K69" t="s">
        <v>20</v>
      </c>
      <c r="L69" t="s">
        <v>21</v>
      </c>
      <c r="M69" t="s">
        <v>22</v>
      </c>
    </row>
    <row r="70" spans="1:13" hidden="1" x14ac:dyDescent="0.3">
      <c r="A70" t="s">
        <v>190</v>
      </c>
      <c r="B70" t="s">
        <v>209</v>
      </c>
      <c r="C70" t="s">
        <v>210</v>
      </c>
      <c r="D70" t="s">
        <v>22</v>
      </c>
      <c r="E70" t="s">
        <v>210</v>
      </c>
      <c r="F70" t="s">
        <v>22</v>
      </c>
      <c r="G70" t="s">
        <v>16</v>
      </c>
      <c r="H70" t="s">
        <v>16</v>
      </c>
      <c r="I70" t="s">
        <v>18</v>
      </c>
      <c r="J70" t="s">
        <v>19</v>
      </c>
      <c r="K70" t="s">
        <v>20</v>
      </c>
      <c r="L70" t="s">
        <v>21</v>
      </c>
      <c r="M70" t="s">
        <v>22</v>
      </c>
    </row>
    <row r="71" spans="1:13" hidden="1" x14ac:dyDescent="0.3">
      <c r="A71" t="s">
        <v>190</v>
      </c>
      <c r="B71" t="s">
        <v>211</v>
      </c>
      <c r="C71" t="s">
        <v>210</v>
      </c>
      <c r="D71" t="s">
        <v>22</v>
      </c>
      <c r="E71" t="s">
        <v>210</v>
      </c>
      <c r="F71" t="s">
        <v>22</v>
      </c>
      <c r="G71" t="s">
        <v>114</v>
      </c>
      <c r="H71" t="s">
        <v>194</v>
      </c>
      <c r="I71" t="s">
        <v>28</v>
      </c>
      <c r="J71" t="s">
        <v>19</v>
      </c>
      <c r="K71" t="s">
        <v>20</v>
      </c>
      <c r="L71" t="s">
        <v>21</v>
      </c>
      <c r="M71" t="s">
        <v>22</v>
      </c>
    </row>
    <row r="72" spans="1:13" hidden="1" x14ac:dyDescent="0.3">
      <c r="A72" t="s">
        <v>190</v>
      </c>
      <c r="B72" t="s">
        <v>212</v>
      </c>
      <c r="C72" t="s">
        <v>210</v>
      </c>
      <c r="D72" t="s">
        <v>22</v>
      </c>
      <c r="E72" t="s">
        <v>210</v>
      </c>
      <c r="F72" t="s">
        <v>22</v>
      </c>
      <c r="G72" t="s">
        <v>114</v>
      </c>
      <c r="H72" t="s">
        <v>196</v>
      </c>
      <c r="I72" t="s">
        <v>28</v>
      </c>
      <c r="J72" t="s">
        <v>19</v>
      </c>
      <c r="K72" t="s">
        <v>20</v>
      </c>
      <c r="L72" t="s">
        <v>21</v>
      </c>
      <c r="M72" t="s">
        <v>22</v>
      </c>
    </row>
    <row r="73" spans="1:13" hidden="1" x14ac:dyDescent="0.3">
      <c r="A73" t="s">
        <v>190</v>
      </c>
      <c r="B73" t="s">
        <v>213</v>
      </c>
      <c r="C73" t="s">
        <v>214</v>
      </c>
      <c r="D73" t="s">
        <v>22</v>
      </c>
      <c r="E73" t="s">
        <v>214</v>
      </c>
      <c r="F73" t="s">
        <v>22</v>
      </c>
      <c r="G73" t="s">
        <v>16</v>
      </c>
      <c r="H73" t="s">
        <v>16</v>
      </c>
      <c r="I73" t="s">
        <v>18</v>
      </c>
      <c r="J73" t="s">
        <v>19</v>
      </c>
      <c r="K73" t="s">
        <v>20</v>
      </c>
      <c r="L73" t="s">
        <v>21</v>
      </c>
      <c r="M73" t="s">
        <v>22</v>
      </c>
    </row>
    <row r="74" spans="1:13" hidden="1" x14ac:dyDescent="0.3">
      <c r="A74" t="s">
        <v>190</v>
      </c>
      <c r="B74" t="s">
        <v>215</v>
      </c>
      <c r="C74" t="s">
        <v>214</v>
      </c>
      <c r="D74" t="s">
        <v>22</v>
      </c>
      <c r="E74" t="s">
        <v>214</v>
      </c>
      <c r="F74" t="s">
        <v>22</v>
      </c>
      <c r="G74" t="s">
        <v>114</v>
      </c>
      <c r="H74" t="s">
        <v>194</v>
      </c>
      <c r="I74" t="s">
        <v>28</v>
      </c>
      <c r="J74" t="s">
        <v>19</v>
      </c>
      <c r="K74" t="s">
        <v>20</v>
      </c>
      <c r="L74" t="s">
        <v>21</v>
      </c>
      <c r="M74" t="s">
        <v>22</v>
      </c>
    </row>
    <row r="75" spans="1:13" hidden="1" x14ac:dyDescent="0.3">
      <c r="A75" t="s">
        <v>190</v>
      </c>
      <c r="B75" t="s">
        <v>216</v>
      </c>
      <c r="C75" t="s">
        <v>214</v>
      </c>
      <c r="D75" t="s">
        <v>22</v>
      </c>
      <c r="E75" t="s">
        <v>214</v>
      </c>
      <c r="F75" t="s">
        <v>22</v>
      </c>
      <c r="G75" t="s">
        <v>114</v>
      </c>
      <c r="H75" t="s">
        <v>196</v>
      </c>
      <c r="I75" t="s">
        <v>28</v>
      </c>
      <c r="J75" t="s">
        <v>19</v>
      </c>
      <c r="K75" t="s">
        <v>20</v>
      </c>
      <c r="L75" t="s">
        <v>21</v>
      </c>
      <c r="M75" t="s">
        <v>22</v>
      </c>
    </row>
    <row r="76" spans="1:13" hidden="1" x14ac:dyDescent="0.3">
      <c r="A76" t="s">
        <v>190</v>
      </c>
      <c r="B76" t="s">
        <v>217</v>
      </c>
      <c r="C76" t="s">
        <v>218</v>
      </c>
      <c r="D76" t="s">
        <v>22</v>
      </c>
      <c r="E76" t="s">
        <v>218</v>
      </c>
      <c r="F76" t="s">
        <v>22</v>
      </c>
      <c r="G76" t="s">
        <v>16</v>
      </c>
      <c r="H76" t="s">
        <v>16</v>
      </c>
      <c r="I76" t="s">
        <v>18</v>
      </c>
      <c r="J76" t="s">
        <v>19</v>
      </c>
      <c r="K76" t="s">
        <v>20</v>
      </c>
      <c r="L76" t="s">
        <v>21</v>
      </c>
      <c r="M76" t="s">
        <v>22</v>
      </c>
    </row>
    <row r="77" spans="1:13" hidden="1" x14ac:dyDescent="0.3">
      <c r="A77" t="s">
        <v>190</v>
      </c>
      <c r="B77" t="s">
        <v>219</v>
      </c>
      <c r="C77" t="s">
        <v>218</v>
      </c>
      <c r="D77" t="s">
        <v>22</v>
      </c>
      <c r="E77" t="s">
        <v>218</v>
      </c>
      <c r="F77" t="s">
        <v>22</v>
      </c>
      <c r="G77" t="s">
        <v>114</v>
      </c>
      <c r="H77" t="s">
        <v>194</v>
      </c>
      <c r="I77" t="s">
        <v>28</v>
      </c>
      <c r="J77" t="s">
        <v>19</v>
      </c>
      <c r="K77" t="s">
        <v>20</v>
      </c>
      <c r="L77" t="s">
        <v>21</v>
      </c>
      <c r="M77" t="s">
        <v>22</v>
      </c>
    </row>
    <row r="78" spans="1:13" hidden="1" x14ac:dyDescent="0.3">
      <c r="A78" t="s">
        <v>190</v>
      </c>
      <c r="B78" t="s">
        <v>220</v>
      </c>
      <c r="C78" t="s">
        <v>218</v>
      </c>
      <c r="D78" t="s">
        <v>22</v>
      </c>
      <c r="E78" t="s">
        <v>218</v>
      </c>
      <c r="F78" t="s">
        <v>22</v>
      </c>
      <c r="G78" t="s">
        <v>114</v>
      </c>
      <c r="H78" t="s">
        <v>196</v>
      </c>
      <c r="I78" t="s">
        <v>28</v>
      </c>
      <c r="J78" t="s">
        <v>19</v>
      </c>
      <c r="K78" t="s">
        <v>20</v>
      </c>
      <c r="L78" t="s">
        <v>21</v>
      </c>
      <c r="M78" t="s">
        <v>22</v>
      </c>
    </row>
    <row r="79" spans="1:13" hidden="1" x14ac:dyDescent="0.3">
      <c r="A79" t="s">
        <v>190</v>
      </c>
      <c r="B79" t="s">
        <v>221</v>
      </c>
      <c r="C79" t="s">
        <v>222</v>
      </c>
      <c r="D79" t="s">
        <v>22</v>
      </c>
      <c r="E79" t="s">
        <v>222</v>
      </c>
      <c r="F79" t="s">
        <v>22</v>
      </c>
      <c r="G79" t="s">
        <v>16</v>
      </c>
      <c r="H79" t="s">
        <v>16</v>
      </c>
      <c r="I79" t="s">
        <v>18</v>
      </c>
      <c r="J79" t="s">
        <v>19</v>
      </c>
      <c r="K79" t="s">
        <v>20</v>
      </c>
      <c r="L79" t="s">
        <v>21</v>
      </c>
      <c r="M79" t="s">
        <v>22</v>
      </c>
    </row>
    <row r="80" spans="1:13" hidden="1" x14ac:dyDescent="0.3">
      <c r="A80" t="s">
        <v>190</v>
      </c>
      <c r="B80" t="s">
        <v>223</v>
      </c>
      <c r="C80" t="s">
        <v>222</v>
      </c>
      <c r="D80" t="s">
        <v>22</v>
      </c>
      <c r="E80" t="s">
        <v>222</v>
      </c>
      <c r="F80" t="s">
        <v>22</v>
      </c>
      <c r="G80" t="s">
        <v>114</v>
      </c>
      <c r="H80" t="s">
        <v>194</v>
      </c>
      <c r="I80" t="s">
        <v>28</v>
      </c>
      <c r="J80" t="s">
        <v>19</v>
      </c>
      <c r="K80" t="s">
        <v>20</v>
      </c>
      <c r="L80" t="s">
        <v>21</v>
      </c>
      <c r="M80" t="s">
        <v>22</v>
      </c>
    </row>
    <row r="81" spans="1:13" hidden="1" x14ac:dyDescent="0.3">
      <c r="A81" t="s">
        <v>190</v>
      </c>
      <c r="B81" t="s">
        <v>224</v>
      </c>
      <c r="C81" t="s">
        <v>222</v>
      </c>
      <c r="D81" t="s">
        <v>22</v>
      </c>
      <c r="E81" t="s">
        <v>222</v>
      </c>
      <c r="F81" t="s">
        <v>22</v>
      </c>
      <c r="G81" t="s">
        <v>114</v>
      </c>
      <c r="H81" t="s">
        <v>196</v>
      </c>
      <c r="I81" t="s">
        <v>28</v>
      </c>
      <c r="J81" t="s">
        <v>19</v>
      </c>
      <c r="K81" t="s">
        <v>20</v>
      </c>
      <c r="L81" t="s">
        <v>21</v>
      </c>
      <c r="M81" t="s">
        <v>22</v>
      </c>
    </row>
    <row r="82" spans="1:13" hidden="1" x14ac:dyDescent="0.3">
      <c r="A82" t="s">
        <v>190</v>
      </c>
      <c r="B82" t="s">
        <v>225</v>
      </c>
      <c r="C82" t="s">
        <v>226</v>
      </c>
      <c r="D82" t="s">
        <v>22</v>
      </c>
      <c r="E82" t="s">
        <v>226</v>
      </c>
      <c r="F82" t="s">
        <v>22</v>
      </c>
      <c r="G82" t="s">
        <v>114</v>
      </c>
      <c r="H82" t="s">
        <v>194</v>
      </c>
      <c r="I82" t="s">
        <v>28</v>
      </c>
      <c r="J82" t="s">
        <v>19</v>
      </c>
      <c r="K82" t="s">
        <v>20</v>
      </c>
      <c r="L82" t="s">
        <v>21</v>
      </c>
      <c r="M82" t="s">
        <v>22</v>
      </c>
    </row>
    <row r="83" spans="1:13" hidden="1" x14ac:dyDescent="0.3">
      <c r="A83" t="s">
        <v>190</v>
      </c>
      <c r="B83" t="s">
        <v>227</v>
      </c>
      <c r="C83" t="s">
        <v>226</v>
      </c>
      <c r="D83" t="s">
        <v>22</v>
      </c>
      <c r="E83" t="s">
        <v>226</v>
      </c>
      <c r="F83" t="s">
        <v>22</v>
      </c>
      <c r="G83" t="s">
        <v>114</v>
      </c>
      <c r="H83" t="s">
        <v>196</v>
      </c>
      <c r="I83" t="s">
        <v>28</v>
      </c>
      <c r="J83" t="s">
        <v>19</v>
      </c>
      <c r="K83" t="s">
        <v>20</v>
      </c>
      <c r="L83" t="s">
        <v>21</v>
      </c>
      <c r="M83" t="s">
        <v>22</v>
      </c>
    </row>
    <row r="84" spans="1:13" hidden="1" x14ac:dyDescent="0.3">
      <c r="A84" t="s">
        <v>190</v>
      </c>
      <c r="B84" t="s">
        <v>228</v>
      </c>
      <c r="C84" t="s">
        <v>229</v>
      </c>
      <c r="D84" t="s">
        <v>22</v>
      </c>
      <c r="E84" t="s">
        <v>229</v>
      </c>
      <c r="F84" t="s">
        <v>22</v>
      </c>
      <c r="G84" t="s">
        <v>114</v>
      </c>
      <c r="H84" t="s">
        <v>194</v>
      </c>
      <c r="I84" t="s">
        <v>28</v>
      </c>
      <c r="J84" t="s">
        <v>19</v>
      </c>
      <c r="K84" t="s">
        <v>20</v>
      </c>
      <c r="L84" t="s">
        <v>21</v>
      </c>
      <c r="M84" t="s">
        <v>22</v>
      </c>
    </row>
    <row r="85" spans="1:13" hidden="1" x14ac:dyDescent="0.3">
      <c r="A85" t="s">
        <v>190</v>
      </c>
      <c r="B85" t="s">
        <v>230</v>
      </c>
      <c r="C85" t="s">
        <v>229</v>
      </c>
      <c r="D85" t="s">
        <v>22</v>
      </c>
      <c r="E85" t="s">
        <v>229</v>
      </c>
      <c r="F85" t="s">
        <v>22</v>
      </c>
      <c r="G85" t="s">
        <v>114</v>
      </c>
      <c r="H85" t="s">
        <v>196</v>
      </c>
      <c r="I85" t="s">
        <v>28</v>
      </c>
      <c r="J85" t="s">
        <v>19</v>
      </c>
      <c r="K85" t="s">
        <v>20</v>
      </c>
      <c r="L85" t="s">
        <v>21</v>
      </c>
      <c r="M85" t="s">
        <v>22</v>
      </c>
    </row>
    <row r="86" spans="1:13" hidden="1" x14ac:dyDescent="0.3">
      <c r="A86" t="s">
        <v>190</v>
      </c>
      <c r="B86" t="s">
        <v>231</v>
      </c>
      <c r="C86" t="s">
        <v>232</v>
      </c>
      <c r="D86" t="s">
        <v>22</v>
      </c>
      <c r="E86" t="s">
        <v>232</v>
      </c>
      <c r="F86" t="s">
        <v>22</v>
      </c>
      <c r="G86" t="s">
        <v>114</v>
      </c>
      <c r="H86" t="s">
        <v>196</v>
      </c>
      <c r="I86" t="s">
        <v>28</v>
      </c>
      <c r="J86" t="s">
        <v>19</v>
      </c>
      <c r="K86" t="s">
        <v>20</v>
      </c>
      <c r="L86" t="s">
        <v>21</v>
      </c>
      <c r="M86" t="s">
        <v>22</v>
      </c>
    </row>
    <row r="87" spans="1:13" hidden="1" x14ac:dyDescent="0.3">
      <c r="A87" t="s">
        <v>190</v>
      </c>
      <c r="B87" t="s">
        <v>233</v>
      </c>
      <c r="C87" t="s">
        <v>234</v>
      </c>
      <c r="D87" t="s">
        <v>22</v>
      </c>
      <c r="E87" t="s">
        <v>234</v>
      </c>
      <c r="F87" t="s">
        <v>22</v>
      </c>
      <c r="G87" t="s">
        <v>114</v>
      </c>
      <c r="H87" t="s">
        <v>196</v>
      </c>
      <c r="I87" t="s">
        <v>28</v>
      </c>
      <c r="J87" t="s">
        <v>19</v>
      </c>
      <c r="K87" t="s">
        <v>20</v>
      </c>
      <c r="L87" t="s">
        <v>21</v>
      </c>
      <c r="M87" t="s">
        <v>22</v>
      </c>
    </row>
    <row r="88" spans="1:13" hidden="1" x14ac:dyDescent="0.3">
      <c r="A88" t="s">
        <v>190</v>
      </c>
      <c r="B88" t="s">
        <v>235</v>
      </c>
      <c r="C88" t="s">
        <v>236</v>
      </c>
      <c r="D88" t="s">
        <v>22</v>
      </c>
      <c r="E88" t="s">
        <v>236</v>
      </c>
      <c r="F88" t="s">
        <v>22</v>
      </c>
      <c r="G88" t="s">
        <v>22</v>
      </c>
      <c r="H88" t="s">
        <v>196</v>
      </c>
      <c r="I88" t="s">
        <v>28</v>
      </c>
      <c r="J88" t="s">
        <v>19</v>
      </c>
      <c r="K88" t="s">
        <v>20</v>
      </c>
      <c r="L88" t="s">
        <v>21</v>
      </c>
      <c r="M88" t="s">
        <v>22</v>
      </c>
    </row>
    <row r="89" spans="1:13" hidden="1" x14ac:dyDescent="0.3">
      <c r="A89" t="s">
        <v>190</v>
      </c>
      <c r="B89" t="s">
        <v>237</v>
      </c>
      <c r="C89" t="s">
        <v>238</v>
      </c>
      <c r="D89" t="s">
        <v>22</v>
      </c>
      <c r="E89" t="s">
        <v>238</v>
      </c>
      <c r="F89" t="s">
        <v>22</v>
      </c>
      <c r="G89" t="s">
        <v>22</v>
      </c>
      <c r="H89" t="s">
        <v>196</v>
      </c>
      <c r="I89" t="s">
        <v>28</v>
      </c>
      <c r="J89" t="s">
        <v>19</v>
      </c>
      <c r="K89" t="s">
        <v>20</v>
      </c>
      <c r="L89" t="s">
        <v>21</v>
      </c>
      <c r="M89" t="s">
        <v>22</v>
      </c>
    </row>
    <row r="90" spans="1:13" hidden="1" x14ac:dyDescent="0.3">
      <c r="A90" t="s">
        <v>190</v>
      </c>
      <c r="B90" t="s">
        <v>239</v>
      </c>
      <c r="C90" t="s">
        <v>240</v>
      </c>
      <c r="D90" t="s">
        <v>22</v>
      </c>
      <c r="E90" t="s">
        <v>240</v>
      </c>
      <c r="F90" t="s">
        <v>22</v>
      </c>
      <c r="G90" t="s">
        <v>16</v>
      </c>
      <c r="H90" t="s">
        <v>16</v>
      </c>
      <c r="I90" t="s">
        <v>18</v>
      </c>
      <c r="J90" t="s">
        <v>19</v>
      </c>
      <c r="K90" t="s">
        <v>20</v>
      </c>
      <c r="L90" t="s">
        <v>21</v>
      </c>
      <c r="M90" t="s">
        <v>22</v>
      </c>
    </row>
    <row r="91" spans="1:13" hidden="1" x14ac:dyDescent="0.3">
      <c r="A91" t="s">
        <v>190</v>
      </c>
      <c r="B91" t="s">
        <v>241</v>
      </c>
      <c r="C91" t="s">
        <v>240</v>
      </c>
      <c r="D91" t="s">
        <v>22</v>
      </c>
      <c r="E91" t="s">
        <v>240</v>
      </c>
      <c r="F91" t="s">
        <v>22</v>
      </c>
      <c r="G91" t="s">
        <v>114</v>
      </c>
      <c r="H91" t="s">
        <v>194</v>
      </c>
      <c r="I91" t="s">
        <v>28</v>
      </c>
      <c r="J91" t="s">
        <v>19</v>
      </c>
      <c r="K91" t="s">
        <v>20</v>
      </c>
      <c r="L91" t="s">
        <v>21</v>
      </c>
      <c r="M91" t="s">
        <v>22</v>
      </c>
    </row>
    <row r="92" spans="1:13" hidden="1" x14ac:dyDescent="0.3">
      <c r="A92" t="s">
        <v>190</v>
      </c>
      <c r="B92" t="s">
        <v>242</v>
      </c>
      <c r="C92" t="s">
        <v>240</v>
      </c>
      <c r="D92" t="s">
        <v>22</v>
      </c>
      <c r="E92" t="s">
        <v>240</v>
      </c>
      <c r="F92" t="s">
        <v>22</v>
      </c>
      <c r="G92" t="s">
        <v>114</v>
      </c>
      <c r="H92" t="s">
        <v>196</v>
      </c>
      <c r="I92" t="s">
        <v>28</v>
      </c>
      <c r="J92" t="s">
        <v>19</v>
      </c>
      <c r="K92" t="s">
        <v>20</v>
      </c>
      <c r="L92" t="s">
        <v>21</v>
      </c>
      <c r="M92" t="s">
        <v>22</v>
      </c>
    </row>
    <row r="93" spans="1:13" hidden="1" x14ac:dyDescent="0.3">
      <c r="A93" t="s">
        <v>190</v>
      </c>
      <c r="B93" t="s">
        <v>243</v>
      </c>
      <c r="C93" t="s">
        <v>244</v>
      </c>
      <c r="D93" t="s">
        <v>22</v>
      </c>
      <c r="E93" t="s">
        <v>244</v>
      </c>
      <c r="F93" t="s">
        <v>22</v>
      </c>
      <c r="G93" t="s">
        <v>16</v>
      </c>
      <c r="H93" t="s">
        <v>16</v>
      </c>
      <c r="I93" t="s">
        <v>18</v>
      </c>
      <c r="J93" t="s">
        <v>19</v>
      </c>
      <c r="K93" t="s">
        <v>20</v>
      </c>
      <c r="L93" t="s">
        <v>21</v>
      </c>
      <c r="M93" t="s">
        <v>22</v>
      </c>
    </row>
    <row r="94" spans="1:13" hidden="1" x14ac:dyDescent="0.3">
      <c r="A94" t="s">
        <v>190</v>
      </c>
      <c r="B94" t="s">
        <v>245</v>
      </c>
      <c r="C94" t="s">
        <v>244</v>
      </c>
      <c r="D94" t="s">
        <v>22</v>
      </c>
      <c r="E94" t="s">
        <v>244</v>
      </c>
      <c r="F94" t="s">
        <v>22</v>
      </c>
      <c r="G94" t="s">
        <v>22</v>
      </c>
      <c r="H94" t="s">
        <v>194</v>
      </c>
      <c r="I94" t="s">
        <v>28</v>
      </c>
      <c r="J94" t="s">
        <v>19</v>
      </c>
      <c r="K94" t="s">
        <v>20</v>
      </c>
      <c r="L94" t="s">
        <v>21</v>
      </c>
      <c r="M94" t="s">
        <v>22</v>
      </c>
    </row>
    <row r="95" spans="1:13" hidden="1" x14ac:dyDescent="0.3">
      <c r="A95" t="s">
        <v>190</v>
      </c>
      <c r="B95" t="s">
        <v>246</v>
      </c>
      <c r="C95" t="s">
        <v>244</v>
      </c>
      <c r="D95" t="s">
        <v>22</v>
      </c>
      <c r="E95" t="s">
        <v>244</v>
      </c>
      <c r="F95" t="s">
        <v>22</v>
      </c>
      <c r="G95" t="s">
        <v>114</v>
      </c>
      <c r="H95" t="s">
        <v>196</v>
      </c>
      <c r="I95" t="s">
        <v>28</v>
      </c>
      <c r="J95" t="s">
        <v>19</v>
      </c>
      <c r="K95" t="s">
        <v>20</v>
      </c>
      <c r="L95" t="s">
        <v>21</v>
      </c>
      <c r="M95" t="s">
        <v>22</v>
      </c>
    </row>
    <row r="96" spans="1:13" hidden="1" x14ac:dyDescent="0.3">
      <c r="A96" t="s">
        <v>190</v>
      </c>
      <c r="B96" t="s">
        <v>247</v>
      </c>
      <c r="C96" t="s">
        <v>248</v>
      </c>
      <c r="D96" t="s">
        <v>22</v>
      </c>
      <c r="E96" t="s">
        <v>248</v>
      </c>
      <c r="F96" t="s">
        <v>22</v>
      </c>
      <c r="G96" t="s">
        <v>22</v>
      </c>
      <c r="H96" t="s">
        <v>16</v>
      </c>
      <c r="I96" t="s">
        <v>18</v>
      </c>
      <c r="J96" t="s">
        <v>19</v>
      </c>
      <c r="K96" t="s">
        <v>20</v>
      </c>
      <c r="L96" t="s">
        <v>21</v>
      </c>
      <c r="M96" t="s">
        <v>22</v>
      </c>
    </row>
    <row r="97" spans="1:13" hidden="1" x14ac:dyDescent="0.3">
      <c r="A97" t="s">
        <v>190</v>
      </c>
      <c r="B97" t="s">
        <v>249</v>
      </c>
      <c r="C97" t="s">
        <v>248</v>
      </c>
      <c r="D97" t="s">
        <v>22</v>
      </c>
      <c r="E97" t="s">
        <v>248</v>
      </c>
      <c r="F97" t="s">
        <v>22</v>
      </c>
      <c r="G97" t="s">
        <v>114</v>
      </c>
      <c r="H97" t="s">
        <v>194</v>
      </c>
      <c r="I97" t="s">
        <v>28</v>
      </c>
      <c r="J97" t="s">
        <v>19</v>
      </c>
      <c r="K97" t="s">
        <v>20</v>
      </c>
      <c r="L97" t="s">
        <v>21</v>
      </c>
      <c r="M97" t="s">
        <v>22</v>
      </c>
    </row>
    <row r="98" spans="1:13" hidden="1" x14ac:dyDescent="0.3">
      <c r="A98" t="s">
        <v>190</v>
      </c>
      <c r="B98" t="s">
        <v>250</v>
      </c>
      <c r="C98" t="s">
        <v>248</v>
      </c>
      <c r="D98" t="s">
        <v>22</v>
      </c>
      <c r="E98" t="s">
        <v>248</v>
      </c>
      <c r="F98" t="s">
        <v>22</v>
      </c>
      <c r="G98" t="s">
        <v>114</v>
      </c>
      <c r="H98" t="s">
        <v>196</v>
      </c>
      <c r="I98" t="s">
        <v>28</v>
      </c>
      <c r="J98" t="s">
        <v>19</v>
      </c>
      <c r="K98" t="s">
        <v>20</v>
      </c>
      <c r="L98" t="s">
        <v>21</v>
      </c>
      <c r="M98" t="s">
        <v>22</v>
      </c>
    </row>
    <row r="99" spans="1:13" hidden="1" x14ac:dyDescent="0.3">
      <c r="A99" t="s">
        <v>190</v>
      </c>
      <c r="B99" t="s">
        <v>251</v>
      </c>
      <c r="C99" t="s">
        <v>252</v>
      </c>
      <c r="D99" t="s">
        <v>22</v>
      </c>
      <c r="E99" t="s">
        <v>252</v>
      </c>
      <c r="F99" t="s">
        <v>22</v>
      </c>
      <c r="G99" t="s">
        <v>22</v>
      </c>
      <c r="H99" t="s">
        <v>16</v>
      </c>
      <c r="I99" t="s">
        <v>18</v>
      </c>
      <c r="J99" t="s">
        <v>19</v>
      </c>
      <c r="K99" t="s">
        <v>20</v>
      </c>
      <c r="L99" t="s">
        <v>21</v>
      </c>
      <c r="M99" t="s">
        <v>22</v>
      </c>
    </row>
    <row r="100" spans="1:13" hidden="1" x14ac:dyDescent="0.3">
      <c r="A100" t="s">
        <v>190</v>
      </c>
      <c r="B100" t="s">
        <v>253</v>
      </c>
      <c r="C100" t="s">
        <v>252</v>
      </c>
      <c r="D100" t="s">
        <v>22</v>
      </c>
      <c r="E100" t="s">
        <v>252</v>
      </c>
      <c r="F100" t="s">
        <v>22</v>
      </c>
      <c r="G100" t="s">
        <v>114</v>
      </c>
      <c r="H100" t="s">
        <v>194</v>
      </c>
      <c r="I100" t="s">
        <v>28</v>
      </c>
      <c r="J100" t="s">
        <v>19</v>
      </c>
      <c r="K100" t="s">
        <v>20</v>
      </c>
      <c r="L100" t="s">
        <v>21</v>
      </c>
      <c r="M100" t="s">
        <v>22</v>
      </c>
    </row>
    <row r="101" spans="1:13" hidden="1" x14ac:dyDescent="0.3">
      <c r="A101" t="s">
        <v>190</v>
      </c>
      <c r="B101" t="s">
        <v>254</v>
      </c>
      <c r="C101" t="s">
        <v>252</v>
      </c>
      <c r="D101" t="s">
        <v>22</v>
      </c>
      <c r="E101" t="s">
        <v>252</v>
      </c>
      <c r="F101" t="s">
        <v>22</v>
      </c>
      <c r="G101" t="s">
        <v>114</v>
      </c>
      <c r="H101" t="s">
        <v>196</v>
      </c>
      <c r="I101" t="s">
        <v>28</v>
      </c>
      <c r="J101" t="s">
        <v>19</v>
      </c>
      <c r="K101" t="s">
        <v>20</v>
      </c>
      <c r="L101" t="s">
        <v>21</v>
      </c>
      <c r="M101" t="s">
        <v>22</v>
      </c>
    </row>
    <row r="102" spans="1:13" hidden="1" x14ac:dyDescent="0.3">
      <c r="A102" t="s">
        <v>255</v>
      </c>
      <c r="B102" t="s">
        <v>256</v>
      </c>
      <c r="C102" t="s">
        <v>257</v>
      </c>
      <c r="D102" t="s">
        <v>22</v>
      </c>
      <c r="E102" t="s">
        <v>258</v>
      </c>
      <c r="F102" t="s">
        <v>22</v>
      </c>
      <c r="G102" t="s">
        <v>148</v>
      </c>
      <c r="H102" t="s">
        <v>148</v>
      </c>
      <c r="I102" t="s">
        <v>149</v>
      </c>
      <c r="J102" t="s">
        <v>19</v>
      </c>
      <c r="K102" t="s">
        <v>20</v>
      </c>
      <c r="L102" t="s">
        <v>21</v>
      </c>
      <c r="M102" t="s">
        <v>22</v>
      </c>
    </row>
    <row r="103" spans="1:13" hidden="1" x14ac:dyDescent="0.3">
      <c r="A103" t="s">
        <v>255</v>
      </c>
      <c r="B103" t="s">
        <v>259</v>
      </c>
      <c r="C103" t="s">
        <v>257</v>
      </c>
      <c r="D103" t="s">
        <v>22</v>
      </c>
      <c r="E103" t="s">
        <v>260</v>
      </c>
      <c r="F103" t="s">
        <v>22</v>
      </c>
      <c r="G103" t="s">
        <v>261</v>
      </c>
      <c r="H103" t="s">
        <v>148</v>
      </c>
      <c r="I103" t="s">
        <v>149</v>
      </c>
      <c r="J103" t="s">
        <v>19</v>
      </c>
      <c r="K103" t="s">
        <v>20</v>
      </c>
      <c r="L103" t="s">
        <v>21</v>
      </c>
      <c r="M103" t="s">
        <v>22</v>
      </c>
    </row>
    <row r="104" spans="1:13" hidden="1" x14ac:dyDescent="0.3">
      <c r="A104" t="s">
        <v>255</v>
      </c>
      <c r="B104" t="s">
        <v>262</v>
      </c>
      <c r="C104" t="s">
        <v>257</v>
      </c>
      <c r="D104" t="s">
        <v>22</v>
      </c>
      <c r="E104" t="s">
        <v>263</v>
      </c>
      <c r="F104" t="s">
        <v>22</v>
      </c>
      <c r="G104" t="s">
        <v>264</v>
      </c>
      <c r="H104" t="s">
        <v>114</v>
      </c>
      <c r="I104" t="s">
        <v>18</v>
      </c>
      <c r="J104" t="s">
        <v>19</v>
      </c>
      <c r="K104" t="s">
        <v>20</v>
      </c>
      <c r="L104" t="s">
        <v>21</v>
      </c>
      <c r="M104" t="s">
        <v>22</v>
      </c>
    </row>
    <row r="105" spans="1:13" hidden="1" x14ac:dyDescent="0.3">
      <c r="A105" t="s">
        <v>255</v>
      </c>
      <c r="B105" t="s">
        <v>265</v>
      </c>
      <c r="C105" t="s">
        <v>257</v>
      </c>
      <c r="D105" t="s">
        <v>22</v>
      </c>
      <c r="E105" t="s">
        <v>266</v>
      </c>
      <c r="F105" t="s">
        <v>22</v>
      </c>
      <c r="G105" t="s">
        <v>114</v>
      </c>
      <c r="H105" t="s">
        <v>114</v>
      </c>
      <c r="I105" t="s">
        <v>18</v>
      </c>
      <c r="J105" t="s">
        <v>19</v>
      </c>
      <c r="K105" t="s">
        <v>20</v>
      </c>
      <c r="L105" t="s">
        <v>21</v>
      </c>
      <c r="M105" t="s">
        <v>22</v>
      </c>
    </row>
    <row r="106" spans="1:13" hidden="1" x14ac:dyDescent="0.3">
      <c r="A106" t="s">
        <v>255</v>
      </c>
      <c r="B106" t="s">
        <v>267</v>
      </c>
      <c r="C106" t="s">
        <v>268</v>
      </c>
      <c r="D106" t="s">
        <v>22</v>
      </c>
      <c r="E106" t="s">
        <v>269</v>
      </c>
      <c r="F106" t="s">
        <v>22</v>
      </c>
      <c r="G106" t="s">
        <v>270</v>
      </c>
      <c r="H106" t="s">
        <v>148</v>
      </c>
      <c r="I106" t="s">
        <v>149</v>
      </c>
      <c r="J106" t="s">
        <v>19</v>
      </c>
      <c r="K106" t="s">
        <v>20</v>
      </c>
      <c r="L106" t="s">
        <v>21</v>
      </c>
      <c r="M106" t="s">
        <v>22</v>
      </c>
    </row>
    <row r="107" spans="1:13" hidden="1" x14ac:dyDescent="0.3">
      <c r="A107" t="s">
        <v>255</v>
      </c>
      <c r="B107" t="s">
        <v>271</v>
      </c>
      <c r="C107" t="s">
        <v>268</v>
      </c>
      <c r="D107" t="s">
        <v>22</v>
      </c>
      <c r="E107" t="s">
        <v>272</v>
      </c>
      <c r="F107" t="s">
        <v>22</v>
      </c>
      <c r="G107" t="s">
        <v>273</v>
      </c>
      <c r="H107" t="s">
        <v>148</v>
      </c>
      <c r="I107" t="s">
        <v>149</v>
      </c>
      <c r="J107" t="s">
        <v>19</v>
      </c>
      <c r="K107" t="s">
        <v>20</v>
      </c>
      <c r="L107" t="s">
        <v>21</v>
      </c>
      <c r="M107" t="s">
        <v>22</v>
      </c>
    </row>
    <row r="108" spans="1:13" hidden="1" x14ac:dyDescent="0.3">
      <c r="A108" t="s">
        <v>255</v>
      </c>
      <c r="B108" t="s">
        <v>274</v>
      </c>
      <c r="C108" t="s">
        <v>268</v>
      </c>
      <c r="D108" t="s">
        <v>22</v>
      </c>
      <c r="E108" t="s">
        <v>275</v>
      </c>
      <c r="F108" t="s">
        <v>22</v>
      </c>
      <c r="G108" t="s">
        <v>276</v>
      </c>
      <c r="H108" t="s">
        <v>114</v>
      </c>
      <c r="I108" t="s">
        <v>18</v>
      </c>
      <c r="J108" t="s">
        <v>19</v>
      </c>
      <c r="K108" t="s">
        <v>20</v>
      </c>
      <c r="L108" t="s">
        <v>21</v>
      </c>
      <c r="M108" t="s">
        <v>22</v>
      </c>
    </row>
    <row r="109" spans="1:13" hidden="1" x14ac:dyDescent="0.3">
      <c r="A109" t="s">
        <v>255</v>
      </c>
      <c r="B109" t="s">
        <v>277</v>
      </c>
      <c r="C109" t="s">
        <v>268</v>
      </c>
      <c r="D109" t="s">
        <v>22</v>
      </c>
      <c r="E109" t="s">
        <v>278</v>
      </c>
      <c r="F109" t="s">
        <v>22</v>
      </c>
      <c r="G109" t="s">
        <v>279</v>
      </c>
      <c r="H109" t="s">
        <v>114</v>
      </c>
      <c r="I109" t="s">
        <v>18</v>
      </c>
      <c r="J109" t="s">
        <v>19</v>
      </c>
      <c r="K109" t="s">
        <v>20</v>
      </c>
      <c r="L109" t="s">
        <v>21</v>
      </c>
      <c r="M109" t="s">
        <v>22</v>
      </c>
    </row>
    <row r="110" spans="1:13" hidden="1" x14ac:dyDescent="0.3">
      <c r="A110" t="s">
        <v>255</v>
      </c>
      <c r="B110" t="s">
        <v>280</v>
      </c>
      <c r="C110" t="s">
        <v>281</v>
      </c>
      <c r="D110" t="s">
        <v>22</v>
      </c>
      <c r="E110" t="s">
        <v>282</v>
      </c>
      <c r="F110" t="s">
        <v>22</v>
      </c>
      <c r="G110" t="s">
        <v>270</v>
      </c>
      <c r="H110" t="s">
        <v>148</v>
      </c>
      <c r="I110" t="s">
        <v>149</v>
      </c>
      <c r="J110" t="s">
        <v>19</v>
      </c>
      <c r="K110" t="s">
        <v>20</v>
      </c>
      <c r="L110" t="s">
        <v>21</v>
      </c>
      <c r="M110" t="s">
        <v>22</v>
      </c>
    </row>
    <row r="111" spans="1:13" hidden="1" x14ac:dyDescent="0.3">
      <c r="A111" t="s">
        <v>255</v>
      </c>
      <c r="B111" t="s">
        <v>283</v>
      </c>
      <c r="C111" t="s">
        <v>281</v>
      </c>
      <c r="D111" t="s">
        <v>22</v>
      </c>
      <c r="E111" t="s">
        <v>284</v>
      </c>
      <c r="F111" t="s">
        <v>22</v>
      </c>
      <c r="G111" t="s">
        <v>273</v>
      </c>
      <c r="H111" t="s">
        <v>148</v>
      </c>
      <c r="I111" t="s">
        <v>149</v>
      </c>
      <c r="J111" t="s">
        <v>19</v>
      </c>
      <c r="K111" t="s">
        <v>20</v>
      </c>
      <c r="L111" t="s">
        <v>21</v>
      </c>
      <c r="M111" t="s">
        <v>22</v>
      </c>
    </row>
    <row r="112" spans="1:13" hidden="1" x14ac:dyDescent="0.3">
      <c r="A112" t="s">
        <v>255</v>
      </c>
      <c r="B112" t="s">
        <v>285</v>
      </c>
      <c r="C112" t="s">
        <v>281</v>
      </c>
      <c r="D112" t="s">
        <v>22</v>
      </c>
      <c r="E112" t="s">
        <v>286</v>
      </c>
      <c r="F112" t="s">
        <v>22</v>
      </c>
      <c r="G112" t="s">
        <v>276</v>
      </c>
      <c r="H112" t="s">
        <v>114</v>
      </c>
      <c r="I112" t="s">
        <v>18</v>
      </c>
      <c r="J112" t="s">
        <v>19</v>
      </c>
      <c r="K112" t="s">
        <v>20</v>
      </c>
      <c r="L112" t="s">
        <v>21</v>
      </c>
      <c r="M112" t="s">
        <v>22</v>
      </c>
    </row>
    <row r="113" spans="1:13" hidden="1" x14ac:dyDescent="0.3">
      <c r="A113" t="s">
        <v>255</v>
      </c>
      <c r="B113" t="s">
        <v>287</v>
      </c>
      <c r="C113" t="s">
        <v>281</v>
      </c>
      <c r="D113" t="s">
        <v>22</v>
      </c>
      <c r="E113" t="s">
        <v>288</v>
      </c>
      <c r="F113" t="s">
        <v>22</v>
      </c>
      <c r="G113" t="s">
        <v>279</v>
      </c>
      <c r="H113" t="s">
        <v>114</v>
      </c>
      <c r="I113" t="s">
        <v>18</v>
      </c>
      <c r="J113" t="s">
        <v>19</v>
      </c>
      <c r="K113" t="s">
        <v>20</v>
      </c>
      <c r="L113" t="s">
        <v>21</v>
      </c>
      <c r="M113" t="s">
        <v>22</v>
      </c>
    </row>
    <row r="114" spans="1:13" hidden="1" x14ac:dyDescent="0.3">
      <c r="A114" t="s">
        <v>255</v>
      </c>
      <c r="B114" t="s">
        <v>289</v>
      </c>
      <c r="C114" t="s">
        <v>290</v>
      </c>
      <c r="D114" t="s">
        <v>22</v>
      </c>
      <c r="E114" t="s">
        <v>291</v>
      </c>
      <c r="F114" t="s">
        <v>22</v>
      </c>
      <c r="G114" t="s">
        <v>270</v>
      </c>
      <c r="H114" t="s">
        <v>148</v>
      </c>
      <c r="I114" t="s">
        <v>149</v>
      </c>
      <c r="J114" t="s">
        <v>19</v>
      </c>
      <c r="K114" t="s">
        <v>20</v>
      </c>
      <c r="L114" t="s">
        <v>21</v>
      </c>
      <c r="M114" t="s">
        <v>22</v>
      </c>
    </row>
    <row r="115" spans="1:13" hidden="1" x14ac:dyDescent="0.3">
      <c r="A115" t="s">
        <v>255</v>
      </c>
      <c r="B115" t="s">
        <v>292</v>
      </c>
      <c r="C115" t="s">
        <v>290</v>
      </c>
      <c r="D115" t="s">
        <v>22</v>
      </c>
      <c r="E115" t="s">
        <v>293</v>
      </c>
      <c r="F115" t="s">
        <v>22</v>
      </c>
      <c r="G115" t="s">
        <v>273</v>
      </c>
      <c r="H115" t="s">
        <v>148</v>
      </c>
      <c r="I115" t="s">
        <v>149</v>
      </c>
      <c r="J115" t="s">
        <v>19</v>
      </c>
      <c r="K115" t="s">
        <v>20</v>
      </c>
      <c r="L115" t="s">
        <v>21</v>
      </c>
      <c r="M115" t="s">
        <v>22</v>
      </c>
    </row>
    <row r="116" spans="1:13" hidden="1" x14ac:dyDescent="0.3">
      <c r="A116" t="s">
        <v>255</v>
      </c>
      <c r="B116" t="s">
        <v>294</v>
      </c>
      <c r="C116" t="s">
        <v>290</v>
      </c>
      <c r="D116" t="s">
        <v>22</v>
      </c>
      <c r="E116" t="s">
        <v>295</v>
      </c>
      <c r="F116" t="s">
        <v>22</v>
      </c>
      <c r="G116" t="s">
        <v>276</v>
      </c>
      <c r="H116" t="s">
        <v>114</v>
      </c>
      <c r="I116" t="s">
        <v>18</v>
      </c>
      <c r="J116" t="s">
        <v>19</v>
      </c>
      <c r="K116" t="s">
        <v>20</v>
      </c>
      <c r="L116" t="s">
        <v>21</v>
      </c>
      <c r="M116" t="s">
        <v>22</v>
      </c>
    </row>
    <row r="117" spans="1:13" hidden="1" x14ac:dyDescent="0.3">
      <c r="A117" t="s">
        <v>255</v>
      </c>
      <c r="B117" t="s">
        <v>296</v>
      </c>
      <c r="C117" t="s">
        <v>290</v>
      </c>
      <c r="D117" t="s">
        <v>22</v>
      </c>
      <c r="E117" t="s">
        <v>297</v>
      </c>
      <c r="F117" t="s">
        <v>22</v>
      </c>
      <c r="G117" t="s">
        <v>279</v>
      </c>
      <c r="H117" t="s">
        <v>114</v>
      </c>
      <c r="I117" t="s">
        <v>18</v>
      </c>
      <c r="J117" t="s">
        <v>19</v>
      </c>
      <c r="K117" t="s">
        <v>20</v>
      </c>
      <c r="L117" t="s">
        <v>21</v>
      </c>
      <c r="M117" t="s">
        <v>22</v>
      </c>
    </row>
    <row r="118" spans="1:13" hidden="1" x14ac:dyDescent="0.3">
      <c r="A118" t="s">
        <v>298</v>
      </c>
      <c r="B118" t="s">
        <v>299</v>
      </c>
      <c r="C118" t="s">
        <v>300</v>
      </c>
      <c r="D118" t="s">
        <v>301</v>
      </c>
      <c r="E118" t="s">
        <v>302</v>
      </c>
      <c r="F118" t="s">
        <v>22</v>
      </c>
      <c r="G118" t="s">
        <v>303</v>
      </c>
      <c r="H118" t="s">
        <v>304</v>
      </c>
      <c r="I118" t="s">
        <v>149</v>
      </c>
      <c r="J118" t="s">
        <v>19</v>
      </c>
      <c r="K118" t="s">
        <v>20</v>
      </c>
      <c r="L118" t="s">
        <v>21</v>
      </c>
      <c r="M118" t="s">
        <v>22</v>
      </c>
    </row>
    <row r="119" spans="1:13" hidden="1" x14ac:dyDescent="0.3">
      <c r="A119" t="s">
        <v>298</v>
      </c>
      <c r="B119" t="s">
        <v>305</v>
      </c>
      <c r="C119" t="s">
        <v>306</v>
      </c>
      <c r="D119" t="s">
        <v>301</v>
      </c>
      <c r="E119" t="s">
        <v>307</v>
      </c>
      <c r="F119" t="s">
        <v>22</v>
      </c>
      <c r="G119" t="s">
        <v>264</v>
      </c>
      <c r="H119" t="s">
        <v>194</v>
      </c>
      <c r="I119" t="s">
        <v>18</v>
      </c>
      <c r="J119" t="s">
        <v>19</v>
      </c>
      <c r="K119" t="s">
        <v>20</v>
      </c>
      <c r="L119" t="s">
        <v>21</v>
      </c>
      <c r="M119" t="s">
        <v>22</v>
      </c>
    </row>
    <row r="120" spans="1:13" hidden="1" x14ac:dyDescent="0.3">
      <c r="A120" t="s">
        <v>298</v>
      </c>
      <c r="B120" t="s">
        <v>308</v>
      </c>
      <c r="C120" t="s">
        <v>309</v>
      </c>
      <c r="D120" t="s">
        <v>310</v>
      </c>
      <c r="E120" t="s">
        <v>311</v>
      </c>
      <c r="F120" t="s">
        <v>22</v>
      </c>
      <c r="G120" t="s">
        <v>270</v>
      </c>
      <c r="H120" t="s">
        <v>312</v>
      </c>
      <c r="I120" t="s">
        <v>149</v>
      </c>
      <c r="J120" t="s">
        <v>19</v>
      </c>
      <c r="K120" t="s">
        <v>20</v>
      </c>
      <c r="L120" t="s">
        <v>21</v>
      </c>
      <c r="M120" t="s">
        <v>22</v>
      </c>
    </row>
    <row r="121" spans="1:13" hidden="1" x14ac:dyDescent="0.3">
      <c r="A121" t="s">
        <v>298</v>
      </c>
      <c r="B121" t="s">
        <v>313</v>
      </c>
      <c r="C121" t="s">
        <v>314</v>
      </c>
      <c r="D121" t="s">
        <v>310</v>
      </c>
      <c r="E121" t="s">
        <v>315</v>
      </c>
      <c r="F121" t="s">
        <v>22</v>
      </c>
      <c r="G121" t="s">
        <v>273</v>
      </c>
      <c r="H121" t="s">
        <v>312</v>
      </c>
      <c r="I121" t="s">
        <v>149</v>
      </c>
      <c r="J121" t="s">
        <v>19</v>
      </c>
      <c r="K121" t="s">
        <v>20</v>
      </c>
      <c r="L121" t="s">
        <v>21</v>
      </c>
      <c r="M121" t="s">
        <v>22</v>
      </c>
    </row>
    <row r="122" spans="1:13" hidden="1" x14ac:dyDescent="0.3">
      <c r="A122" t="s">
        <v>298</v>
      </c>
      <c r="B122" t="s">
        <v>316</v>
      </c>
      <c r="C122" t="s">
        <v>317</v>
      </c>
      <c r="D122" t="s">
        <v>310</v>
      </c>
      <c r="E122" t="s">
        <v>318</v>
      </c>
      <c r="F122" t="s">
        <v>22</v>
      </c>
      <c r="G122" t="s">
        <v>276</v>
      </c>
      <c r="H122" t="s">
        <v>319</v>
      </c>
      <c r="I122" t="s">
        <v>18</v>
      </c>
      <c r="J122" t="s">
        <v>19</v>
      </c>
      <c r="K122" t="s">
        <v>20</v>
      </c>
      <c r="L122" t="s">
        <v>21</v>
      </c>
      <c r="M122" t="s">
        <v>22</v>
      </c>
    </row>
    <row r="123" spans="1:13" hidden="1" x14ac:dyDescent="0.3">
      <c r="A123" t="s">
        <v>298</v>
      </c>
      <c r="B123" t="s">
        <v>320</v>
      </c>
      <c r="C123" t="s">
        <v>321</v>
      </c>
      <c r="D123" t="s">
        <v>310</v>
      </c>
      <c r="E123" t="s">
        <v>322</v>
      </c>
      <c r="F123" t="s">
        <v>22</v>
      </c>
      <c r="G123" t="s">
        <v>279</v>
      </c>
      <c r="H123" t="s">
        <v>323</v>
      </c>
      <c r="I123" t="s">
        <v>18</v>
      </c>
      <c r="J123" t="s">
        <v>19</v>
      </c>
      <c r="K123" t="s">
        <v>20</v>
      </c>
      <c r="L123" t="s">
        <v>21</v>
      </c>
      <c r="M123" t="s">
        <v>22</v>
      </c>
    </row>
    <row r="124" spans="1:13" hidden="1" x14ac:dyDescent="0.3">
      <c r="A124" t="s">
        <v>298</v>
      </c>
      <c r="B124" t="s">
        <v>324</v>
      </c>
      <c r="C124" t="s">
        <v>325</v>
      </c>
      <c r="D124" t="s">
        <v>310</v>
      </c>
      <c r="E124" t="s">
        <v>326</v>
      </c>
      <c r="F124" t="s">
        <v>22</v>
      </c>
      <c r="G124" t="s">
        <v>270</v>
      </c>
      <c r="H124" t="s">
        <v>312</v>
      </c>
      <c r="I124" t="s">
        <v>149</v>
      </c>
      <c r="J124" t="s">
        <v>19</v>
      </c>
      <c r="K124" t="s">
        <v>20</v>
      </c>
      <c r="L124" t="s">
        <v>21</v>
      </c>
      <c r="M124" t="s">
        <v>22</v>
      </c>
    </row>
    <row r="125" spans="1:13" hidden="1" x14ac:dyDescent="0.3">
      <c r="A125" t="s">
        <v>298</v>
      </c>
      <c r="B125" t="s">
        <v>327</v>
      </c>
      <c r="C125" t="s">
        <v>328</v>
      </c>
      <c r="D125" t="s">
        <v>310</v>
      </c>
      <c r="E125" t="s">
        <v>329</v>
      </c>
      <c r="F125" t="s">
        <v>22</v>
      </c>
      <c r="G125" t="s">
        <v>273</v>
      </c>
      <c r="H125" t="s">
        <v>312</v>
      </c>
      <c r="I125" t="s">
        <v>149</v>
      </c>
      <c r="J125" t="s">
        <v>19</v>
      </c>
      <c r="K125" t="s">
        <v>20</v>
      </c>
      <c r="L125" t="s">
        <v>21</v>
      </c>
      <c r="M125" t="s">
        <v>22</v>
      </c>
    </row>
    <row r="126" spans="1:13" hidden="1" x14ac:dyDescent="0.3">
      <c r="A126" t="s">
        <v>298</v>
      </c>
      <c r="B126" t="s">
        <v>330</v>
      </c>
      <c r="C126" t="s">
        <v>331</v>
      </c>
      <c r="D126" t="s">
        <v>310</v>
      </c>
      <c r="E126" t="s">
        <v>332</v>
      </c>
      <c r="F126" t="s">
        <v>22</v>
      </c>
      <c r="G126" t="s">
        <v>276</v>
      </c>
      <c r="H126" t="s">
        <v>319</v>
      </c>
      <c r="I126" t="s">
        <v>18</v>
      </c>
      <c r="J126" t="s">
        <v>19</v>
      </c>
      <c r="K126" t="s">
        <v>20</v>
      </c>
      <c r="L126" t="s">
        <v>21</v>
      </c>
      <c r="M126" t="s">
        <v>22</v>
      </c>
    </row>
    <row r="127" spans="1:13" hidden="1" x14ac:dyDescent="0.3">
      <c r="A127" t="s">
        <v>298</v>
      </c>
      <c r="B127" t="s">
        <v>333</v>
      </c>
      <c r="C127" t="s">
        <v>334</v>
      </c>
      <c r="D127" t="s">
        <v>310</v>
      </c>
      <c r="E127" t="s">
        <v>335</v>
      </c>
      <c r="F127" t="s">
        <v>22</v>
      </c>
      <c r="G127" t="s">
        <v>279</v>
      </c>
      <c r="H127" t="s">
        <v>323</v>
      </c>
      <c r="I127" t="s">
        <v>18</v>
      </c>
      <c r="J127" t="s">
        <v>19</v>
      </c>
      <c r="K127" t="s">
        <v>20</v>
      </c>
      <c r="L127" t="s">
        <v>21</v>
      </c>
      <c r="M127" t="s">
        <v>22</v>
      </c>
    </row>
    <row r="128" spans="1:13" hidden="1" x14ac:dyDescent="0.3">
      <c r="A128" t="s">
        <v>298</v>
      </c>
      <c r="B128" t="s">
        <v>336</v>
      </c>
      <c r="C128" t="s">
        <v>337</v>
      </c>
      <c r="D128" t="s">
        <v>338</v>
      </c>
      <c r="E128" t="s">
        <v>337</v>
      </c>
      <c r="F128" t="s">
        <v>22</v>
      </c>
      <c r="G128" t="s">
        <v>270</v>
      </c>
      <c r="H128" t="s">
        <v>312</v>
      </c>
      <c r="I128" t="s">
        <v>149</v>
      </c>
      <c r="J128" t="s">
        <v>19</v>
      </c>
      <c r="K128" t="s">
        <v>20</v>
      </c>
      <c r="L128" t="s">
        <v>21</v>
      </c>
      <c r="M128" t="s">
        <v>22</v>
      </c>
    </row>
    <row r="129" spans="1:13" hidden="1" x14ac:dyDescent="0.3">
      <c r="A129" t="s">
        <v>298</v>
      </c>
      <c r="B129" t="s">
        <v>339</v>
      </c>
      <c r="C129" t="s">
        <v>340</v>
      </c>
      <c r="D129" t="s">
        <v>338</v>
      </c>
      <c r="E129" t="s">
        <v>340</v>
      </c>
      <c r="F129" t="s">
        <v>22</v>
      </c>
      <c r="G129" t="s">
        <v>273</v>
      </c>
      <c r="H129" t="s">
        <v>312</v>
      </c>
      <c r="I129" t="s">
        <v>149</v>
      </c>
      <c r="J129" t="s">
        <v>19</v>
      </c>
      <c r="K129" t="s">
        <v>20</v>
      </c>
      <c r="L129" t="s">
        <v>21</v>
      </c>
      <c r="M129" t="s">
        <v>22</v>
      </c>
    </row>
    <row r="130" spans="1:13" hidden="1" x14ac:dyDescent="0.3">
      <c r="A130" t="s">
        <v>341</v>
      </c>
      <c r="B130" t="s">
        <v>342</v>
      </c>
      <c r="C130" t="s">
        <v>343</v>
      </c>
      <c r="D130" t="s">
        <v>344</v>
      </c>
      <c r="E130" t="s">
        <v>345</v>
      </c>
      <c r="F130" t="s">
        <v>22</v>
      </c>
      <c r="G130" t="s">
        <v>346</v>
      </c>
      <c r="H130" t="s">
        <v>347</v>
      </c>
      <c r="I130" t="s">
        <v>149</v>
      </c>
      <c r="J130" t="s">
        <v>19</v>
      </c>
      <c r="K130" t="s">
        <v>20</v>
      </c>
      <c r="L130" t="s">
        <v>21</v>
      </c>
      <c r="M130" t="s">
        <v>22</v>
      </c>
    </row>
    <row r="131" spans="1:13" hidden="1" x14ac:dyDescent="0.3">
      <c r="A131" t="s">
        <v>341</v>
      </c>
      <c r="B131" t="s">
        <v>348</v>
      </c>
      <c r="C131" t="s">
        <v>343</v>
      </c>
      <c r="D131" t="s">
        <v>349</v>
      </c>
      <c r="E131" t="s">
        <v>345</v>
      </c>
      <c r="F131" t="s">
        <v>22</v>
      </c>
      <c r="G131" t="s">
        <v>346</v>
      </c>
      <c r="H131" t="s">
        <v>350</v>
      </c>
      <c r="I131" t="s">
        <v>149</v>
      </c>
      <c r="J131" t="s">
        <v>19</v>
      </c>
      <c r="K131" t="s">
        <v>20</v>
      </c>
      <c r="L131" t="s">
        <v>21</v>
      </c>
      <c r="M131" t="s">
        <v>22</v>
      </c>
    </row>
    <row r="132" spans="1:13" hidden="1" x14ac:dyDescent="0.3">
      <c r="A132" t="s">
        <v>341</v>
      </c>
      <c r="B132" t="s">
        <v>351</v>
      </c>
      <c r="C132" t="s">
        <v>343</v>
      </c>
      <c r="D132" t="s">
        <v>352</v>
      </c>
      <c r="E132" t="s">
        <v>345</v>
      </c>
      <c r="F132" t="s">
        <v>22</v>
      </c>
      <c r="G132" t="s">
        <v>22</v>
      </c>
      <c r="H132" t="s">
        <v>353</v>
      </c>
      <c r="I132" t="s">
        <v>18</v>
      </c>
      <c r="J132" t="s">
        <v>19</v>
      </c>
      <c r="K132" t="s">
        <v>20</v>
      </c>
      <c r="L132" t="s">
        <v>21</v>
      </c>
      <c r="M132" t="s">
        <v>22</v>
      </c>
    </row>
    <row r="133" spans="1:13" hidden="1" x14ac:dyDescent="0.3">
      <c r="A133" t="s">
        <v>341</v>
      </c>
      <c r="B133" t="s">
        <v>354</v>
      </c>
      <c r="C133" t="s">
        <v>343</v>
      </c>
      <c r="D133" t="s">
        <v>355</v>
      </c>
      <c r="E133" t="s">
        <v>345</v>
      </c>
      <c r="F133" t="s">
        <v>22</v>
      </c>
      <c r="G133" t="s">
        <v>22</v>
      </c>
      <c r="H133" t="s">
        <v>196</v>
      </c>
      <c r="I133" t="s">
        <v>18</v>
      </c>
      <c r="J133" t="s">
        <v>19</v>
      </c>
      <c r="K133" t="s">
        <v>20</v>
      </c>
      <c r="L133" t="s">
        <v>21</v>
      </c>
      <c r="M133" t="s">
        <v>22</v>
      </c>
    </row>
    <row r="134" spans="1:13" hidden="1" x14ac:dyDescent="0.3">
      <c r="A134" t="s">
        <v>341</v>
      </c>
      <c r="B134" t="s">
        <v>356</v>
      </c>
      <c r="C134" t="s">
        <v>357</v>
      </c>
      <c r="D134" t="s">
        <v>358</v>
      </c>
      <c r="E134" t="s">
        <v>345</v>
      </c>
      <c r="F134" t="s">
        <v>22</v>
      </c>
      <c r="G134" t="s">
        <v>346</v>
      </c>
      <c r="H134" t="s">
        <v>350</v>
      </c>
      <c r="I134" t="s">
        <v>149</v>
      </c>
      <c r="J134" t="s">
        <v>19</v>
      </c>
      <c r="K134" t="s">
        <v>20</v>
      </c>
      <c r="L134" t="s">
        <v>21</v>
      </c>
      <c r="M134" t="s">
        <v>22</v>
      </c>
    </row>
    <row r="135" spans="1:13" hidden="1" x14ac:dyDescent="0.3">
      <c r="A135" t="s">
        <v>341</v>
      </c>
      <c r="B135" t="s">
        <v>359</v>
      </c>
      <c r="C135" t="s">
        <v>357</v>
      </c>
      <c r="D135" t="s">
        <v>360</v>
      </c>
      <c r="E135" t="s">
        <v>345</v>
      </c>
      <c r="F135" t="s">
        <v>22</v>
      </c>
      <c r="G135" t="s">
        <v>114</v>
      </c>
      <c r="H135" t="s">
        <v>196</v>
      </c>
      <c r="I135" t="s">
        <v>18</v>
      </c>
      <c r="J135" t="s">
        <v>19</v>
      </c>
      <c r="K135" t="s">
        <v>20</v>
      </c>
      <c r="L135" t="s">
        <v>21</v>
      </c>
      <c r="M135" t="s">
        <v>22</v>
      </c>
    </row>
    <row r="136" spans="1:13" hidden="1" x14ac:dyDescent="0.3">
      <c r="A136" t="s">
        <v>341</v>
      </c>
      <c r="B136" t="s">
        <v>361</v>
      </c>
      <c r="C136" t="s">
        <v>362</v>
      </c>
      <c r="D136" t="s">
        <v>344</v>
      </c>
      <c r="E136" t="s">
        <v>363</v>
      </c>
      <c r="F136" t="s">
        <v>22</v>
      </c>
      <c r="G136" t="s">
        <v>346</v>
      </c>
      <c r="H136" t="s">
        <v>347</v>
      </c>
      <c r="I136" t="s">
        <v>149</v>
      </c>
      <c r="J136" t="s">
        <v>19</v>
      </c>
      <c r="K136" t="s">
        <v>20</v>
      </c>
      <c r="L136" t="s">
        <v>21</v>
      </c>
      <c r="M136" t="s">
        <v>22</v>
      </c>
    </row>
    <row r="137" spans="1:13" hidden="1" x14ac:dyDescent="0.3">
      <c r="A137" t="s">
        <v>341</v>
      </c>
      <c r="B137" t="s">
        <v>364</v>
      </c>
      <c r="C137" t="s">
        <v>362</v>
      </c>
      <c r="D137" t="s">
        <v>349</v>
      </c>
      <c r="E137" t="s">
        <v>363</v>
      </c>
      <c r="F137" t="s">
        <v>22</v>
      </c>
      <c r="G137" t="s">
        <v>346</v>
      </c>
      <c r="H137" t="s">
        <v>350</v>
      </c>
      <c r="I137" t="s">
        <v>149</v>
      </c>
      <c r="J137" t="s">
        <v>19</v>
      </c>
      <c r="K137" t="s">
        <v>20</v>
      </c>
      <c r="L137" t="s">
        <v>21</v>
      </c>
      <c r="M137" t="s">
        <v>22</v>
      </c>
    </row>
    <row r="138" spans="1:13" hidden="1" x14ac:dyDescent="0.3">
      <c r="A138" t="s">
        <v>341</v>
      </c>
      <c r="B138" t="s">
        <v>365</v>
      </c>
      <c r="C138" t="s">
        <v>362</v>
      </c>
      <c r="D138" t="s">
        <v>352</v>
      </c>
      <c r="E138" t="s">
        <v>363</v>
      </c>
      <c r="F138" t="s">
        <v>22</v>
      </c>
      <c r="G138" t="s">
        <v>22</v>
      </c>
      <c r="H138" t="s">
        <v>353</v>
      </c>
      <c r="I138" t="s">
        <v>18</v>
      </c>
      <c r="J138" t="s">
        <v>19</v>
      </c>
      <c r="K138" t="s">
        <v>20</v>
      </c>
      <c r="L138" t="s">
        <v>21</v>
      </c>
      <c r="M138" t="s">
        <v>22</v>
      </c>
    </row>
    <row r="139" spans="1:13" hidden="1" x14ac:dyDescent="0.3">
      <c r="A139" t="s">
        <v>341</v>
      </c>
      <c r="B139" t="s">
        <v>366</v>
      </c>
      <c r="C139" t="s">
        <v>362</v>
      </c>
      <c r="D139" t="s">
        <v>355</v>
      </c>
      <c r="E139" t="s">
        <v>363</v>
      </c>
      <c r="F139" t="s">
        <v>22</v>
      </c>
      <c r="G139" t="s">
        <v>22</v>
      </c>
      <c r="H139" t="s">
        <v>196</v>
      </c>
      <c r="I139" t="s">
        <v>18</v>
      </c>
      <c r="J139" t="s">
        <v>19</v>
      </c>
      <c r="K139" t="s">
        <v>20</v>
      </c>
      <c r="L139" t="s">
        <v>21</v>
      </c>
      <c r="M139" t="s">
        <v>22</v>
      </c>
    </row>
    <row r="140" spans="1:13" hidden="1" x14ac:dyDescent="0.3">
      <c r="A140" t="s">
        <v>341</v>
      </c>
      <c r="B140" t="s">
        <v>259</v>
      </c>
      <c r="C140" t="s">
        <v>257</v>
      </c>
      <c r="D140" t="s">
        <v>367</v>
      </c>
      <c r="E140" t="s">
        <v>368</v>
      </c>
      <c r="F140" t="s">
        <v>22</v>
      </c>
      <c r="G140" t="s">
        <v>261</v>
      </c>
      <c r="H140" t="s">
        <v>347</v>
      </c>
      <c r="I140" t="s">
        <v>149</v>
      </c>
      <c r="J140" t="s">
        <v>19</v>
      </c>
      <c r="K140" t="s">
        <v>20</v>
      </c>
      <c r="L140" t="s">
        <v>21</v>
      </c>
      <c r="M140" t="s">
        <v>22</v>
      </c>
    </row>
    <row r="141" spans="1:13" hidden="1" x14ac:dyDescent="0.3">
      <c r="A141" t="s">
        <v>341</v>
      </c>
      <c r="B141" t="s">
        <v>256</v>
      </c>
      <c r="C141" t="s">
        <v>257</v>
      </c>
      <c r="D141" t="s">
        <v>369</v>
      </c>
      <c r="E141" t="s">
        <v>368</v>
      </c>
      <c r="F141" t="s">
        <v>22</v>
      </c>
      <c r="G141" t="s">
        <v>148</v>
      </c>
      <c r="H141" t="s">
        <v>350</v>
      </c>
      <c r="I141" t="s">
        <v>149</v>
      </c>
      <c r="J141" t="s">
        <v>19</v>
      </c>
      <c r="K141" t="s">
        <v>20</v>
      </c>
      <c r="L141" t="s">
        <v>21</v>
      </c>
      <c r="M141" t="s">
        <v>22</v>
      </c>
    </row>
    <row r="142" spans="1:13" hidden="1" x14ac:dyDescent="0.3">
      <c r="A142" t="s">
        <v>341</v>
      </c>
      <c r="B142" t="s">
        <v>262</v>
      </c>
      <c r="C142" t="s">
        <v>257</v>
      </c>
      <c r="D142" t="s">
        <v>370</v>
      </c>
      <c r="E142" t="s">
        <v>368</v>
      </c>
      <c r="F142" t="s">
        <v>22</v>
      </c>
      <c r="G142" t="s">
        <v>264</v>
      </c>
      <c r="H142" t="s">
        <v>353</v>
      </c>
      <c r="I142" t="s">
        <v>18</v>
      </c>
      <c r="J142" t="s">
        <v>19</v>
      </c>
      <c r="K142" t="s">
        <v>20</v>
      </c>
      <c r="L142" t="s">
        <v>21</v>
      </c>
      <c r="M142" t="s">
        <v>22</v>
      </c>
    </row>
    <row r="143" spans="1:13" hidden="1" x14ac:dyDescent="0.3">
      <c r="A143" t="s">
        <v>341</v>
      </c>
      <c r="B143" t="s">
        <v>265</v>
      </c>
      <c r="C143" t="s">
        <v>257</v>
      </c>
      <c r="D143" t="s">
        <v>371</v>
      </c>
      <c r="E143" t="s">
        <v>368</v>
      </c>
      <c r="F143" t="s">
        <v>22</v>
      </c>
      <c r="G143" t="s">
        <v>114</v>
      </c>
      <c r="H143" t="s">
        <v>196</v>
      </c>
      <c r="I143" t="s">
        <v>18</v>
      </c>
      <c r="J143" t="s">
        <v>19</v>
      </c>
      <c r="K143" t="s">
        <v>20</v>
      </c>
      <c r="L143" t="s">
        <v>21</v>
      </c>
      <c r="M143" t="s">
        <v>22</v>
      </c>
    </row>
    <row r="144" spans="1:13" hidden="1" x14ac:dyDescent="0.3">
      <c r="A144" t="s">
        <v>341</v>
      </c>
      <c r="B144" t="s">
        <v>372</v>
      </c>
      <c r="C144" t="s">
        <v>373</v>
      </c>
      <c r="D144" t="s">
        <v>369</v>
      </c>
      <c r="E144" t="s">
        <v>368</v>
      </c>
      <c r="F144" t="s">
        <v>22</v>
      </c>
      <c r="G144" t="s">
        <v>148</v>
      </c>
      <c r="H144" t="s">
        <v>350</v>
      </c>
      <c r="I144" t="s">
        <v>149</v>
      </c>
      <c r="J144" t="s">
        <v>19</v>
      </c>
      <c r="K144" t="s">
        <v>20</v>
      </c>
      <c r="L144" t="s">
        <v>21</v>
      </c>
      <c r="M144" t="s">
        <v>22</v>
      </c>
    </row>
    <row r="145" spans="1:13" hidden="1" x14ac:dyDescent="0.3">
      <c r="A145" t="s">
        <v>341</v>
      </c>
      <c r="B145" t="s">
        <v>374</v>
      </c>
      <c r="C145" t="s">
        <v>373</v>
      </c>
      <c r="D145" t="s">
        <v>371</v>
      </c>
      <c r="E145" t="s">
        <v>368</v>
      </c>
      <c r="F145" t="s">
        <v>22</v>
      </c>
      <c r="G145" t="s">
        <v>114</v>
      </c>
      <c r="H145" t="s">
        <v>196</v>
      </c>
      <c r="I145" t="s">
        <v>18</v>
      </c>
      <c r="J145" t="s">
        <v>19</v>
      </c>
      <c r="K145" t="s">
        <v>20</v>
      </c>
      <c r="L145" t="s">
        <v>21</v>
      </c>
      <c r="M145" t="s">
        <v>22</v>
      </c>
    </row>
    <row r="146" spans="1:13" hidden="1" x14ac:dyDescent="0.3">
      <c r="A146" t="s">
        <v>341</v>
      </c>
      <c r="B146" t="s">
        <v>375</v>
      </c>
      <c r="C146" t="s">
        <v>376</v>
      </c>
      <c r="D146" t="s">
        <v>367</v>
      </c>
      <c r="E146" t="s">
        <v>377</v>
      </c>
      <c r="F146" t="s">
        <v>22</v>
      </c>
      <c r="G146" t="s">
        <v>261</v>
      </c>
      <c r="H146" t="s">
        <v>347</v>
      </c>
      <c r="I146" t="s">
        <v>149</v>
      </c>
      <c r="J146" t="s">
        <v>19</v>
      </c>
      <c r="K146" t="s">
        <v>20</v>
      </c>
      <c r="L146" t="s">
        <v>21</v>
      </c>
      <c r="M146" t="s">
        <v>22</v>
      </c>
    </row>
    <row r="147" spans="1:13" hidden="1" x14ac:dyDescent="0.3">
      <c r="A147" t="s">
        <v>341</v>
      </c>
      <c r="B147" t="s">
        <v>378</v>
      </c>
      <c r="C147" t="s">
        <v>376</v>
      </c>
      <c r="D147" t="s">
        <v>369</v>
      </c>
      <c r="E147" t="s">
        <v>377</v>
      </c>
      <c r="F147" t="s">
        <v>22</v>
      </c>
      <c r="G147" t="s">
        <v>148</v>
      </c>
      <c r="H147" t="s">
        <v>350</v>
      </c>
      <c r="I147" t="s">
        <v>149</v>
      </c>
      <c r="J147" t="s">
        <v>19</v>
      </c>
      <c r="K147" t="s">
        <v>20</v>
      </c>
      <c r="L147" t="s">
        <v>21</v>
      </c>
      <c r="M147" t="s">
        <v>22</v>
      </c>
    </row>
    <row r="148" spans="1:13" hidden="1" x14ac:dyDescent="0.3">
      <c r="A148" t="s">
        <v>341</v>
      </c>
      <c r="B148" t="s">
        <v>379</v>
      </c>
      <c r="C148" t="s">
        <v>376</v>
      </c>
      <c r="D148" t="s">
        <v>370</v>
      </c>
      <c r="E148" t="s">
        <v>377</v>
      </c>
      <c r="F148" t="s">
        <v>22</v>
      </c>
      <c r="G148" t="s">
        <v>264</v>
      </c>
      <c r="H148" t="s">
        <v>353</v>
      </c>
      <c r="I148" t="s">
        <v>18</v>
      </c>
      <c r="J148" t="s">
        <v>19</v>
      </c>
      <c r="K148" t="s">
        <v>20</v>
      </c>
      <c r="L148" t="s">
        <v>21</v>
      </c>
      <c r="M148" t="s">
        <v>22</v>
      </c>
    </row>
    <row r="149" spans="1:13" hidden="1" x14ac:dyDescent="0.3">
      <c r="A149" t="s">
        <v>341</v>
      </c>
      <c r="B149" t="s">
        <v>380</v>
      </c>
      <c r="C149" t="s">
        <v>376</v>
      </c>
      <c r="D149" t="s">
        <v>371</v>
      </c>
      <c r="E149" t="s">
        <v>377</v>
      </c>
      <c r="F149" t="s">
        <v>22</v>
      </c>
      <c r="G149" t="s">
        <v>114</v>
      </c>
      <c r="H149" t="s">
        <v>196</v>
      </c>
      <c r="I149" t="s">
        <v>18</v>
      </c>
      <c r="J149" t="s">
        <v>19</v>
      </c>
      <c r="K149" t="s">
        <v>20</v>
      </c>
      <c r="L149" t="s">
        <v>21</v>
      </c>
      <c r="M149" t="s">
        <v>22</v>
      </c>
    </row>
    <row r="150" spans="1:13" hidden="1" x14ac:dyDescent="0.3">
      <c r="A150" t="s">
        <v>341</v>
      </c>
      <c r="B150" t="s">
        <v>381</v>
      </c>
      <c r="C150" t="s">
        <v>382</v>
      </c>
      <c r="D150" t="s">
        <v>358</v>
      </c>
      <c r="E150" t="s">
        <v>377</v>
      </c>
      <c r="F150" t="s">
        <v>22</v>
      </c>
      <c r="G150" t="s">
        <v>148</v>
      </c>
      <c r="H150" t="s">
        <v>350</v>
      </c>
      <c r="I150" t="s">
        <v>149</v>
      </c>
      <c r="J150" t="s">
        <v>19</v>
      </c>
      <c r="K150" t="s">
        <v>20</v>
      </c>
      <c r="L150" t="s">
        <v>21</v>
      </c>
      <c r="M150" t="s">
        <v>22</v>
      </c>
    </row>
    <row r="151" spans="1:13" hidden="1" x14ac:dyDescent="0.3">
      <c r="A151" t="s">
        <v>341</v>
      </c>
      <c r="B151" t="s">
        <v>383</v>
      </c>
      <c r="C151" t="s">
        <v>382</v>
      </c>
      <c r="D151" t="s">
        <v>360</v>
      </c>
      <c r="E151" t="s">
        <v>377</v>
      </c>
      <c r="F151" t="s">
        <v>22</v>
      </c>
      <c r="G151" t="s">
        <v>114</v>
      </c>
      <c r="H151" t="s">
        <v>196</v>
      </c>
      <c r="I151" t="s">
        <v>18</v>
      </c>
      <c r="J151" t="s">
        <v>19</v>
      </c>
      <c r="K151" t="s">
        <v>20</v>
      </c>
      <c r="L151" t="s">
        <v>21</v>
      </c>
      <c r="M151" t="s">
        <v>22</v>
      </c>
    </row>
    <row r="152" spans="1:13" hidden="1" x14ac:dyDescent="0.3">
      <c r="A152" t="s">
        <v>384</v>
      </c>
      <c r="B152" t="s">
        <v>385</v>
      </c>
      <c r="C152" t="s">
        <v>386</v>
      </c>
      <c r="D152" t="s">
        <v>387</v>
      </c>
      <c r="E152" t="s">
        <v>388</v>
      </c>
      <c r="F152" t="s">
        <v>389</v>
      </c>
      <c r="G152" t="s">
        <v>270</v>
      </c>
      <c r="H152" t="s">
        <v>350</v>
      </c>
      <c r="I152" t="s">
        <v>149</v>
      </c>
      <c r="J152" t="s">
        <v>19</v>
      </c>
      <c r="K152" t="s">
        <v>390</v>
      </c>
      <c r="L152" t="s">
        <v>21</v>
      </c>
      <c r="M152" t="s">
        <v>22</v>
      </c>
    </row>
    <row r="153" spans="1:13" hidden="1" x14ac:dyDescent="0.3">
      <c r="A153" t="s">
        <v>384</v>
      </c>
      <c r="B153" t="s">
        <v>391</v>
      </c>
      <c r="C153" t="s">
        <v>392</v>
      </c>
      <c r="D153" t="s">
        <v>393</v>
      </c>
      <c r="E153" t="s">
        <v>388</v>
      </c>
      <c r="F153" t="s">
        <v>394</v>
      </c>
      <c r="G153" t="s">
        <v>273</v>
      </c>
      <c r="H153" t="s">
        <v>350</v>
      </c>
      <c r="I153" t="s">
        <v>149</v>
      </c>
      <c r="J153" t="s">
        <v>19</v>
      </c>
      <c r="K153" t="s">
        <v>390</v>
      </c>
      <c r="L153" t="s">
        <v>21</v>
      </c>
      <c r="M153" t="s">
        <v>22</v>
      </c>
    </row>
    <row r="154" spans="1:13" hidden="1" x14ac:dyDescent="0.3">
      <c r="A154" t="s">
        <v>384</v>
      </c>
      <c r="B154" t="s">
        <v>395</v>
      </c>
      <c r="C154" t="s">
        <v>396</v>
      </c>
      <c r="D154" t="s">
        <v>397</v>
      </c>
      <c r="E154" t="s">
        <v>388</v>
      </c>
      <c r="F154" t="s">
        <v>398</v>
      </c>
      <c r="G154" t="s">
        <v>276</v>
      </c>
      <c r="H154" t="s">
        <v>194</v>
      </c>
      <c r="I154" t="s">
        <v>28</v>
      </c>
      <c r="J154" t="s">
        <v>19</v>
      </c>
      <c r="K154" t="s">
        <v>390</v>
      </c>
      <c r="L154" t="s">
        <v>21</v>
      </c>
      <c r="M154" t="s">
        <v>22</v>
      </c>
    </row>
    <row r="155" spans="1:13" hidden="1" x14ac:dyDescent="0.3">
      <c r="A155" t="s">
        <v>384</v>
      </c>
      <c r="B155" t="s">
        <v>399</v>
      </c>
      <c r="C155" t="s">
        <v>400</v>
      </c>
      <c r="D155" t="s">
        <v>401</v>
      </c>
      <c r="E155" t="s">
        <v>388</v>
      </c>
      <c r="F155" t="s">
        <v>402</v>
      </c>
      <c r="G155" t="s">
        <v>279</v>
      </c>
      <c r="H155" t="s">
        <v>196</v>
      </c>
      <c r="I155" t="s">
        <v>28</v>
      </c>
      <c r="J155" t="s">
        <v>19</v>
      </c>
      <c r="K155" t="s">
        <v>390</v>
      </c>
      <c r="L155" t="s">
        <v>21</v>
      </c>
      <c r="M155" t="s">
        <v>22</v>
      </c>
    </row>
    <row r="156" spans="1:13" hidden="1" x14ac:dyDescent="0.3">
      <c r="A156" t="s">
        <v>384</v>
      </c>
      <c r="B156" t="s">
        <v>403</v>
      </c>
      <c r="C156" t="s">
        <v>404</v>
      </c>
      <c r="D156" t="s">
        <v>405</v>
      </c>
      <c r="E156" t="s">
        <v>388</v>
      </c>
      <c r="F156" t="s">
        <v>406</v>
      </c>
      <c r="G156" t="s">
        <v>148</v>
      </c>
      <c r="H156" t="s">
        <v>350</v>
      </c>
      <c r="I156" t="s">
        <v>149</v>
      </c>
      <c r="J156" t="s">
        <v>19</v>
      </c>
      <c r="K156" t="s">
        <v>390</v>
      </c>
      <c r="L156" t="s">
        <v>21</v>
      </c>
      <c r="M156" t="s">
        <v>22</v>
      </c>
    </row>
    <row r="157" spans="1:13" hidden="1" x14ac:dyDescent="0.3">
      <c r="A157" t="s">
        <v>384</v>
      </c>
      <c r="B157" t="s">
        <v>407</v>
      </c>
      <c r="C157" t="s">
        <v>408</v>
      </c>
      <c r="D157" t="s">
        <v>409</v>
      </c>
      <c r="E157" t="s">
        <v>388</v>
      </c>
      <c r="F157" t="s">
        <v>410</v>
      </c>
      <c r="G157" t="s">
        <v>261</v>
      </c>
      <c r="H157" t="s">
        <v>350</v>
      </c>
      <c r="I157" t="s">
        <v>149</v>
      </c>
      <c r="J157" t="s">
        <v>19</v>
      </c>
      <c r="K157" t="s">
        <v>390</v>
      </c>
      <c r="L157" t="s">
        <v>21</v>
      </c>
      <c r="M157" t="s">
        <v>22</v>
      </c>
    </row>
    <row r="158" spans="1:13" hidden="1" x14ac:dyDescent="0.3">
      <c r="A158" t="s">
        <v>384</v>
      </c>
      <c r="B158" t="s">
        <v>411</v>
      </c>
      <c r="C158" t="s">
        <v>412</v>
      </c>
      <c r="D158" t="s">
        <v>413</v>
      </c>
      <c r="E158" t="s">
        <v>388</v>
      </c>
      <c r="F158" t="s">
        <v>414</v>
      </c>
      <c r="G158" t="s">
        <v>264</v>
      </c>
      <c r="H158" t="s">
        <v>194</v>
      </c>
      <c r="I158" t="s">
        <v>28</v>
      </c>
      <c r="J158" t="s">
        <v>19</v>
      </c>
      <c r="K158" t="s">
        <v>390</v>
      </c>
      <c r="L158" t="s">
        <v>21</v>
      </c>
      <c r="M158" t="s">
        <v>22</v>
      </c>
    </row>
    <row r="159" spans="1:13" hidden="1" x14ac:dyDescent="0.3">
      <c r="A159" t="s">
        <v>384</v>
      </c>
      <c r="B159" t="s">
        <v>415</v>
      </c>
      <c r="C159" t="s">
        <v>416</v>
      </c>
      <c r="D159" t="s">
        <v>417</v>
      </c>
      <c r="E159" t="s">
        <v>388</v>
      </c>
      <c r="F159" t="s">
        <v>418</v>
      </c>
      <c r="G159" t="s">
        <v>114</v>
      </c>
      <c r="H159" t="s">
        <v>196</v>
      </c>
      <c r="I159" t="s">
        <v>28</v>
      </c>
      <c r="J159" t="s">
        <v>19</v>
      </c>
      <c r="K159" t="s">
        <v>390</v>
      </c>
      <c r="L159" t="s">
        <v>21</v>
      </c>
      <c r="M159" t="s">
        <v>22</v>
      </c>
    </row>
    <row r="160" spans="1:13" hidden="1" x14ac:dyDescent="0.3">
      <c r="A160" t="s">
        <v>384</v>
      </c>
      <c r="B160" t="s">
        <v>419</v>
      </c>
      <c r="C160" t="s">
        <v>420</v>
      </c>
      <c r="D160" t="s">
        <v>387</v>
      </c>
      <c r="E160" t="s">
        <v>388</v>
      </c>
      <c r="F160" t="s">
        <v>421</v>
      </c>
      <c r="G160" t="s">
        <v>270</v>
      </c>
      <c r="H160" t="s">
        <v>350</v>
      </c>
      <c r="I160" t="s">
        <v>149</v>
      </c>
      <c r="J160" t="s">
        <v>19</v>
      </c>
      <c r="K160" t="s">
        <v>390</v>
      </c>
      <c r="L160" t="s">
        <v>21</v>
      </c>
      <c r="M160" t="s">
        <v>22</v>
      </c>
    </row>
    <row r="161" spans="1:13" hidden="1" x14ac:dyDescent="0.3">
      <c r="A161" t="s">
        <v>384</v>
      </c>
      <c r="B161" t="s">
        <v>422</v>
      </c>
      <c r="C161" t="s">
        <v>423</v>
      </c>
      <c r="D161" t="s">
        <v>393</v>
      </c>
      <c r="E161" t="s">
        <v>388</v>
      </c>
      <c r="F161" t="s">
        <v>424</v>
      </c>
      <c r="G161" t="s">
        <v>273</v>
      </c>
      <c r="H161" t="s">
        <v>350</v>
      </c>
      <c r="I161" t="s">
        <v>149</v>
      </c>
      <c r="J161" t="s">
        <v>19</v>
      </c>
      <c r="K161" t="s">
        <v>390</v>
      </c>
      <c r="L161" t="s">
        <v>21</v>
      </c>
      <c r="M161" t="s">
        <v>22</v>
      </c>
    </row>
    <row r="162" spans="1:13" hidden="1" x14ac:dyDescent="0.3">
      <c r="A162" t="s">
        <v>384</v>
      </c>
      <c r="B162" t="s">
        <v>425</v>
      </c>
      <c r="C162" t="s">
        <v>426</v>
      </c>
      <c r="D162" t="s">
        <v>397</v>
      </c>
      <c r="E162" t="s">
        <v>388</v>
      </c>
      <c r="F162" t="s">
        <v>427</v>
      </c>
      <c r="G162" t="s">
        <v>276</v>
      </c>
      <c r="H162" t="s">
        <v>194</v>
      </c>
      <c r="I162" t="s">
        <v>28</v>
      </c>
      <c r="J162" t="s">
        <v>19</v>
      </c>
      <c r="K162" t="s">
        <v>390</v>
      </c>
      <c r="L162" t="s">
        <v>21</v>
      </c>
      <c r="M162" t="s">
        <v>22</v>
      </c>
    </row>
    <row r="163" spans="1:13" hidden="1" x14ac:dyDescent="0.3">
      <c r="A163" t="s">
        <v>384</v>
      </c>
      <c r="B163" t="s">
        <v>428</v>
      </c>
      <c r="C163" t="s">
        <v>429</v>
      </c>
      <c r="D163" t="s">
        <v>401</v>
      </c>
      <c r="E163" t="s">
        <v>388</v>
      </c>
      <c r="F163" t="s">
        <v>430</v>
      </c>
      <c r="G163" t="s">
        <v>279</v>
      </c>
      <c r="H163" t="s">
        <v>196</v>
      </c>
      <c r="I163" t="s">
        <v>28</v>
      </c>
      <c r="J163" t="s">
        <v>19</v>
      </c>
      <c r="K163" t="s">
        <v>390</v>
      </c>
      <c r="L163" t="s">
        <v>21</v>
      </c>
      <c r="M163" t="s">
        <v>22</v>
      </c>
    </row>
    <row r="164" spans="1:13" hidden="1" x14ac:dyDescent="0.3">
      <c r="A164" t="s">
        <v>384</v>
      </c>
      <c r="B164" t="s">
        <v>431</v>
      </c>
      <c r="C164" t="s">
        <v>432</v>
      </c>
      <c r="D164" t="s">
        <v>433</v>
      </c>
      <c r="E164" t="s">
        <v>434</v>
      </c>
      <c r="F164" t="s">
        <v>435</v>
      </c>
      <c r="G164" t="s">
        <v>148</v>
      </c>
      <c r="H164" t="s">
        <v>350</v>
      </c>
      <c r="I164" t="s">
        <v>149</v>
      </c>
      <c r="J164" t="s">
        <v>19</v>
      </c>
      <c r="K164" t="s">
        <v>390</v>
      </c>
      <c r="L164" t="s">
        <v>21</v>
      </c>
      <c r="M164" t="s">
        <v>22</v>
      </c>
    </row>
    <row r="165" spans="1:13" hidden="1" x14ac:dyDescent="0.3">
      <c r="A165" t="s">
        <v>384</v>
      </c>
      <c r="B165" t="s">
        <v>436</v>
      </c>
      <c r="C165" t="s">
        <v>437</v>
      </c>
      <c r="D165" t="s">
        <v>438</v>
      </c>
      <c r="E165" t="s">
        <v>434</v>
      </c>
      <c r="F165" t="s">
        <v>437</v>
      </c>
      <c r="G165" t="s">
        <v>261</v>
      </c>
      <c r="H165" t="s">
        <v>350</v>
      </c>
      <c r="I165" t="s">
        <v>149</v>
      </c>
      <c r="J165" t="s">
        <v>19</v>
      </c>
      <c r="K165" t="s">
        <v>390</v>
      </c>
      <c r="L165" t="s">
        <v>21</v>
      </c>
      <c r="M165" t="s">
        <v>22</v>
      </c>
    </row>
    <row r="166" spans="1:13" hidden="1" x14ac:dyDescent="0.3">
      <c r="A166" t="s">
        <v>384</v>
      </c>
      <c r="B166" t="s">
        <v>439</v>
      </c>
      <c r="C166" t="s">
        <v>440</v>
      </c>
      <c r="D166" t="s">
        <v>441</v>
      </c>
      <c r="E166" t="s">
        <v>434</v>
      </c>
      <c r="F166" t="s">
        <v>440</v>
      </c>
      <c r="G166" t="s">
        <v>264</v>
      </c>
      <c r="H166" t="s">
        <v>194</v>
      </c>
      <c r="I166" t="s">
        <v>28</v>
      </c>
      <c r="J166" t="s">
        <v>19</v>
      </c>
      <c r="K166" t="s">
        <v>390</v>
      </c>
      <c r="L166" t="s">
        <v>21</v>
      </c>
      <c r="M166" t="s">
        <v>22</v>
      </c>
    </row>
    <row r="167" spans="1:13" hidden="1" x14ac:dyDescent="0.3">
      <c r="A167" t="s">
        <v>384</v>
      </c>
      <c r="B167" t="s">
        <v>442</v>
      </c>
      <c r="C167" t="s">
        <v>443</v>
      </c>
      <c r="D167" t="s">
        <v>444</v>
      </c>
      <c r="E167" t="s">
        <v>434</v>
      </c>
      <c r="F167" t="s">
        <v>443</v>
      </c>
      <c r="G167" t="s">
        <v>114</v>
      </c>
      <c r="H167" t="s">
        <v>196</v>
      </c>
      <c r="I167" t="s">
        <v>28</v>
      </c>
      <c r="J167" t="s">
        <v>19</v>
      </c>
      <c r="K167" t="s">
        <v>390</v>
      </c>
      <c r="L167" t="s">
        <v>21</v>
      </c>
      <c r="M167" t="s">
        <v>22</v>
      </c>
    </row>
    <row r="168" spans="1:13" hidden="1" x14ac:dyDescent="0.3">
      <c r="A168" t="s">
        <v>384</v>
      </c>
      <c r="B168" t="s">
        <v>280</v>
      </c>
      <c r="C168" t="s">
        <v>445</v>
      </c>
      <c r="D168" t="s">
        <v>446</v>
      </c>
      <c r="E168" t="s">
        <v>434</v>
      </c>
      <c r="F168" t="s">
        <v>445</v>
      </c>
      <c r="G168" t="s">
        <v>270</v>
      </c>
      <c r="H168" t="s">
        <v>350</v>
      </c>
      <c r="I168" t="s">
        <v>149</v>
      </c>
      <c r="J168" t="s">
        <v>19</v>
      </c>
      <c r="K168" t="s">
        <v>390</v>
      </c>
      <c r="L168" t="s">
        <v>21</v>
      </c>
      <c r="M168" t="s">
        <v>22</v>
      </c>
    </row>
    <row r="169" spans="1:13" hidden="1" x14ac:dyDescent="0.3">
      <c r="A169" t="s">
        <v>384</v>
      </c>
      <c r="B169" t="s">
        <v>283</v>
      </c>
      <c r="C169" t="s">
        <v>447</v>
      </c>
      <c r="D169" t="s">
        <v>448</v>
      </c>
      <c r="E169" t="s">
        <v>434</v>
      </c>
      <c r="F169" t="s">
        <v>447</v>
      </c>
      <c r="G169" t="s">
        <v>273</v>
      </c>
      <c r="H169" t="s">
        <v>350</v>
      </c>
      <c r="I169" t="s">
        <v>149</v>
      </c>
      <c r="J169" t="s">
        <v>19</v>
      </c>
      <c r="K169" t="s">
        <v>390</v>
      </c>
      <c r="L169" t="s">
        <v>21</v>
      </c>
      <c r="M169" t="s">
        <v>22</v>
      </c>
    </row>
    <row r="170" spans="1:13" hidden="1" x14ac:dyDescent="0.3">
      <c r="A170" t="s">
        <v>384</v>
      </c>
      <c r="B170" t="s">
        <v>285</v>
      </c>
      <c r="C170" t="s">
        <v>449</v>
      </c>
      <c r="D170" t="s">
        <v>450</v>
      </c>
      <c r="E170" t="s">
        <v>434</v>
      </c>
      <c r="F170" t="s">
        <v>449</v>
      </c>
      <c r="G170" t="s">
        <v>276</v>
      </c>
      <c r="H170" t="s">
        <v>194</v>
      </c>
      <c r="I170" t="s">
        <v>28</v>
      </c>
      <c r="J170" t="s">
        <v>19</v>
      </c>
      <c r="K170" t="s">
        <v>390</v>
      </c>
      <c r="L170" t="s">
        <v>21</v>
      </c>
      <c r="M170" t="s">
        <v>22</v>
      </c>
    </row>
    <row r="171" spans="1:13" hidden="1" x14ac:dyDescent="0.3">
      <c r="A171" t="s">
        <v>384</v>
      </c>
      <c r="B171" t="s">
        <v>287</v>
      </c>
      <c r="C171" t="s">
        <v>451</v>
      </c>
      <c r="D171" t="s">
        <v>452</v>
      </c>
      <c r="E171" t="s">
        <v>434</v>
      </c>
      <c r="F171" t="s">
        <v>451</v>
      </c>
      <c r="G171" t="s">
        <v>279</v>
      </c>
      <c r="H171" t="s">
        <v>196</v>
      </c>
      <c r="I171" t="s">
        <v>28</v>
      </c>
      <c r="J171" t="s">
        <v>19</v>
      </c>
      <c r="K171" t="s">
        <v>390</v>
      </c>
      <c r="L171" t="s">
        <v>21</v>
      </c>
      <c r="M171" t="s">
        <v>22</v>
      </c>
    </row>
    <row r="172" spans="1:13" hidden="1" x14ac:dyDescent="0.3">
      <c r="A172" t="s">
        <v>384</v>
      </c>
      <c r="B172" t="s">
        <v>453</v>
      </c>
      <c r="C172" t="s">
        <v>454</v>
      </c>
      <c r="D172" t="s">
        <v>455</v>
      </c>
      <c r="E172" t="s">
        <v>434</v>
      </c>
      <c r="F172" t="s">
        <v>454</v>
      </c>
      <c r="G172" t="s">
        <v>148</v>
      </c>
      <c r="H172" t="s">
        <v>350</v>
      </c>
      <c r="I172" t="s">
        <v>149</v>
      </c>
      <c r="J172" t="s">
        <v>19</v>
      </c>
      <c r="K172" t="s">
        <v>390</v>
      </c>
      <c r="L172" t="s">
        <v>21</v>
      </c>
      <c r="M172" t="s">
        <v>22</v>
      </c>
    </row>
    <row r="173" spans="1:13" hidden="1" x14ac:dyDescent="0.3">
      <c r="A173" t="s">
        <v>384</v>
      </c>
      <c r="B173" t="s">
        <v>456</v>
      </c>
      <c r="C173" t="s">
        <v>457</v>
      </c>
      <c r="D173" t="s">
        <v>438</v>
      </c>
      <c r="E173" t="s">
        <v>434</v>
      </c>
      <c r="F173" t="s">
        <v>457</v>
      </c>
      <c r="G173" t="s">
        <v>261</v>
      </c>
      <c r="H173" t="s">
        <v>350</v>
      </c>
      <c r="I173" t="s">
        <v>149</v>
      </c>
      <c r="J173" t="s">
        <v>19</v>
      </c>
      <c r="K173" t="s">
        <v>390</v>
      </c>
      <c r="L173" t="s">
        <v>21</v>
      </c>
      <c r="M173" t="s">
        <v>22</v>
      </c>
    </row>
    <row r="174" spans="1:13" hidden="1" x14ac:dyDescent="0.3">
      <c r="A174" t="s">
        <v>384</v>
      </c>
      <c r="B174" t="s">
        <v>458</v>
      </c>
      <c r="C174" t="s">
        <v>459</v>
      </c>
      <c r="D174" t="s">
        <v>441</v>
      </c>
      <c r="E174" t="s">
        <v>434</v>
      </c>
      <c r="F174" t="s">
        <v>459</v>
      </c>
      <c r="G174" t="s">
        <v>264</v>
      </c>
      <c r="H174" t="s">
        <v>194</v>
      </c>
      <c r="I174" t="s">
        <v>28</v>
      </c>
      <c r="J174" t="s">
        <v>19</v>
      </c>
      <c r="K174" t="s">
        <v>390</v>
      </c>
      <c r="L174" t="s">
        <v>21</v>
      </c>
      <c r="M174" t="s">
        <v>22</v>
      </c>
    </row>
    <row r="175" spans="1:13" hidden="1" x14ac:dyDescent="0.3">
      <c r="A175" t="s">
        <v>384</v>
      </c>
      <c r="B175" t="s">
        <v>460</v>
      </c>
      <c r="C175" t="s">
        <v>461</v>
      </c>
      <c r="D175" t="s">
        <v>444</v>
      </c>
      <c r="E175" t="s">
        <v>434</v>
      </c>
      <c r="F175" t="s">
        <v>461</v>
      </c>
      <c r="G175" t="s">
        <v>114</v>
      </c>
      <c r="H175" t="s">
        <v>196</v>
      </c>
      <c r="I175" t="s">
        <v>28</v>
      </c>
      <c r="J175" t="s">
        <v>19</v>
      </c>
      <c r="K175" t="s">
        <v>390</v>
      </c>
      <c r="L175" t="s">
        <v>21</v>
      </c>
      <c r="M175" t="s">
        <v>22</v>
      </c>
    </row>
    <row r="176" spans="1:13" hidden="1" x14ac:dyDescent="0.3">
      <c r="A176" t="s">
        <v>384</v>
      </c>
      <c r="B176" t="s">
        <v>289</v>
      </c>
      <c r="C176" t="s">
        <v>462</v>
      </c>
      <c r="D176" t="s">
        <v>446</v>
      </c>
      <c r="E176" t="s">
        <v>434</v>
      </c>
      <c r="F176" t="s">
        <v>462</v>
      </c>
      <c r="G176" t="s">
        <v>270</v>
      </c>
      <c r="H176" t="s">
        <v>350</v>
      </c>
      <c r="I176" t="s">
        <v>149</v>
      </c>
      <c r="J176" t="s">
        <v>19</v>
      </c>
      <c r="K176" t="s">
        <v>390</v>
      </c>
      <c r="L176" t="s">
        <v>21</v>
      </c>
      <c r="M176" t="s">
        <v>22</v>
      </c>
    </row>
    <row r="177" spans="1:13" hidden="1" x14ac:dyDescent="0.3">
      <c r="A177" t="s">
        <v>384</v>
      </c>
      <c r="B177" t="s">
        <v>292</v>
      </c>
      <c r="C177" t="s">
        <v>463</v>
      </c>
      <c r="D177" t="s">
        <v>448</v>
      </c>
      <c r="E177" t="s">
        <v>434</v>
      </c>
      <c r="F177" t="s">
        <v>463</v>
      </c>
      <c r="G177" t="s">
        <v>273</v>
      </c>
      <c r="H177" t="s">
        <v>350</v>
      </c>
      <c r="I177" t="s">
        <v>149</v>
      </c>
      <c r="J177" t="s">
        <v>19</v>
      </c>
      <c r="K177" t="s">
        <v>390</v>
      </c>
      <c r="L177" t="s">
        <v>21</v>
      </c>
      <c r="M177" t="s">
        <v>22</v>
      </c>
    </row>
    <row r="178" spans="1:13" hidden="1" x14ac:dyDescent="0.3">
      <c r="A178" t="s">
        <v>384</v>
      </c>
      <c r="B178" t="s">
        <v>294</v>
      </c>
      <c r="C178" t="s">
        <v>464</v>
      </c>
      <c r="D178" t="s">
        <v>450</v>
      </c>
      <c r="E178" t="s">
        <v>434</v>
      </c>
      <c r="F178" t="s">
        <v>464</v>
      </c>
      <c r="G178" t="s">
        <v>276</v>
      </c>
      <c r="H178" t="s">
        <v>194</v>
      </c>
      <c r="I178" t="s">
        <v>28</v>
      </c>
      <c r="J178" t="s">
        <v>19</v>
      </c>
      <c r="K178" t="s">
        <v>390</v>
      </c>
      <c r="L178" t="s">
        <v>21</v>
      </c>
      <c r="M178" t="s">
        <v>22</v>
      </c>
    </row>
    <row r="179" spans="1:13" hidden="1" x14ac:dyDescent="0.3">
      <c r="A179" t="s">
        <v>384</v>
      </c>
      <c r="B179" t="s">
        <v>296</v>
      </c>
      <c r="C179" t="s">
        <v>465</v>
      </c>
      <c r="D179" t="s">
        <v>452</v>
      </c>
      <c r="E179" t="s">
        <v>434</v>
      </c>
      <c r="F179" t="s">
        <v>465</v>
      </c>
      <c r="G179" t="s">
        <v>279</v>
      </c>
      <c r="H179" t="s">
        <v>196</v>
      </c>
      <c r="I179" t="s">
        <v>28</v>
      </c>
      <c r="J179" t="s">
        <v>19</v>
      </c>
      <c r="K179" t="s">
        <v>390</v>
      </c>
      <c r="L179" t="s">
        <v>21</v>
      </c>
      <c r="M179" t="s">
        <v>22</v>
      </c>
    </row>
    <row r="180" spans="1:13" hidden="1" x14ac:dyDescent="0.3">
      <c r="A180" t="s">
        <v>384</v>
      </c>
      <c r="B180" t="s">
        <v>466</v>
      </c>
      <c r="C180" t="s">
        <v>467</v>
      </c>
      <c r="D180" t="s">
        <v>468</v>
      </c>
      <c r="E180" t="s">
        <v>338</v>
      </c>
      <c r="F180" t="s">
        <v>467</v>
      </c>
      <c r="G180" t="s">
        <v>148</v>
      </c>
      <c r="H180" t="s">
        <v>350</v>
      </c>
      <c r="I180" t="s">
        <v>149</v>
      </c>
      <c r="J180" t="s">
        <v>19</v>
      </c>
      <c r="K180" t="s">
        <v>390</v>
      </c>
      <c r="L180" t="s">
        <v>21</v>
      </c>
      <c r="M180" t="s">
        <v>22</v>
      </c>
    </row>
    <row r="181" spans="1:13" hidden="1" x14ac:dyDescent="0.3">
      <c r="A181" t="s">
        <v>384</v>
      </c>
      <c r="B181" t="s">
        <v>469</v>
      </c>
      <c r="C181" t="s">
        <v>470</v>
      </c>
      <c r="D181" t="s">
        <v>471</v>
      </c>
      <c r="E181" t="s">
        <v>338</v>
      </c>
      <c r="F181" t="s">
        <v>470</v>
      </c>
      <c r="G181" t="s">
        <v>261</v>
      </c>
      <c r="H181" t="s">
        <v>350</v>
      </c>
      <c r="I181" t="s">
        <v>149</v>
      </c>
      <c r="J181" t="s">
        <v>19</v>
      </c>
      <c r="K181" t="s">
        <v>390</v>
      </c>
      <c r="L181" t="s">
        <v>21</v>
      </c>
      <c r="M181" t="s">
        <v>22</v>
      </c>
    </row>
    <row r="182" spans="1:13" hidden="1" x14ac:dyDescent="0.3">
      <c r="A182" t="s">
        <v>384</v>
      </c>
      <c r="B182" t="s">
        <v>336</v>
      </c>
      <c r="C182" t="s">
        <v>472</v>
      </c>
      <c r="D182" t="s">
        <v>473</v>
      </c>
      <c r="E182" t="s">
        <v>338</v>
      </c>
      <c r="F182" t="s">
        <v>472</v>
      </c>
      <c r="G182" t="s">
        <v>270</v>
      </c>
      <c r="H182" t="s">
        <v>350</v>
      </c>
      <c r="I182" t="s">
        <v>149</v>
      </c>
      <c r="J182" t="s">
        <v>19</v>
      </c>
      <c r="K182" t="s">
        <v>390</v>
      </c>
      <c r="L182" t="s">
        <v>21</v>
      </c>
      <c r="M182" t="s">
        <v>22</v>
      </c>
    </row>
    <row r="183" spans="1:13" hidden="1" x14ac:dyDescent="0.3">
      <c r="A183" t="s">
        <v>384</v>
      </c>
      <c r="B183" t="s">
        <v>339</v>
      </c>
      <c r="C183" t="s">
        <v>474</v>
      </c>
      <c r="D183" t="s">
        <v>475</v>
      </c>
      <c r="E183" t="s">
        <v>338</v>
      </c>
      <c r="F183" t="s">
        <v>474</v>
      </c>
      <c r="G183" t="s">
        <v>273</v>
      </c>
      <c r="H183" t="s">
        <v>350</v>
      </c>
      <c r="I183" t="s">
        <v>149</v>
      </c>
      <c r="J183" t="s">
        <v>19</v>
      </c>
      <c r="K183" t="s">
        <v>390</v>
      </c>
      <c r="L183" t="s">
        <v>21</v>
      </c>
      <c r="M183" t="s">
        <v>22</v>
      </c>
    </row>
    <row r="184" spans="1:13" hidden="1" x14ac:dyDescent="0.3">
      <c r="A184" t="s">
        <v>384</v>
      </c>
      <c r="B184" t="s">
        <v>476</v>
      </c>
      <c r="C184" t="s">
        <v>477</v>
      </c>
      <c r="D184" t="s">
        <v>478</v>
      </c>
      <c r="E184" t="s">
        <v>310</v>
      </c>
      <c r="F184" t="s">
        <v>477</v>
      </c>
      <c r="G184" t="s">
        <v>148</v>
      </c>
      <c r="H184" t="s">
        <v>350</v>
      </c>
      <c r="I184" t="s">
        <v>149</v>
      </c>
      <c r="J184" t="s">
        <v>19</v>
      </c>
      <c r="K184" t="s">
        <v>390</v>
      </c>
      <c r="L184" t="s">
        <v>21</v>
      </c>
      <c r="M184" t="s">
        <v>22</v>
      </c>
    </row>
    <row r="185" spans="1:13" hidden="1" x14ac:dyDescent="0.3">
      <c r="A185" t="s">
        <v>384</v>
      </c>
      <c r="B185" t="s">
        <v>479</v>
      </c>
      <c r="C185" t="s">
        <v>480</v>
      </c>
      <c r="D185" t="s">
        <v>481</v>
      </c>
      <c r="E185" t="s">
        <v>310</v>
      </c>
      <c r="F185" t="s">
        <v>480</v>
      </c>
      <c r="G185" t="s">
        <v>261</v>
      </c>
      <c r="H185" t="s">
        <v>350</v>
      </c>
      <c r="I185" t="s">
        <v>149</v>
      </c>
      <c r="J185" t="s">
        <v>19</v>
      </c>
      <c r="K185" t="s">
        <v>390</v>
      </c>
      <c r="L185" t="s">
        <v>21</v>
      </c>
      <c r="M185" t="s">
        <v>22</v>
      </c>
    </row>
    <row r="186" spans="1:13" hidden="1" x14ac:dyDescent="0.3">
      <c r="A186" t="s">
        <v>384</v>
      </c>
      <c r="B186" t="s">
        <v>482</v>
      </c>
      <c r="C186" t="s">
        <v>483</v>
      </c>
      <c r="D186" t="s">
        <v>484</v>
      </c>
      <c r="E186" t="s">
        <v>310</v>
      </c>
      <c r="F186" t="s">
        <v>483</v>
      </c>
      <c r="G186" t="s">
        <v>264</v>
      </c>
      <c r="H186" t="s">
        <v>194</v>
      </c>
      <c r="I186" t="s">
        <v>28</v>
      </c>
      <c r="J186" t="s">
        <v>19</v>
      </c>
      <c r="K186" t="s">
        <v>390</v>
      </c>
      <c r="L186" t="s">
        <v>21</v>
      </c>
      <c r="M186" t="s">
        <v>22</v>
      </c>
    </row>
    <row r="187" spans="1:13" hidden="1" x14ac:dyDescent="0.3">
      <c r="A187" t="s">
        <v>384</v>
      </c>
      <c r="B187" t="s">
        <v>485</v>
      </c>
      <c r="C187" t="s">
        <v>486</v>
      </c>
      <c r="D187" t="s">
        <v>487</v>
      </c>
      <c r="E187" t="s">
        <v>310</v>
      </c>
      <c r="F187" t="s">
        <v>486</v>
      </c>
      <c r="G187" t="s">
        <v>114</v>
      </c>
      <c r="H187" t="s">
        <v>196</v>
      </c>
      <c r="I187" t="s">
        <v>28</v>
      </c>
      <c r="J187" t="s">
        <v>19</v>
      </c>
      <c r="K187" t="s">
        <v>390</v>
      </c>
      <c r="L187" t="s">
        <v>21</v>
      </c>
      <c r="M187" t="s">
        <v>22</v>
      </c>
    </row>
    <row r="188" spans="1:13" hidden="1" x14ac:dyDescent="0.3">
      <c r="A188" t="s">
        <v>384</v>
      </c>
      <c r="B188" t="s">
        <v>308</v>
      </c>
      <c r="C188" t="s">
        <v>488</v>
      </c>
      <c r="D188" t="s">
        <v>489</v>
      </c>
      <c r="E188" t="s">
        <v>310</v>
      </c>
      <c r="F188" t="s">
        <v>488</v>
      </c>
      <c r="G188" t="s">
        <v>270</v>
      </c>
      <c r="H188" t="s">
        <v>350</v>
      </c>
      <c r="I188" t="s">
        <v>149</v>
      </c>
      <c r="J188" t="s">
        <v>19</v>
      </c>
      <c r="K188" t="s">
        <v>390</v>
      </c>
      <c r="L188" t="s">
        <v>21</v>
      </c>
      <c r="M188" t="s">
        <v>22</v>
      </c>
    </row>
    <row r="189" spans="1:13" hidden="1" x14ac:dyDescent="0.3">
      <c r="A189" t="s">
        <v>384</v>
      </c>
      <c r="B189" t="s">
        <v>313</v>
      </c>
      <c r="C189" t="s">
        <v>490</v>
      </c>
      <c r="D189" t="s">
        <v>491</v>
      </c>
      <c r="E189" t="s">
        <v>310</v>
      </c>
      <c r="F189" t="s">
        <v>490</v>
      </c>
      <c r="G189" t="s">
        <v>273</v>
      </c>
      <c r="H189" t="s">
        <v>350</v>
      </c>
      <c r="I189" t="s">
        <v>149</v>
      </c>
      <c r="J189" t="s">
        <v>19</v>
      </c>
      <c r="K189" t="s">
        <v>390</v>
      </c>
      <c r="L189" t="s">
        <v>21</v>
      </c>
      <c r="M189" t="s">
        <v>22</v>
      </c>
    </row>
    <row r="190" spans="1:13" hidden="1" x14ac:dyDescent="0.3">
      <c r="A190" t="s">
        <v>384</v>
      </c>
      <c r="B190" t="s">
        <v>316</v>
      </c>
      <c r="C190" t="s">
        <v>492</v>
      </c>
      <c r="D190" t="s">
        <v>493</v>
      </c>
      <c r="E190" t="s">
        <v>310</v>
      </c>
      <c r="F190" t="s">
        <v>492</v>
      </c>
      <c r="G190" t="s">
        <v>276</v>
      </c>
      <c r="H190" t="s">
        <v>194</v>
      </c>
      <c r="I190" t="s">
        <v>28</v>
      </c>
      <c r="J190" t="s">
        <v>19</v>
      </c>
      <c r="K190" t="s">
        <v>390</v>
      </c>
      <c r="L190" t="s">
        <v>21</v>
      </c>
      <c r="M190" t="s">
        <v>22</v>
      </c>
    </row>
    <row r="191" spans="1:13" hidden="1" x14ac:dyDescent="0.3">
      <c r="A191" t="s">
        <v>384</v>
      </c>
      <c r="B191" t="s">
        <v>320</v>
      </c>
      <c r="C191" t="s">
        <v>494</v>
      </c>
      <c r="D191" t="s">
        <v>495</v>
      </c>
      <c r="E191" t="s">
        <v>310</v>
      </c>
      <c r="F191" t="s">
        <v>494</v>
      </c>
      <c r="G191" t="s">
        <v>279</v>
      </c>
      <c r="H191" t="s">
        <v>196</v>
      </c>
      <c r="I191" t="s">
        <v>28</v>
      </c>
      <c r="J191" t="s">
        <v>19</v>
      </c>
      <c r="K191" t="s">
        <v>390</v>
      </c>
      <c r="L191" t="s">
        <v>21</v>
      </c>
      <c r="M191" t="s">
        <v>22</v>
      </c>
    </row>
    <row r="192" spans="1:13" hidden="1" x14ac:dyDescent="0.3">
      <c r="A192" t="s">
        <v>384</v>
      </c>
      <c r="B192" t="s">
        <v>496</v>
      </c>
      <c r="C192" t="s">
        <v>497</v>
      </c>
      <c r="D192" t="s">
        <v>478</v>
      </c>
      <c r="E192" t="s">
        <v>310</v>
      </c>
      <c r="F192" t="s">
        <v>498</v>
      </c>
      <c r="G192" t="s">
        <v>148</v>
      </c>
      <c r="H192" t="s">
        <v>350</v>
      </c>
      <c r="I192" t="s">
        <v>149</v>
      </c>
      <c r="J192" t="s">
        <v>19</v>
      </c>
      <c r="K192" t="s">
        <v>390</v>
      </c>
      <c r="L192" t="s">
        <v>21</v>
      </c>
      <c r="M192" t="s">
        <v>22</v>
      </c>
    </row>
    <row r="193" spans="1:13" hidden="1" x14ac:dyDescent="0.3">
      <c r="A193" t="s">
        <v>384</v>
      </c>
      <c r="B193" t="s">
        <v>499</v>
      </c>
      <c r="C193" t="s">
        <v>500</v>
      </c>
      <c r="D193" t="s">
        <v>481</v>
      </c>
      <c r="E193" t="s">
        <v>310</v>
      </c>
      <c r="F193" t="s">
        <v>501</v>
      </c>
      <c r="G193" t="s">
        <v>261</v>
      </c>
      <c r="H193" t="s">
        <v>350</v>
      </c>
      <c r="I193" t="s">
        <v>149</v>
      </c>
      <c r="J193" t="s">
        <v>19</v>
      </c>
      <c r="K193" t="s">
        <v>390</v>
      </c>
      <c r="L193" t="s">
        <v>21</v>
      </c>
      <c r="M193" t="s">
        <v>22</v>
      </c>
    </row>
    <row r="194" spans="1:13" hidden="1" x14ac:dyDescent="0.3">
      <c r="A194" t="s">
        <v>384</v>
      </c>
      <c r="B194" t="s">
        <v>502</v>
      </c>
      <c r="C194" t="s">
        <v>503</v>
      </c>
      <c r="D194" t="s">
        <v>484</v>
      </c>
      <c r="E194" t="s">
        <v>310</v>
      </c>
      <c r="F194" t="s">
        <v>504</v>
      </c>
      <c r="G194" t="s">
        <v>264</v>
      </c>
      <c r="H194" t="s">
        <v>194</v>
      </c>
      <c r="I194" t="s">
        <v>28</v>
      </c>
      <c r="J194" t="s">
        <v>19</v>
      </c>
      <c r="K194" t="s">
        <v>390</v>
      </c>
      <c r="L194" t="s">
        <v>21</v>
      </c>
      <c r="M194" t="s">
        <v>22</v>
      </c>
    </row>
    <row r="195" spans="1:13" hidden="1" x14ac:dyDescent="0.3">
      <c r="A195" t="s">
        <v>384</v>
      </c>
      <c r="B195" t="s">
        <v>505</v>
      </c>
      <c r="C195" t="s">
        <v>506</v>
      </c>
      <c r="D195" t="s">
        <v>487</v>
      </c>
      <c r="E195" t="s">
        <v>310</v>
      </c>
      <c r="F195" t="s">
        <v>507</v>
      </c>
      <c r="G195" t="s">
        <v>114</v>
      </c>
      <c r="H195" t="s">
        <v>196</v>
      </c>
      <c r="I195" t="s">
        <v>28</v>
      </c>
      <c r="J195" t="s">
        <v>19</v>
      </c>
      <c r="K195" t="s">
        <v>390</v>
      </c>
      <c r="L195" t="s">
        <v>21</v>
      </c>
      <c r="M195" t="s">
        <v>22</v>
      </c>
    </row>
    <row r="196" spans="1:13" hidden="1" x14ac:dyDescent="0.3">
      <c r="A196" t="s">
        <v>384</v>
      </c>
      <c r="B196" t="s">
        <v>324</v>
      </c>
      <c r="C196" t="s">
        <v>508</v>
      </c>
      <c r="D196" t="s">
        <v>489</v>
      </c>
      <c r="E196" t="s">
        <v>310</v>
      </c>
      <c r="F196" t="s">
        <v>509</v>
      </c>
      <c r="G196" t="s">
        <v>270</v>
      </c>
      <c r="H196" t="s">
        <v>350</v>
      </c>
      <c r="I196" t="s">
        <v>149</v>
      </c>
      <c r="J196" t="s">
        <v>19</v>
      </c>
      <c r="K196" t="s">
        <v>390</v>
      </c>
      <c r="L196" t="s">
        <v>21</v>
      </c>
      <c r="M196" t="s">
        <v>22</v>
      </c>
    </row>
    <row r="197" spans="1:13" hidden="1" x14ac:dyDescent="0.3">
      <c r="A197" t="s">
        <v>384</v>
      </c>
      <c r="B197" t="s">
        <v>327</v>
      </c>
      <c r="C197" t="s">
        <v>510</v>
      </c>
      <c r="D197" t="s">
        <v>491</v>
      </c>
      <c r="E197" t="s">
        <v>310</v>
      </c>
      <c r="F197" t="s">
        <v>511</v>
      </c>
      <c r="G197" t="s">
        <v>273</v>
      </c>
      <c r="H197" t="s">
        <v>350</v>
      </c>
      <c r="I197" t="s">
        <v>149</v>
      </c>
      <c r="J197" t="s">
        <v>19</v>
      </c>
      <c r="K197" t="s">
        <v>390</v>
      </c>
      <c r="L197" t="s">
        <v>21</v>
      </c>
      <c r="M197" t="s">
        <v>22</v>
      </c>
    </row>
    <row r="198" spans="1:13" hidden="1" x14ac:dyDescent="0.3">
      <c r="A198" t="s">
        <v>384</v>
      </c>
      <c r="B198" t="s">
        <v>330</v>
      </c>
      <c r="C198" t="s">
        <v>512</v>
      </c>
      <c r="D198" t="s">
        <v>493</v>
      </c>
      <c r="E198" t="s">
        <v>310</v>
      </c>
      <c r="F198" t="s">
        <v>513</v>
      </c>
      <c r="G198" t="s">
        <v>276</v>
      </c>
      <c r="H198" t="s">
        <v>194</v>
      </c>
      <c r="I198" t="s">
        <v>28</v>
      </c>
      <c r="J198" t="s">
        <v>19</v>
      </c>
      <c r="K198" t="s">
        <v>390</v>
      </c>
      <c r="L198" t="s">
        <v>21</v>
      </c>
      <c r="M198" t="s">
        <v>22</v>
      </c>
    </row>
    <row r="199" spans="1:13" hidden="1" x14ac:dyDescent="0.3">
      <c r="A199" t="s">
        <v>384</v>
      </c>
      <c r="B199" t="s">
        <v>333</v>
      </c>
      <c r="C199" t="s">
        <v>514</v>
      </c>
      <c r="D199" t="s">
        <v>495</v>
      </c>
      <c r="E199" t="s">
        <v>310</v>
      </c>
      <c r="F199" t="s">
        <v>515</v>
      </c>
      <c r="G199" t="s">
        <v>279</v>
      </c>
      <c r="H199" t="s">
        <v>196</v>
      </c>
      <c r="I199" t="s">
        <v>28</v>
      </c>
      <c r="J199" t="s">
        <v>19</v>
      </c>
      <c r="K199" t="s">
        <v>390</v>
      </c>
      <c r="L199" t="s">
        <v>21</v>
      </c>
      <c r="M199" t="s">
        <v>22</v>
      </c>
    </row>
    <row r="200" spans="1:13" hidden="1" x14ac:dyDescent="0.3">
      <c r="A200" t="s">
        <v>384</v>
      </c>
      <c r="B200" t="s">
        <v>516</v>
      </c>
      <c r="C200" t="s">
        <v>517</v>
      </c>
      <c r="D200" t="s">
        <v>455</v>
      </c>
      <c r="E200" t="s">
        <v>434</v>
      </c>
      <c r="F200" t="s">
        <v>518</v>
      </c>
      <c r="G200" t="s">
        <v>148</v>
      </c>
      <c r="H200" t="s">
        <v>350</v>
      </c>
      <c r="I200" t="s">
        <v>149</v>
      </c>
      <c r="J200" t="s">
        <v>19</v>
      </c>
      <c r="K200" t="s">
        <v>390</v>
      </c>
      <c r="L200" t="s">
        <v>21</v>
      </c>
      <c r="M200" t="s">
        <v>22</v>
      </c>
    </row>
    <row r="201" spans="1:13" hidden="1" x14ac:dyDescent="0.3">
      <c r="A201" t="s">
        <v>384</v>
      </c>
      <c r="B201" t="s">
        <v>519</v>
      </c>
      <c r="C201" t="s">
        <v>520</v>
      </c>
      <c r="D201" t="s">
        <v>438</v>
      </c>
      <c r="E201" t="s">
        <v>434</v>
      </c>
      <c r="F201" t="s">
        <v>521</v>
      </c>
      <c r="G201" t="s">
        <v>261</v>
      </c>
      <c r="H201" t="s">
        <v>350</v>
      </c>
      <c r="I201" t="s">
        <v>149</v>
      </c>
      <c r="J201" t="s">
        <v>19</v>
      </c>
      <c r="K201" t="s">
        <v>390</v>
      </c>
      <c r="L201" t="s">
        <v>21</v>
      </c>
      <c r="M201" t="s">
        <v>22</v>
      </c>
    </row>
    <row r="202" spans="1:13" hidden="1" x14ac:dyDescent="0.3">
      <c r="A202" t="s">
        <v>384</v>
      </c>
      <c r="B202" t="s">
        <v>522</v>
      </c>
      <c r="C202" t="s">
        <v>523</v>
      </c>
      <c r="D202" t="s">
        <v>441</v>
      </c>
      <c r="E202" t="s">
        <v>434</v>
      </c>
      <c r="F202" t="s">
        <v>524</v>
      </c>
      <c r="G202" t="s">
        <v>264</v>
      </c>
      <c r="H202" t="s">
        <v>194</v>
      </c>
      <c r="I202" t="s">
        <v>28</v>
      </c>
      <c r="J202" t="s">
        <v>19</v>
      </c>
      <c r="K202" t="s">
        <v>390</v>
      </c>
      <c r="L202" t="s">
        <v>21</v>
      </c>
      <c r="M202" t="s">
        <v>22</v>
      </c>
    </row>
    <row r="203" spans="1:13" hidden="1" x14ac:dyDescent="0.3">
      <c r="A203" t="s">
        <v>384</v>
      </c>
      <c r="B203" t="s">
        <v>525</v>
      </c>
      <c r="C203" t="s">
        <v>526</v>
      </c>
      <c r="D203" t="s">
        <v>444</v>
      </c>
      <c r="E203" t="s">
        <v>434</v>
      </c>
      <c r="F203" t="s">
        <v>527</v>
      </c>
      <c r="G203" t="s">
        <v>114</v>
      </c>
      <c r="H203" t="s">
        <v>196</v>
      </c>
      <c r="I203" t="s">
        <v>28</v>
      </c>
      <c r="J203" t="s">
        <v>19</v>
      </c>
      <c r="K203" t="s">
        <v>390</v>
      </c>
      <c r="L203" t="s">
        <v>21</v>
      </c>
      <c r="M203" t="s">
        <v>22</v>
      </c>
    </row>
    <row r="204" spans="1:13" hidden="1" x14ac:dyDescent="0.3">
      <c r="A204" t="s">
        <v>384</v>
      </c>
      <c r="B204" t="s">
        <v>528</v>
      </c>
      <c r="C204" t="s">
        <v>529</v>
      </c>
      <c r="D204" t="s">
        <v>446</v>
      </c>
      <c r="E204" t="s">
        <v>434</v>
      </c>
      <c r="F204" t="s">
        <v>530</v>
      </c>
      <c r="G204" t="s">
        <v>270</v>
      </c>
      <c r="H204" t="s">
        <v>350</v>
      </c>
      <c r="I204" t="s">
        <v>149</v>
      </c>
      <c r="J204" t="s">
        <v>19</v>
      </c>
      <c r="K204" t="s">
        <v>390</v>
      </c>
      <c r="L204" t="s">
        <v>21</v>
      </c>
      <c r="M204" t="s">
        <v>22</v>
      </c>
    </row>
    <row r="205" spans="1:13" hidden="1" x14ac:dyDescent="0.3">
      <c r="A205" t="s">
        <v>384</v>
      </c>
      <c r="B205" t="s">
        <v>531</v>
      </c>
      <c r="C205" t="s">
        <v>532</v>
      </c>
      <c r="D205" t="s">
        <v>448</v>
      </c>
      <c r="E205" t="s">
        <v>434</v>
      </c>
      <c r="F205" t="s">
        <v>533</v>
      </c>
      <c r="G205" t="s">
        <v>273</v>
      </c>
      <c r="H205" t="s">
        <v>350</v>
      </c>
      <c r="I205" t="s">
        <v>149</v>
      </c>
      <c r="J205" t="s">
        <v>19</v>
      </c>
      <c r="K205" t="s">
        <v>390</v>
      </c>
      <c r="L205" t="s">
        <v>21</v>
      </c>
      <c r="M205" t="s">
        <v>22</v>
      </c>
    </row>
    <row r="206" spans="1:13" hidden="1" x14ac:dyDescent="0.3">
      <c r="A206" t="s">
        <v>384</v>
      </c>
      <c r="B206" t="s">
        <v>534</v>
      </c>
      <c r="C206" t="s">
        <v>535</v>
      </c>
      <c r="D206" t="s">
        <v>450</v>
      </c>
      <c r="E206" t="s">
        <v>434</v>
      </c>
      <c r="F206" t="s">
        <v>536</v>
      </c>
      <c r="G206" t="s">
        <v>276</v>
      </c>
      <c r="H206" t="s">
        <v>194</v>
      </c>
      <c r="I206" t="s">
        <v>28</v>
      </c>
      <c r="J206" t="s">
        <v>19</v>
      </c>
      <c r="K206" t="s">
        <v>390</v>
      </c>
      <c r="L206" t="s">
        <v>21</v>
      </c>
      <c r="M206" t="s">
        <v>22</v>
      </c>
    </row>
    <row r="207" spans="1:13" hidden="1" x14ac:dyDescent="0.3">
      <c r="A207" t="s">
        <v>384</v>
      </c>
      <c r="B207" t="s">
        <v>537</v>
      </c>
      <c r="C207" t="s">
        <v>538</v>
      </c>
      <c r="D207" t="s">
        <v>452</v>
      </c>
      <c r="E207" t="s">
        <v>434</v>
      </c>
      <c r="F207" t="s">
        <v>539</v>
      </c>
      <c r="G207" t="s">
        <v>279</v>
      </c>
      <c r="H207" t="s">
        <v>196</v>
      </c>
      <c r="I207" t="s">
        <v>28</v>
      </c>
      <c r="J207" t="s">
        <v>19</v>
      </c>
      <c r="K207" t="s">
        <v>390</v>
      </c>
      <c r="L207" t="s">
        <v>21</v>
      </c>
      <c r="M207" t="s">
        <v>22</v>
      </c>
    </row>
    <row r="208" spans="1:13" hidden="1" x14ac:dyDescent="0.3">
      <c r="A208" t="s">
        <v>384</v>
      </c>
      <c r="B208" t="s">
        <v>540</v>
      </c>
      <c r="C208" t="s">
        <v>541</v>
      </c>
      <c r="D208" t="s">
        <v>542</v>
      </c>
      <c r="E208" t="s">
        <v>543</v>
      </c>
      <c r="F208" t="s">
        <v>544</v>
      </c>
      <c r="G208" t="s">
        <v>148</v>
      </c>
      <c r="H208" t="s">
        <v>350</v>
      </c>
      <c r="I208" t="s">
        <v>149</v>
      </c>
      <c r="J208" t="s">
        <v>19</v>
      </c>
      <c r="K208" t="s">
        <v>390</v>
      </c>
      <c r="L208" t="s">
        <v>21</v>
      </c>
      <c r="M208" t="s">
        <v>22</v>
      </c>
    </row>
    <row r="209" spans="1:13" hidden="1" x14ac:dyDescent="0.3">
      <c r="A209" t="s">
        <v>384</v>
      </c>
      <c r="B209" t="s">
        <v>545</v>
      </c>
      <c r="C209" t="s">
        <v>546</v>
      </c>
      <c r="D209" t="s">
        <v>547</v>
      </c>
      <c r="E209" t="s">
        <v>543</v>
      </c>
      <c r="F209" t="s">
        <v>548</v>
      </c>
      <c r="G209" t="s">
        <v>261</v>
      </c>
      <c r="H209" t="s">
        <v>350</v>
      </c>
      <c r="I209" t="s">
        <v>149</v>
      </c>
      <c r="J209" t="s">
        <v>19</v>
      </c>
      <c r="K209" t="s">
        <v>390</v>
      </c>
      <c r="L209" t="s">
        <v>21</v>
      </c>
      <c r="M209" t="s">
        <v>22</v>
      </c>
    </row>
    <row r="210" spans="1:13" hidden="1" x14ac:dyDescent="0.3">
      <c r="A210" t="s">
        <v>384</v>
      </c>
      <c r="B210" t="s">
        <v>549</v>
      </c>
      <c r="C210" t="s">
        <v>550</v>
      </c>
      <c r="D210" t="s">
        <v>551</v>
      </c>
      <c r="E210" t="s">
        <v>543</v>
      </c>
      <c r="F210" t="s">
        <v>552</v>
      </c>
      <c r="G210" t="s">
        <v>264</v>
      </c>
      <c r="H210" t="s">
        <v>194</v>
      </c>
      <c r="I210" t="s">
        <v>28</v>
      </c>
      <c r="J210" t="s">
        <v>19</v>
      </c>
      <c r="K210" t="s">
        <v>390</v>
      </c>
      <c r="L210" t="s">
        <v>21</v>
      </c>
      <c r="M210" t="s">
        <v>22</v>
      </c>
    </row>
    <row r="211" spans="1:13" hidden="1" x14ac:dyDescent="0.3">
      <c r="A211" t="s">
        <v>384</v>
      </c>
      <c r="B211" t="s">
        <v>553</v>
      </c>
      <c r="C211" t="s">
        <v>554</v>
      </c>
      <c r="D211" t="s">
        <v>555</v>
      </c>
      <c r="E211" t="s">
        <v>543</v>
      </c>
      <c r="F211" t="s">
        <v>556</v>
      </c>
      <c r="G211" t="s">
        <v>114</v>
      </c>
      <c r="H211" t="s">
        <v>196</v>
      </c>
      <c r="I211" t="s">
        <v>28</v>
      </c>
      <c r="J211" t="s">
        <v>19</v>
      </c>
      <c r="K211" t="s">
        <v>390</v>
      </c>
      <c r="L211" t="s">
        <v>21</v>
      </c>
      <c r="M211" t="s">
        <v>22</v>
      </c>
    </row>
    <row r="212" spans="1:13" hidden="1" x14ac:dyDescent="0.3">
      <c r="A212" t="s">
        <v>384</v>
      </c>
      <c r="B212" t="s">
        <v>557</v>
      </c>
      <c r="C212" t="s">
        <v>558</v>
      </c>
      <c r="D212" t="s">
        <v>559</v>
      </c>
      <c r="E212" t="s">
        <v>543</v>
      </c>
      <c r="F212" t="s">
        <v>560</v>
      </c>
      <c r="G212" t="s">
        <v>270</v>
      </c>
      <c r="H212" t="s">
        <v>350</v>
      </c>
      <c r="I212" t="s">
        <v>149</v>
      </c>
      <c r="J212" t="s">
        <v>19</v>
      </c>
      <c r="K212" t="s">
        <v>390</v>
      </c>
      <c r="L212" t="s">
        <v>21</v>
      </c>
      <c r="M212" t="s">
        <v>22</v>
      </c>
    </row>
    <row r="213" spans="1:13" hidden="1" x14ac:dyDescent="0.3">
      <c r="A213" t="s">
        <v>384</v>
      </c>
      <c r="B213" t="s">
        <v>561</v>
      </c>
      <c r="C213" t="s">
        <v>562</v>
      </c>
      <c r="D213" t="s">
        <v>563</v>
      </c>
      <c r="E213" t="s">
        <v>543</v>
      </c>
      <c r="F213" t="s">
        <v>564</v>
      </c>
      <c r="G213" t="s">
        <v>273</v>
      </c>
      <c r="H213" t="s">
        <v>350</v>
      </c>
      <c r="I213" t="s">
        <v>149</v>
      </c>
      <c r="J213" t="s">
        <v>19</v>
      </c>
      <c r="K213" t="s">
        <v>390</v>
      </c>
      <c r="L213" t="s">
        <v>21</v>
      </c>
      <c r="M213" t="s">
        <v>22</v>
      </c>
    </row>
    <row r="214" spans="1:13" hidden="1" x14ac:dyDescent="0.3">
      <c r="A214" t="s">
        <v>384</v>
      </c>
      <c r="B214" t="s">
        <v>565</v>
      </c>
      <c r="C214" t="s">
        <v>566</v>
      </c>
      <c r="D214" t="s">
        <v>567</v>
      </c>
      <c r="E214" t="s">
        <v>543</v>
      </c>
      <c r="F214" t="s">
        <v>568</v>
      </c>
      <c r="G214" t="s">
        <v>276</v>
      </c>
      <c r="H214" t="s">
        <v>194</v>
      </c>
      <c r="I214" t="s">
        <v>28</v>
      </c>
      <c r="J214" t="s">
        <v>19</v>
      </c>
      <c r="K214" t="s">
        <v>390</v>
      </c>
      <c r="L214" t="s">
        <v>21</v>
      </c>
      <c r="M214" t="s">
        <v>22</v>
      </c>
    </row>
    <row r="215" spans="1:13" hidden="1" x14ac:dyDescent="0.3">
      <c r="A215" t="s">
        <v>384</v>
      </c>
      <c r="B215" t="s">
        <v>569</v>
      </c>
      <c r="C215" t="s">
        <v>570</v>
      </c>
      <c r="D215" t="s">
        <v>571</v>
      </c>
      <c r="E215" t="s">
        <v>543</v>
      </c>
      <c r="F215" t="s">
        <v>572</v>
      </c>
      <c r="G215" t="s">
        <v>279</v>
      </c>
      <c r="H215" t="s">
        <v>196</v>
      </c>
      <c r="I215" t="s">
        <v>28</v>
      </c>
      <c r="J215" t="s">
        <v>19</v>
      </c>
      <c r="K215" t="s">
        <v>390</v>
      </c>
      <c r="L215" t="s">
        <v>21</v>
      </c>
      <c r="M215" t="s">
        <v>22</v>
      </c>
    </row>
    <row r="216" spans="1:13" hidden="1" x14ac:dyDescent="0.3">
      <c r="A216" t="s">
        <v>384</v>
      </c>
      <c r="B216" t="s">
        <v>573</v>
      </c>
      <c r="C216" t="s">
        <v>574</v>
      </c>
      <c r="D216" t="s">
        <v>542</v>
      </c>
      <c r="E216" t="s">
        <v>543</v>
      </c>
      <c r="F216" t="s">
        <v>575</v>
      </c>
      <c r="G216" t="s">
        <v>148</v>
      </c>
      <c r="H216" t="s">
        <v>350</v>
      </c>
      <c r="I216" t="s">
        <v>149</v>
      </c>
      <c r="J216" t="s">
        <v>19</v>
      </c>
      <c r="K216" t="s">
        <v>390</v>
      </c>
      <c r="L216" t="s">
        <v>21</v>
      </c>
      <c r="M216" t="s">
        <v>22</v>
      </c>
    </row>
    <row r="217" spans="1:13" hidden="1" x14ac:dyDescent="0.3">
      <c r="A217" t="s">
        <v>384</v>
      </c>
      <c r="B217" t="s">
        <v>576</v>
      </c>
      <c r="C217" t="s">
        <v>577</v>
      </c>
      <c r="D217" t="s">
        <v>547</v>
      </c>
      <c r="E217" t="s">
        <v>543</v>
      </c>
      <c r="F217" t="s">
        <v>578</v>
      </c>
      <c r="G217" t="s">
        <v>261</v>
      </c>
      <c r="H217" t="s">
        <v>350</v>
      </c>
      <c r="I217" t="s">
        <v>149</v>
      </c>
      <c r="J217" t="s">
        <v>19</v>
      </c>
      <c r="K217" t="s">
        <v>390</v>
      </c>
      <c r="L217" t="s">
        <v>21</v>
      </c>
      <c r="M217" t="s">
        <v>22</v>
      </c>
    </row>
    <row r="218" spans="1:13" hidden="1" x14ac:dyDescent="0.3">
      <c r="A218" t="s">
        <v>384</v>
      </c>
      <c r="B218" t="s">
        <v>579</v>
      </c>
      <c r="C218" t="s">
        <v>580</v>
      </c>
      <c r="D218" t="s">
        <v>551</v>
      </c>
      <c r="E218" t="s">
        <v>543</v>
      </c>
      <c r="F218" t="s">
        <v>581</v>
      </c>
      <c r="G218" t="s">
        <v>264</v>
      </c>
      <c r="H218" t="s">
        <v>194</v>
      </c>
      <c r="I218" t="s">
        <v>28</v>
      </c>
      <c r="J218" t="s">
        <v>19</v>
      </c>
      <c r="K218" t="s">
        <v>390</v>
      </c>
      <c r="L218" t="s">
        <v>21</v>
      </c>
      <c r="M218" t="s">
        <v>22</v>
      </c>
    </row>
    <row r="219" spans="1:13" hidden="1" x14ac:dyDescent="0.3">
      <c r="A219" t="s">
        <v>384</v>
      </c>
      <c r="B219" t="s">
        <v>582</v>
      </c>
      <c r="C219" t="s">
        <v>583</v>
      </c>
      <c r="D219" t="s">
        <v>555</v>
      </c>
      <c r="E219" t="s">
        <v>543</v>
      </c>
      <c r="F219" t="s">
        <v>584</v>
      </c>
      <c r="G219" t="s">
        <v>114</v>
      </c>
      <c r="H219" t="s">
        <v>196</v>
      </c>
      <c r="I219" t="s">
        <v>28</v>
      </c>
      <c r="J219" t="s">
        <v>19</v>
      </c>
      <c r="K219" t="s">
        <v>390</v>
      </c>
      <c r="L219" t="s">
        <v>21</v>
      </c>
      <c r="M219" t="s">
        <v>22</v>
      </c>
    </row>
    <row r="220" spans="1:13" hidden="1" x14ac:dyDescent="0.3">
      <c r="A220" t="s">
        <v>384</v>
      </c>
      <c r="B220" t="s">
        <v>585</v>
      </c>
      <c r="C220" t="s">
        <v>586</v>
      </c>
      <c r="D220" t="s">
        <v>559</v>
      </c>
      <c r="E220" t="s">
        <v>543</v>
      </c>
      <c r="F220" t="s">
        <v>587</v>
      </c>
      <c r="G220" t="s">
        <v>270</v>
      </c>
      <c r="H220" t="s">
        <v>350</v>
      </c>
      <c r="I220" t="s">
        <v>149</v>
      </c>
      <c r="J220" t="s">
        <v>19</v>
      </c>
      <c r="K220" t="s">
        <v>390</v>
      </c>
      <c r="L220" t="s">
        <v>21</v>
      </c>
      <c r="M220" t="s">
        <v>22</v>
      </c>
    </row>
    <row r="221" spans="1:13" hidden="1" x14ac:dyDescent="0.3">
      <c r="A221" t="s">
        <v>384</v>
      </c>
      <c r="B221" t="s">
        <v>588</v>
      </c>
      <c r="C221" t="s">
        <v>589</v>
      </c>
      <c r="D221" t="s">
        <v>563</v>
      </c>
      <c r="E221" t="s">
        <v>543</v>
      </c>
      <c r="F221" t="s">
        <v>590</v>
      </c>
      <c r="G221" t="s">
        <v>273</v>
      </c>
      <c r="H221" t="s">
        <v>350</v>
      </c>
      <c r="I221" t="s">
        <v>149</v>
      </c>
      <c r="J221" t="s">
        <v>19</v>
      </c>
      <c r="K221" t="s">
        <v>390</v>
      </c>
      <c r="L221" t="s">
        <v>21</v>
      </c>
      <c r="M221" t="s">
        <v>22</v>
      </c>
    </row>
    <row r="222" spans="1:13" hidden="1" x14ac:dyDescent="0.3">
      <c r="A222" t="s">
        <v>384</v>
      </c>
      <c r="B222" t="s">
        <v>591</v>
      </c>
      <c r="C222" t="s">
        <v>592</v>
      </c>
      <c r="D222" t="s">
        <v>567</v>
      </c>
      <c r="E222" t="s">
        <v>543</v>
      </c>
      <c r="F222" t="s">
        <v>593</v>
      </c>
      <c r="G222" t="s">
        <v>276</v>
      </c>
      <c r="H222" t="s">
        <v>194</v>
      </c>
      <c r="I222" t="s">
        <v>28</v>
      </c>
      <c r="J222" t="s">
        <v>19</v>
      </c>
      <c r="K222" t="s">
        <v>390</v>
      </c>
      <c r="L222" t="s">
        <v>21</v>
      </c>
      <c r="M222" t="s">
        <v>22</v>
      </c>
    </row>
    <row r="223" spans="1:13" hidden="1" x14ac:dyDescent="0.3">
      <c r="A223" t="s">
        <v>384</v>
      </c>
      <c r="B223" t="s">
        <v>594</v>
      </c>
      <c r="C223" t="s">
        <v>595</v>
      </c>
      <c r="D223" t="s">
        <v>571</v>
      </c>
      <c r="E223" t="s">
        <v>543</v>
      </c>
      <c r="F223" t="s">
        <v>596</v>
      </c>
      <c r="G223" t="s">
        <v>279</v>
      </c>
      <c r="H223" t="s">
        <v>196</v>
      </c>
      <c r="I223" t="s">
        <v>28</v>
      </c>
      <c r="J223" t="s">
        <v>19</v>
      </c>
      <c r="K223" t="s">
        <v>390</v>
      </c>
      <c r="L223" t="s">
        <v>21</v>
      </c>
      <c r="M223" t="s">
        <v>22</v>
      </c>
    </row>
    <row r="224" spans="1:13" hidden="1" x14ac:dyDescent="0.3">
      <c r="A224" t="s">
        <v>597</v>
      </c>
      <c r="B224" t="s">
        <v>598</v>
      </c>
      <c r="C224" t="s">
        <v>599</v>
      </c>
      <c r="D224" t="s">
        <v>22</v>
      </c>
      <c r="E224" t="s">
        <v>599</v>
      </c>
      <c r="F224" t="s">
        <v>22</v>
      </c>
      <c r="G224" t="s">
        <v>346</v>
      </c>
      <c r="H224" t="s">
        <v>600</v>
      </c>
      <c r="I224" t="s">
        <v>149</v>
      </c>
      <c r="J224" t="s">
        <v>116</v>
      </c>
      <c r="K224" t="s">
        <v>601</v>
      </c>
      <c r="L224" t="s">
        <v>602</v>
      </c>
      <c r="M224" t="s">
        <v>22</v>
      </c>
    </row>
    <row r="225" spans="1:13" hidden="1" x14ac:dyDescent="0.3">
      <c r="A225" t="s">
        <v>597</v>
      </c>
      <c r="B225" t="s">
        <v>603</v>
      </c>
      <c r="C225" t="s">
        <v>604</v>
      </c>
      <c r="D225" t="s">
        <v>22</v>
      </c>
      <c r="E225" t="s">
        <v>604</v>
      </c>
      <c r="F225" t="s">
        <v>22</v>
      </c>
      <c r="G225" t="s">
        <v>346</v>
      </c>
      <c r="H225" t="s">
        <v>600</v>
      </c>
      <c r="I225" t="s">
        <v>149</v>
      </c>
      <c r="J225" t="s">
        <v>116</v>
      </c>
      <c r="K225" t="s">
        <v>605</v>
      </c>
      <c r="L225" t="s">
        <v>602</v>
      </c>
      <c r="M225" t="s">
        <v>22</v>
      </c>
    </row>
    <row r="226" spans="1:13" hidden="1" x14ac:dyDescent="0.3">
      <c r="A226" t="s">
        <v>597</v>
      </c>
      <c r="B226" t="s">
        <v>606</v>
      </c>
      <c r="C226" t="s">
        <v>607</v>
      </c>
      <c r="D226" t="s">
        <v>22</v>
      </c>
      <c r="E226" t="s">
        <v>607</v>
      </c>
      <c r="F226" t="s">
        <v>22</v>
      </c>
      <c r="G226" t="s">
        <v>346</v>
      </c>
      <c r="H226" t="s">
        <v>600</v>
      </c>
      <c r="I226" t="s">
        <v>149</v>
      </c>
      <c r="J226" t="s">
        <v>116</v>
      </c>
      <c r="K226" t="s">
        <v>608</v>
      </c>
      <c r="L226" t="s">
        <v>602</v>
      </c>
      <c r="M226" t="s">
        <v>22</v>
      </c>
    </row>
    <row r="227" spans="1:13" hidden="1" x14ac:dyDescent="0.3">
      <c r="A227" t="s">
        <v>597</v>
      </c>
      <c r="B227" t="s">
        <v>609</v>
      </c>
      <c r="C227" t="s">
        <v>610</v>
      </c>
      <c r="D227" t="s">
        <v>22</v>
      </c>
      <c r="E227" t="s">
        <v>610</v>
      </c>
      <c r="F227" t="s">
        <v>22</v>
      </c>
      <c r="G227" t="s">
        <v>346</v>
      </c>
      <c r="H227" t="s">
        <v>600</v>
      </c>
      <c r="I227" t="s">
        <v>149</v>
      </c>
      <c r="J227" t="s">
        <v>116</v>
      </c>
      <c r="K227" t="s">
        <v>611</v>
      </c>
      <c r="L227" t="s">
        <v>602</v>
      </c>
      <c r="M227" t="s">
        <v>22</v>
      </c>
    </row>
    <row r="228" spans="1:13" hidden="1" x14ac:dyDescent="0.3">
      <c r="A228" t="s">
        <v>597</v>
      </c>
      <c r="B228" t="s">
        <v>612</v>
      </c>
      <c r="C228" t="s">
        <v>613</v>
      </c>
      <c r="D228" t="s">
        <v>22</v>
      </c>
      <c r="E228" t="s">
        <v>613</v>
      </c>
      <c r="F228" t="s">
        <v>22</v>
      </c>
      <c r="G228" t="s">
        <v>346</v>
      </c>
      <c r="H228" t="s">
        <v>600</v>
      </c>
      <c r="I228" t="s">
        <v>149</v>
      </c>
      <c r="J228" t="s">
        <v>116</v>
      </c>
      <c r="K228" t="s">
        <v>614</v>
      </c>
      <c r="L228" t="s">
        <v>602</v>
      </c>
      <c r="M228" t="s">
        <v>22</v>
      </c>
    </row>
    <row r="229" spans="1:13" hidden="1" x14ac:dyDescent="0.3">
      <c r="A229" t="s">
        <v>597</v>
      </c>
      <c r="B229" t="s">
        <v>615</v>
      </c>
      <c r="C229" t="s">
        <v>616</v>
      </c>
      <c r="D229" t="s">
        <v>22</v>
      </c>
      <c r="E229" t="s">
        <v>616</v>
      </c>
      <c r="F229" t="s">
        <v>22</v>
      </c>
      <c r="G229" t="s">
        <v>346</v>
      </c>
      <c r="H229" t="s">
        <v>600</v>
      </c>
      <c r="I229" t="s">
        <v>149</v>
      </c>
      <c r="J229" t="s">
        <v>116</v>
      </c>
      <c r="K229" t="s">
        <v>617</v>
      </c>
      <c r="L229" t="s">
        <v>602</v>
      </c>
      <c r="M229" t="s">
        <v>22</v>
      </c>
    </row>
    <row r="230" spans="1:13" hidden="1" x14ac:dyDescent="0.3">
      <c r="A230" t="s">
        <v>597</v>
      </c>
      <c r="B230" t="s">
        <v>618</v>
      </c>
      <c r="C230" t="s">
        <v>619</v>
      </c>
      <c r="D230" t="s">
        <v>22</v>
      </c>
      <c r="E230" t="s">
        <v>616</v>
      </c>
      <c r="F230" t="s">
        <v>22</v>
      </c>
      <c r="G230" t="s">
        <v>114</v>
      </c>
      <c r="H230" t="s">
        <v>619</v>
      </c>
      <c r="I230" t="s">
        <v>28</v>
      </c>
      <c r="J230" t="s">
        <v>116</v>
      </c>
      <c r="K230" t="s">
        <v>620</v>
      </c>
      <c r="L230" t="s">
        <v>21</v>
      </c>
      <c r="M230" t="s">
        <v>22</v>
      </c>
    </row>
    <row r="231" spans="1:13" hidden="1" x14ac:dyDescent="0.3">
      <c r="A231" t="s">
        <v>621</v>
      </c>
      <c r="B231" t="s">
        <v>622</v>
      </c>
      <c r="C231" t="s">
        <v>623</v>
      </c>
      <c r="D231" t="s">
        <v>624</v>
      </c>
      <c r="E231" t="s">
        <v>625</v>
      </c>
      <c r="F231" t="s">
        <v>22</v>
      </c>
      <c r="G231" t="s">
        <v>114</v>
      </c>
      <c r="H231" t="s">
        <v>114</v>
      </c>
      <c r="I231" t="s">
        <v>115</v>
      </c>
      <c r="J231" t="s">
        <v>19</v>
      </c>
      <c r="K231" t="s">
        <v>390</v>
      </c>
      <c r="L231" t="s">
        <v>21</v>
      </c>
      <c r="M231" t="s">
        <v>22</v>
      </c>
    </row>
    <row r="232" spans="1:13" hidden="1" x14ac:dyDescent="0.3">
      <c r="A232" t="s">
        <v>621</v>
      </c>
      <c r="B232" t="s">
        <v>626</v>
      </c>
      <c r="C232" t="s">
        <v>623</v>
      </c>
      <c r="D232" t="s">
        <v>627</v>
      </c>
      <c r="E232" t="s">
        <v>628</v>
      </c>
      <c r="F232" t="s">
        <v>22</v>
      </c>
      <c r="G232" t="s">
        <v>114</v>
      </c>
      <c r="H232" t="s">
        <v>114</v>
      </c>
      <c r="I232" t="s">
        <v>115</v>
      </c>
      <c r="J232" t="s">
        <v>19</v>
      </c>
      <c r="K232" t="s">
        <v>390</v>
      </c>
      <c r="L232" t="s">
        <v>21</v>
      </c>
      <c r="M232" t="s">
        <v>22</v>
      </c>
    </row>
    <row r="233" spans="1:13" hidden="1" x14ac:dyDescent="0.3">
      <c r="A233" t="s">
        <v>621</v>
      </c>
      <c r="B233" t="s">
        <v>629</v>
      </c>
      <c r="C233" t="s">
        <v>630</v>
      </c>
      <c r="D233" t="s">
        <v>630</v>
      </c>
      <c r="E233" t="s">
        <v>630</v>
      </c>
      <c r="F233" t="s">
        <v>22</v>
      </c>
      <c r="G233" t="s">
        <v>114</v>
      </c>
      <c r="H233" t="s">
        <v>114</v>
      </c>
      <c r="I233" t="s">
        <v>115</v>
      </c>
      <c r="J233" t="s">
        <v>19</v>
      </c>
      <c r="K233" t="s">
        <v>390</v>
      </c>
      <c r="L233" t="s">
        <v>21</v>
      </c>
      <c r="M233" t="s">
        <v>22</v>
      </c>
    </row>
    <row r="234" spans="1:13" hidden="1" x14ac:dyDescent="0.3">
      <c r="A234" t="s">
        <v>621</v>
      </c>
      <c r="B234" t="s">
        <v>631</v>
      </c>
      <c r="C234" t="s">
        <v>632</v>
      </c>
      <c r="D234" t="s">
        <v>632</v>
      </c>
      <c r="E234" t="s">
        <v>633</v>
      </c>
      <c r="F234" t="s">
        <v>22</v>
      </c>
      <c r="G234" t="s">
        <v>114</v>
      </c>
      <c r="H234" t="s">
        <v>114</v>
      </c>
      <c r="I234" t="s">
        <v>115</v>
      </c>
      <c r="J234" t="s">
        <v>19</v>
      </c>
      <c r="K234" t="s">
        <v>390</v>
      </c>
      <c r="L234" t="s">
        <v>21</v>
      </c>
      <c r="M234" t="s">
        <v>22</v>
      </c>
    </row>
    <row r="235" spans="1:13" hidden="1" x14ac:dyDescent="0.3">
      <c r="A235" t="s">
        <v>621</v>
      </c>
      <c r="B235" t="s">
        <v>634</v>
      </c>
      <c r="C235" t="s">
        <v>635</v>
      </c>
      <c r="D235" t="s">
        <v>636</v>
      </c>
      <c r="E235" t="s">
        <v>635</v>
      </c>
      <c r="F235" t="s">
        <v>22</v>
      </c>
      <c r="G235" t="s">
        <v>148</v>
      </c>
      <c r="H235" t="s">
        <v>148</v>
      </c>
      <c r="I235" t="s">
        <v>149</v>
      </c>
      <c r="J235" t="s">
        <v>19</v>
      </c>
      <c r="K235" t="s">
        <v>390</v>
      </c>
      <c r="L235" t="s">
        <v>602</v>
      </c>
      <c r="M235" t="s">
        <v>22</v>
      </c>
    </row>
    <row r="236" spans="1:13" hidden="1" x14ac:dyDescent="0.3">
      <c r="A236" t="s">
        <v>621</v>
      </c>
      <c r="B236" t="s">
        <v>637</v>
      </c>
      <c r="C236" t="s">
        <v>638</v>
      </c>
      <c r="D236" t="s">
        <v>636</v>
      </c>
      <c r="E236" t="s">
        <v>638</v>
      </c>
      <c r="F236" t="s">
        <v>22</v>
      </c>
      <c r="G236" t="s">
        <v>148</v>
      </c>
      <c r="H236" t="s">
        <v>148</v>
      </c>
      <c r="I236" t="s">
        <v>149</v>
      </c>
      <c r="J236" t="s">
        <v>19</v>
      </c>
      <c r="K236" t="s">
        <v>390</v>
      </c>
      <c r="L236" t="s">
        <v>602</v>
      </c>
      <c r="M236" t="s">
        <v>22</v>
      </c>
    </row>
    <row r="237" spans="1:13" hidden="1" x14ac:dyDescent="0.3">
      <c r="A237" t="s">
        <v>621</v>
      </c>
      <c r="B237" t="s">
        <v>639</v>
      </c>
      <c r="C237" t="s">
        <v>640</v>
      </c>
      <c r="D237" t="s">
        <v>636</v>
      </c>
      <c r="E237" t="s">
        <v>640</v>
      </c>
      <c r="F237" t="s">
        <v>22</v>
      </c>
      <c r="G237" t="s">
        <v>148</v>
      </c>
      <c r="H237" t="s">
        <v>148</v>
      </c>
      <c r="I237" t="s">
        <v>149</v>
      </c>
      <c r="J237" t="s">
        <v>19</v>
      </c>
      <c r="K237" t="s">
        <v>390</v>
      </c>
      <c r="L237" t="s">
        <v>602</v>
      </c>
      <c r="M237" t="s">
        <v>22</v>
      </c>
    </row>
    <row r="238" spans="1:13" hidden="1" x14ac:dyDescent="0.3">
      <c r="A238" t="s">
        <v>621</v>
      </c>
      <c r="B238" t="s">
        <v>641</v>
      </c>
      <c r="C238" t="s">
        <v>642</v>
      </c>
      <c r="D238" t="s">
        <v>636</v>
      </c>
      <c r="E238" t="s">
        <v>642</v>
      </c>
      <c r="F238" t="s">
        <v>22</v>
      </c>
      <c r="G238" t="s">
        <v>148</v>
      </c>
      <c r="H238" t="s">
        <v>148</v>
      </c>
      <c r="I238" t="s">
        <v>149</v>
      </c>
      <c r="J238" t="s">
        <v>19</v>
      </c>
      <c r="K238" t="s">
        <v>390</v>
      </c>
      <c r="L238" t="s">
        <v>602</v>
      </c>
      <c r="M238" t="s">
        <v>22</v>
      </c>
    </row>
    <row r="239" spans="1:13" hidden="1" x14ac:dyDescent="0.3">
      <c r="A239" t="s">
        <v>621</v>
      </c>
      <c r="B239" t="s">
        <v>643</v>
      </c>
      <c r="C239" t="s">
        <v>644</v>
      </c>
      <c r="D239" t="s">
        <v>645</v>
      </c>
      <c r="E239" t="s">
        <v>644</v>
      </c>
      <c r="F239" t="s">
        <v>22</v>
      </c>
      <c r="G239" t="s">
        <v>148</v>
      </c>
      <c r="H239" t="s">
        <v>148</v>
      </c>
      <c r="I239" t="s">
        <v>149</v>
      </c>
      <c r="J239" t="s">
        <v>19</v>
      </c>
      <c r="K239" t="s">
        <v>390</v>
      </c>
      <c r="L239" t="s">
        <v>602</v>
      </c>
      <c r="M239" t="s">
        <v>22</v>
      </c>
    </row>
    <row r="240" spans="1:13" hidden="1" x14ac:dyDescent="0.3">
      <c r="A240" t="s">
        <v>621</v>
      </c>
      <c r="B240" t="s">
        <v>646</v>
      </c>
      <c r="C240" t="s">
        <v>647</v>
      </c>
      <c r="D240" t="s">
        <v>648</v>
      </c>
      <c r="E240" t="s">
        <v>647</v>
      </c>
      <c r="F240" t="s">
        <v>22</v>
      </c>
      <c r="G240" t="s">
        <v>148</v>
      </c>
      <c r="H240" t="s">
        <v>148</v>
      </c>
      <c r="I240" t="s">
        <v>149</v>
      </c>
      <c r="J240" t="s">
        <v>19</v>
      </c>
      <c r="K240" t="s">
        <v>390</v>
      </c>
      <c r="L240" t="s">
        <v>21</v>
      </c>
      <c r="M240" t="s">
        <v>22</v>
      </c>
    </row>
    <row r="241" spans="1:13" hidden="1" x14ac:dyDescent="0.3">
      <c r="A241" t="s">
        <v>621</v>
      </c>
      <c r="B241" t="s">
        <v>649</v>
      </c>
      <c r="C241" t="s">
        <v>650</v>
      </c>
      <c r="D241" t="s">
        <v>648</v>
      </c>
      <c r="E241" t="s">
        <v>650</v>
      </c>
      <c r="F241" t="s">
        <v>22</v>
      </c>
      <c r="G241" t="s">
        <v>148</v>
      </c>
      <c r="H241" t="s">
        <v>148</v>
      </c>
      <c r="I241" t="s">
        <v>149</v>
      </c>
      <c r="J241" t="s">
        <v>19</v>
      </c>
      <c r="K241" t="s">
        <v>390</v>
      </c>
      <c r="L241" t="s">
        <v>21</v>
      </c>
      <c r="M241" t="s">
        <v>22</v>
      </c>
    </row>
    <row r="242" spans="1:13" hidden="1" x14ac:dyDescent="0.3">
      <c r="A242" t="s">
        <v>621</v>
      </c>
      <c r="B242" t="s">
        <v>651</v>
      </c>
      <c r="C242" t="s">
        <v>652</v>
      </c>
      <c r="D242" t="s">
        <v>652</v>
      </c>
      <c r="E242" t="s">
        <v>22</v>
      </c>
      <c r="F242" t="s">
        <v>22</v>
      </c>
      <c r="G242" t="s">
        <v>148</v>
      </c>
      <c r="H242" t="s">
        <v>148</v>
      </c>
      <c r="I242" t="s">
        <v>149</v>
      </c>
      <c r="J242" t="s">
        <v>19</v>
      </c>
      <c r="K242" t="s">
        <v>390</v>
      </c>
      <c r="L242" t="s">
        <v>21</v>
      </c>
      <c r="M242" t="s">
        <v>22</v>
      </c>
    </row>
    <row r="243" spans="1:13" hidden="1" x14ac:dyDescent="0.3">
      <c r="A243" t="s">
        <v>621</v>
      </c>
      <c r="B243" t="s">
        <v>653</v>
      </c>
      <c r="C243" t="s">
        <v>623</v>
      </c>
      <c r="D243" t="s">
        <v>654</v>
      </c>
      <c r="E243" t="s">
        <v>655</v>
      </c>
      <c r="F243" t="s">
        <v>22</v>
      </c>
      <c r="G243" t="s">
        <v>22</v>
      </c>
      <c r="H243" t="s">
        <v>16</v>
      </c>
      <c r="I243" t="s">
        <v>149</v>
      </c>
      <c r="J243" t="s">
        <v>19</v>
      </c>
      <c r="K243" t="s">
        <v>390</v>
      </c>
      <c r="L243" t="s">
        <v>21</v>
      </c>
      <c r="M243" t="s">
        <v>22</v>
      </c>
    </row>
    <row r="244" spans="1:13" hidden="1" x14ac:dyDescent="0.3">
      <c r="A244" t="s">
        <v>656</v>
      </c>
      <c r="B244" t="s">
        <v>657</v>
      </c>
      <c r="C244" t="s">
        <v>658</v>
      </c>
      <c r="D244" t="s">
        <v>659</v>
      </c>
      <c r="E244" t="s">
        <v>660</v>
      </c>
      <c r="F244" t="s">
        <v>347</v>
      </c>
      <c r="G244" t="s">
        <v>346</v>
      </c>
      <c r="H244" t="s">
        <v>350</v>
      </c>
      <c r="I244" t="s">
        <v>149</v>
      </c>
      <c r="J244" t="s">
        <v>19</v>
      </c>
      <c r="K244" t="s">
        <v>390</v>
      </c>
      <c r="L244" t="s">
        <v>21</v>
      </c>
      <c r="M244" t="s">
        <v>22</v>
      </c>
    </row>
    <row r="245" spans="1:13" hidden="1" x14ac:dyDescent="0.3">
      <c r="A245" t="s">
        <v>656</v>
      </c>
      <c r="B245" t="s">
        <v>661</v>
      </c>
      <c r="C245" t="s">
        <v>662</v>
      </c>
      <c r="D245" t="s">
        <v>659</v>
      </c>
      <c r="E245" t="s">
        <v>663</v>
      </c>
      <c r="F245" t="s">
        <v>347</v>
      </c>
      <c r="G245" t="s">
        <v>346</v>
      </c>
      <c r="H245" t="s">
        <v>350</v>
      </c>
      <c r="I245" t="s">
        <v>149</v>
      </c>
      <c r="J245" t="s">
        <v>19</v>
      </c>
      <c r="K245" t="s">
        <v>390</v>
      </c>
      <c r="L245" t="s">
        <v>21</v>
      </c>
      <c r="M245" t="s">
        <v>22</v>
      </c>
    </row>
    <row r="246" spans="1:13" hidden="1" x14ac:dyDescent="0.3">
      <c r="A246" t="s">
        <v>656</v>
      </c>
      <c r="B246" t="s">
        <v>664</v>
      </c>
      <c r="C246" t="s">
        <v>665</v>
      </c>
      <c r="D246" t="s">
        <v>666</v>
      </c>
      <c r="E246" t="s">
        <v>660</v>
      </c>
      <c r="F246" t="s">
        <v>350</v>
      </c>
      <c r="G246" t="s">
        <v>346</v>
      </c>
      <c r="H246" t="s">
        <v>350</v>
      </c>
      <c r="I246" t="s">
        <v>149</v>
      </c>
      <c r="J246" t="s">
        <v>19</v>
      </c>
      <c r="K246" t="s">
        <v>390</v>
      </c>
      <c r="L246" t="s">
        <v>21</v>
      </c>
      <c r="M246" t="s">
        <v>22</v>
      </c>
    </row>
    <row r="247" spans="1:13" hidden="1" x14ac:dyDescent="0.3">
      <c r="A247" t="s">
        <v>656</v>
      </c>
      <c r="B247" t="s">
        <v>667</v>
      </c>
      <c r="C247" t="s">
        <v>668</v>
      </c>
      <c r="D247" t="s">
        <v>666</v>
      </c>
      <c r="E247" t="s">
        <v>663</v>
      </c>
      <c r="F247" t="s">
        <v>350</v>
      </c>
      <c r="G247" t="s">
        <v>346</v>
      </c>
      <c r="H247" t="s">
        <v>350</v>
      </c>
      <c r="I247" t="s">
        <v>149</v>
      </c>
      <c r="J247" t="s">
        <v>19</v>
      </c>
      <c r="K247" t="s">
        <v>390</v>
      </c>
      <c r="L247" t="s">
        <v>21</v>
      </c>
      <c r="M247" t="s">
        <v>22</v>
      </c>
    </row>
    <row r="248" spans="1:13" hidden="1" x14ac:dyDescent="0.3">
      <c r="A248" t="s">
        <v>656</v>
      </c>
      <c r="B248" t="s">
        <v>669</v>
      </c>
      <c r="C248" t="s">
        <v>670</v>
      </c>
      <c r="D248" t="s">
        <v>671</v>
      </c>
      <c r="E248" t="s">
        <v>660</v>
      </c>
      <c r="F248" t="s">
        <v>353</v>
      </c>
      <c r="G248" t="s">
        <v>114</v>
      </c>
      <c r="H248" t="s">
        <v>114</v>
      </c>
      <c r="I248" t="s">
        <v>115</v>
      </c>
      <c r="J248" t="s">
        <v>19</v>
      </c>
      <c r="K248" t="s">
        <v>390</v>
      </c>
      <c r="L248" t="s">
        <v>21</v>
      </c>
      <c r="M248" t="s">
        <v>22</v>
      </c>
    </row>
    <row r="249" spans="1:13" hidden="1" x14ac:dyDescent="0.3">
      <c r="A249" t="s">
        <v>656</v>
      </c>
      <c r="B249" t="s">
        <v>672</v>
      </c>
      <c r="C249" t="s">
        <v>673</v>
      </c>
      <c r="D249" t="s">
        <v>671</v>
      </c>
      <c r="E249" t="s">
        <v>663</v>
      </c>
      <c r="F249" t="s">
        <v>353</v>
      </c>
      <c r="G249" t="s">
        <v>114</v>
      </c>
      <c r="H249" t="s">
        <v>114</v>
      </c>
      <c r="I249" t="s">
        <v>115</v>
      </c>
      <c r="J249" t="s">
        <v>19</v>
      </c>
      <c r="K249" t="s">
        <v>390</v>
      </c>
      <c r="L249" t="s">
        <v>21</v>
      </c>
      <c r="M249" t="s">
        <v>22</v>
      </c>
    </row>
    <row r="250" spans="1:13" hidden="1" x14ac:dyDescent="0.3">
      <c r="A250" t="s">
        <v>656</v>
      </c>
      <c r="B250" t="s">
        <v>674</v>
      </c>
      <c r="C250" t="s">
        <v>675</v>
      </c>
      <c r="D250" t="s">
        <v>676</v>
      </c>
      <c r="E250" t="s">
        <v>660</v>
      </c>
      <c r="F250" t="s">
        <v>196</v>
      </c>
      <c r="G250" t="s">
        <v>114</v>
      </c>
      <c r="H250" t="s">
        <v>114</v>
      </c>
      <c r="I250" t="s">
        <v>115</v>
      </c>
      <c r="J250" t="s">
        <v>19</v>
      </c>
      <c r="K250" t="s">
        <v>390</v>
      </c>
      <c r="L250" t="s">
        <v>21</v>
      </c>
      <c r="M250" t="s">
        <v>22</v>
      </c>
    </row>
    <row r="251" spans="1:13" hidden="1" x14ac:dyDescent="0.3">
      <c r="A251" t="s">
        <v>656</v>
      </c>
      <c r="B251" t="s">
        <v>677</v>
      </c>
      <c r="C251" t="s">
        <v>678</v>
      </c>
      <c r="D251" t="s">
        <v>676</v>
      </c>
      <c r="E251" t="s">
        <v>663</v>
      </c>
      <c r="F251" t="s">
        <v>196</v>
      </c>
      <c r="G251" t="s">
        <v>114</v>
      </c>
      <c r="H251" t="s">
        <v>114</v>
      </c>
      <c r="I251" t="s">
        <v>115</v>
      </c>
      <c r="J251" t="s">
        <v>19</v>
      </c>
      <c r="K251" t="s">
        <v>390</v>
      </c>
      <c r="L251" t="s">
        <v>21</v>
      </c>
      <c r="M251" t="s">
        <v>22</v>
      </c>
    </row>
    <row r="252" spans="1:13" hidden="1" x14ac:dyDescent="0.3">
      <c r="A252" t="s">
        <v>656</v>
      </c>
      <c r="B252" t="s">
        <v>679</v>
      </c>
      <c r="C252" t="s">
        <v>680</v>
      </c>
      <c r="D252" t="s">
        <v>681</v>
      </c>
      <c r="E252" t="s">
        <v>660</v>
      </c>
      <c r="F252" t="s">
        <v>16</v>
      </c>
      <c r="G252" t="s">
        <v>22</v>
      </c>
      <c r="H252" t="s">
        <v>16</v>
      </c>
      <c r="I252" t="s">
        <v>149</v>
      </c>
      <c r="J252" t="s">
        <v>19</v>
      </c>
      <c r="K252" t="s">
        <v>390</v>
      </c>
      <c r="L252" t="s">
        <v>21</v>
      </c>
      <c r="M252" t="s">
        <v>22</v>
      </c>
    </row>
    <row r="253" spans="1:13" hidden="1" x14ac:dyDescent="0.3">
      <c r="A253" t="s">
        <v>656</v>
      </c>
      <c r="B253" t="s">
        <v>682</v>
      </c>
      <c r="C253" t="s">
        <v>683</v>
      </c>
      <c r="D253" t="s">
        <v>681</v>
      </c>
      <c r="E253" t="s">
        <v>663</v>
      </c>
      <c r="F253" t="s">
        <v>16</v>
      </c>
      <c r="G253" t="s">
        <v>22</v>
      </c>
      <c r="H253" t="s">
        <v>16</v>
      </c>
      <c r="I253" t="s">
        <v>149</v>
      </c>
      <c r="J253" t="s">
        <v>19</v>
      </c>
      <c r="K253" t="s">
        <v>390</v>
      </c>
      <c r="L253" t="s">
        <v>21</v>
      </c>
      <c r="M253" t="s">
        <v>22</v>
      </c>
    </row>
    <row r="254" spans="1:13" hidden="1" x14ac:dyDescent="0.3">
      <c r="A254" t="s">
        <v>656</v>
      </c>
      <c r="B254" t="s">
        <v>684</v>
      </c>
      <c r="C254" t="s">
        <v>685</v>
      </c>
      <c r="D254" t="s">
        <v>686</v>
      </c>
      <c r="E254" t="s">
        <v>660</v>
      </c>
      <c r="F254" t="s">
        <v>194</v>
      </c>
      <c r="G254" t="s">
        <v>114</v>
      </c>
      <c r="H254" t="s">
        <v>114</v>
      </c>
      <c r="I254" t="s">
        <v>115</v>
      </c>
      <c r="J254" t="s">
        <v>19</v>
      </c>
      <c r="K254" t="s">
        <v>390</v>
      </c>
      <c r="L254" t="s">
        <v>21</v>
      </c>
      <c r="M254" t="s">
        <v>22</v>
      </c>
    </row>
    <row r="255" spans="1:13" hidden="1" x14ac:dyDescent="0.3">
      <c r="A255" t="s">
        <v>656</v>
      </c>
      <c r="B255" t="s">
        <v>687</v>
      </c>
      <c r="C255" t="s">
        <v>688</v>
      </c>
      <c r="D255" t="s">
        <v>686</v>
      </c>
      <c r="E255" t="s">
        <v>663</v>
      </c>
      <c r="F255" t="s">
        <v>194</v>
      </c>
      <c r="G255" t="s">
        <v>114</v>
      </c>
      <c r="H255" t="s">
        <v>114</v>
      </c>
      <c r="I255" t="s">
        <v>115</v>
      </c>
      <c r="J255" t="s">
        <v>19</v>
      </c>
      <c r="K255" t="s">
        <v>390</v>
      </c>
      <c r="L255" t="s">
        <v>21</v>
      </c>
      <c r="M255" t="s">
        <v>22</v>
      </c>
    </row>
    <row r="256" spans="1:13" hidden="1" x14ac:dyDescent="0.3">
      <c r="A256" t="s">
        <v>656</v>
      </c>
      <c r="B256" t="s">
        <v>689</v>
      </c>
      <c r="C256" t="s">
        <v>690</v>
      </c>
      <c r="D256" t="s">
        <v>691</v>
      </c>
      <c r="E256" t="s">
        <v>660</v>
      </c>
      <c r="F256" t="s">
        <v>196</v>
      </c>
      <c r="G256" t="s">
        <v>114</v>
      </c>
      <c r="H256" t="s">
        <v>114</v>
      </c>
      <c r="I256" t="s">
        <v>115</v>
      </c>
      <c r="J256" t="s">
        <v>19</v>
      </c>
      <c r="K256" t="s">
        <v>390</v>
      </c>
      <c r="L256" t="s">
        <v>21</v>
      </c>
      <c r="M256" t="s">
        <v>22</v>
      </c>
    </row>
    <row r="257" spans="1:13" hidden="1" x14ac:dyDescent="0.3">
      <c r="A257" t="s">
        <v>656</v>
      </c>
      <c r="B257" t="s">
        <v>692</v>
      </c>
      <c r="C257" t="s">
        <v>693</v>
      </c>
      <c r="D257" t="s">
        <v>691</v>
      </c>
      <c r="E257" t="s">
        <v>663</v>
      </c>
      <c r="F257" t="s">
        <v>196</v>
      </c>
      <c r="G257" t="s">
        <v>114</v>
      </c>
      <c r="H257" t="s">
        <v>114</v>
      </c>
      <c r="I257" t="s">
        <v>115</v>
      </c>
      <c r="J257" t="s">
        <v>19</v>
      </c>
      <c r="K257" t="s">
        <v>390</v>
      </c>
      <c r="L257" t="s">
        <v>21</v>
      </c>
      <c r="M257" t="s">
        <v>22</v>
      </c>
    </row>
    <row r="258" spans="1:13" hidden="1" x14ac:dyDescent="0.3">
      <c r="A258" t="s">
        <v>656</v>
      </c>
      <c r="B258" t="s">
        <v>694</v>
      </c>
      <c r="C258" t="s">
        <v>695</v>
      </c>
      <c r="D258" t="s">
        <v>696</v>
      </c>
      <c r="E258" t="s">
        <v>660</v>
      </c>
      <c r="F258" t="s">
        <v>16</v>
      </c>
      <c r="G258" t="s">
        <v>22</v>
      </c>
      <c r="H258" t="s">
        <v>16</v>
      </c>
      <c r="I258" t="s">
        <v>149</v>
      </c>
      <c r="J258" t="s">
        <v>19</v>
      </c>
      <c r="K258" t="s">
        <v>390</v>
      </c>
      <c r="L258" t="s">
        <v>21</v>
      </c>
      <c r="M258" t="s">
        <v>22</v>
      </c>
    </row>
    <row r="259" spans="1:13" hidden="1" x14ac:dyDescent="0.3">
      <c r="A259" t="s">
        <v>656</v>
      </c>
      <c r="B259" t="s">
        <v>697</v>
      </c>
      <c r="C259" t="s">
        <v>698</v>
      </c>
      <c r="D259" t="s">
        <v>696</v>
      </c>
      <c r="E259" t="s">
        <v>663</v>
      </c>
      <c r="F259" t="s">
        <v>16</v>
      </c>
      <c r="G259" t="s">
        <v>22</v>
      </c>
      <c r="H259" t="s">
        <v>16</v>
      </c>
      <c r="I259" t="s">
        <v>149</v>
      </c>
      <c r="J259" t="s">
        <v>19</v>
      </c>
      <c r="K259" t="s">
        <v>390</v>
      </c>
      <c r="L259" t="s">
        <v>21</v>
      </c>
      <c r="M259" t="s">
        <v>22</v>
      </c>
    </row>
    <row r="260" spans="1:13" hidden="1" x14ac:dyDescent="0.3">
      <c r="A260" t="s">
        <v>656</v>
      </c>
      <c r="B260" t="s">
        <v>699</v>
      </c>
      <c r="C260" t="s">
        <v>700</v>
      </c>
      <c r="D260" t="s">
        <v>701</v>
      </c>
      <c r="E260" t="s">
        <v>660</v>
      </c>
      <c r="F260" t="s">
        <v>353</v>
      </c>
      <c r="G260" t="s">
        <v>114</v>
      </c>
      <c r="H260" t="s">
        <v>114</v>
      </c>
      <c r="I260" t="s">
        <v>115</v>
      </c>
      <c r="J260" t="s">
        <v>19</v>
      </c>
      <c r="K260" t="s">
        <v>390</v>
      </c>
      <c r="L260" t="s">
        <v>21</v>
      </c>
      <c r="M260" t="s">
        <v>22</v>
      </c>
    </row>
    <row r="261" spans="1:13" hidden="1" x14ac:dyDescent="0.3">
      <c r="A261" t="s">
        <v>656</v>
      </c>
      <c r="B261" t="s">
        <v>702</v>
      </c>
      <c r="C261" t="s">
        <v>703</v>
      </c>
      <c r="D261" t="s">
        <v>701</v>
      </c>
      <c r="E261" t="s">
        <v>663</v>
      </c>
      <c r="F261" t="s">
        <v>353</v>
      </c>
      <c r="G261" t="s">
        <v>114</v>
      </c>
      <c r="H261" t="s">
        <v>114</v>
      </c>
      <c r="I261" t="s">
        <v>115</v>
      </c>
      <c r="J261" t="s">
        <v>19</v>
      </c>
      <c r="K261" t="s">
        <v>390</v>
      </c>
      <c r="L261" t="s">
        <v>21</v>
      </c>
      <c r="M261" t="s">
        <v>22</v>
      </c>
    </row>
    <row r="262" spans="1:13" hidden="1" x14ac:dyDescent="0.3">
      <c r="A262" t="s">
        <v>656</v>
      </c>
      <c r="B262" t="s">
        <v>704</v>
      </c>
      <c r="C262" t="s">
        <v>705</v>
      </c>
      <c r="D262" t="s">
        <v>706</v>
      </c>
      <c r="E262" t="s">
        <v>660</v>
      </c>
      <c r="F262" t="s">
        <v>196</v>
      </c>
      <c r="G262" t="s">
        <v>114</v>
      </c>
      <c r="H262" t="s">
        <v>114</v>
      </c>
      <c r="I262" t="s">
        <v>115</v>
      </c>
      <c r="J262" t="s">
        <v>19</v>
      </c>
      <c r="K262" t="s">
        <v>390</v>
      </c>
      <c r="L262" t="s">
        <v>21</v>
      </c>
      <c r="M262" t="s">
        <v>22</v>
      </c>
    </row>
    <row r="263" spans="1:13" hidden="1" x14ac:dyDescent="0.3">
      <c r="A263" t="s">
        <v>656</v>
      </c>
      <c r="B263" t="s">
        <v>707</v>
      </c>
      <c r="C263" t="s">
        <v>708</v>
      </c>
      <c r="D263" t="s">
        <v>706</v>
      </c>
      <c r="E263" t="s">
        <v>663</v>
      </c>
      <c r="F263" t="s">
        <v>196</v>
      </c>
      <c r="G263" t="s">
        <v>114</v>
      </c>
      <c r="H263" t="s">
        <v>114</v>
      </c>
      <c r="I263" t="s">
        <v>115</v>
      </c>
      <c r="J263" t="s">
        <v>19</v>
      </c>
      <c r="K263" t="s">
        <v>390</v>
      </c>
      <c r="L263" t="s">
        <v>21</v>
      </c>
      <c r="M263" t="s">
        <v>22</v>
      </c>
    </row>
    <row r="264" spans="1:13" hidden="1" x14ac:dyDescent="0.3">
      <c r="A264" t="s">
        <v>656</v>
      </c>
      <c r="B264" t="s">
        <v>709</v>
      </c>
      <c r="C264" t="s">
        <v>710</v>
      </c>
      <c r="D264" t="s">
        <v>711</v>
      </c>
      <c r="E264" t="s">
        <v>660</v>
      </c>
      <c r="F264" t="s">
        <v>712</v>
      </c>
      <c r="G264" t="s">
        <v>22</v>
      </c>
      <c r="H264" t="s">
        <v>16</v>
      </c>
      <c r="I264" t="s">
        <v>149</v>
      </c>
      <c r="J264" t="s">
        <v>19</v>
      </c>
      <c r="K264" t="s">
        <v>390</v>
      </c>
      <c r="L264" t="s">
        <v>21</v>
      </c>
      <c r="M264" t="s">
        <v>22</v>
      </c>
    </row>
    <row r="265" spans="1:13" hidden="1" x14ac:dyDescent="0.3">
      <c r="A265" t="s">
        <v>656</v>
      </c>
      <c r="B265" t="s">
        <v>713</v>
      </c>
      <c r="C265" t="s">
        <v>714</v>
      </c>
      <c r="D265" t="s">
        <v>711</v>
      </c>
      <c r="E265" t="s">
        <v>663</v>
      </c>
      <c r="F265" t="s">
        <v>712</v>
      </c>
      <c r="G265" t="s">
        <v>22</v>
      </c>
      <c r="H265" t="s">
        <v>16</v>
      </c>
      <c r="I265" t="s">
        <v>149</v>
      </c>
      <c r="J265" t="s">
        <v>19</v>
      </c>
      <c r="K265" t="s">
        <v>390</v>
      </c>
      <c r="L265" t="s">
        <v>21</v>
      </c>
      <c r="M265" t="s">
        <v>22</v>
      </c>
    </row>
    <row r="266" spans="1:13" hidden="1" x14ac:dyDescent="0.3">
      <c r="A266" t="s">
        <v>715</v>
      </c>
      <c r="B266" t="s">
        <v>716</v>
      </c>
      <c r="C266" t="s">
        <v>717</v>
      </c>
      <c r="D266" t="s">
        <v>718</v>
      </c>
      <c r="E266" t="s">
        <v>719</v>
      </c>
      <c r="F266" t="s">
        <v>264</v>
      </c>
      <c r="G266" t="s">
        <v>114</v>
      </c>
      <c r="H266" t="s">
        <v>720</v>
      </c>
      <c r="I266" t="s">
        <v>115</v>
      </c>
      <c r="J266" t="s">
        <v>19</v>
      </c>
      <c r="K266" t="s">
        <v>390</v>
      </c>
      <c r="L266" t="s">
        <v>21</v>
      </c>
      <c r="M266" t="s">
        <v>22</v>
      </c>
    </row>
    <row r="267" spans="1:13" hidden="1" x14ac:dyDescent="0.3">
      <c r="A267" t="s">
        <v>715</v>
      </c>
      <c r="B267" t="s">
        <v>721</v>
      </c>
      <c r="C267" t="s">
        <v>722</v>
      </c>
      <c r="D267" t="s">
        <v>723</v>
      </c>
      <c r="E267" t="s">
        <v>724</v>
      </c>
      <c r="F267" t="s">
        <v>264</v>
      </c>
      <c r="G267" t="s">
        <v>114</v>
      </c>
      <c r="H267" t="s">
        <v>720</v>
      </c>
      <c r="I267" t="s">
        <v>115</v>
      </c>
      <c r="J267" t="s">
        <v>19</v>
      </c>
      <c r="K267" t="s">
        <v>390</v>
      </c>
      <c r="L267" t="s">
        <v>21</v>
      </c>
      <c r="M267" t="s">
        <v>22</v>
      </c>
    </row>
    <row r="268" spans="1:13" hidden="1" x14ac:dyDescent="0.3">
      <c r="A268" t="s">
        <v>715</v>
      </c>
      <c r="B268" t="s">
        <v>725</v>
      </c>
      <c r="C268" t="s">
        <v>726</v>
      </c>
      <c r="D268" t="s">
        <v>727</v>
      </c>
      <c r="E268" t="s">
        <v>727</v>
      </c>
      <c r="F268" t="s">
        <v>728</v>
      </c>
      <c r="G268" t="s">
        <v>729</v>
      </c>
      <c r="H268" t="s">
        <v>730</v>
      </c>
      <c r="I268" t="s">
        <v>149</v>
      </c>
      <c r="J268" t="s">
        <v>19</v>
      </c>
      <c r="K268" t="s">
        <v>390</v>
      </c>
      <c r="L268" t="s">
        <v>21</v>
      </c>
      <c r="M268" t="s">
        <v>22</v>
      </c>
    </row>
    <row r="269" spans="1:13" hidden="1" x14ac:dyDescent="0.3">
      <c r="A269" t="s">
        <v>715</v>
      </c>
      <c r="B269" t="s">
        <v>731</v>
      </c>
      <c r="C269" t="s">
        <v>732</v>
      </c>
      <c r="D269" t="s">
        <v>733</v>
      </c>
      <c r="E269" t="s">
        <v>733</v>
      </c>
      <c r="F269" t="s">
        <v>728</v>
      </c>
      <c r="G269" t="s">
        <v>729</v>
      </c>
      <c r="H269" t="s">
        <v>730</v>
      </c>
      <c r="I269" t="s">
        <v>149</v>
      </c>
      <c r="J269" t="s">
        <v>19</v>
      </c>
      <c r="K269" t="s">
        <v>390</v>
      </c>
      <c r="L269" t="s">
        <v>21</v>
      </c>
      <c r="M269" t="s">
        <v>22</v>
      </c>
    </row>
    <row r="270" spans="1:13" hidden="1" x14ac:dyDescent="0.3">
      <c r="A270" t="s">
        <v>715</v>
      </c>
      <c r="B270" t="s">
        <v>734</v>
      </c>
      <c r="C270" t="s">
        <v>735</v>
      </c>
      <c r="D270" t="s">
        <v>736</v>
      </c>
      <c r="E270" t="s">
        <v>737</v>
      </c>
      <c r="F270" t="s">
        <v>16</v>
      </c>
      <c r="G270" t="s">
        <v>16</v>
      </c>
      <c r="H270" t="s">
        <v>16</v>
      </c>
      <c r="I270" t="s">
        <v>149</v>
      </c>
      <c r="J270" t="s">
        <v>19</v>
      </c>
      <c r="K270" t="s">
        <v>390</v>
      </c>
      <c r="L270" t="s">
        <v>21</v>
      </c>
      <c r="M270" t="s">
        <v>22</v>
      </c>
    </row>
    <row r="271" spans="1:13" hidden="1" x14ac:dyDescent="0.3">
      <c r="A271" t="s">
        <v>715</v>
      </c>
      <c r="B271" t="s">
        <v>738</v>
      </c>
      <c r="C271" t="s">
        <v>739</v>
      </c>
      <c r="D271" t="s">
        <v>740</v>
      </c>
      <c r="E271" t="s">
        <v>737</v>
      </c>
      <c r="F271" t="s">
        <v>196</v>
      </c>
      <c r="G271" t="s">
        <v>114</v>
      </c>
      <c r="H271" t="s">
        <v>114</v>
      </c>
      <c r="I271" t="s">
        <v>115</v>
      </c>
      <c r="J271" t="s">
        <v>19</v>
      </c>
      <c r="K271" t="s">
        <v>390</v>
      </c>
      <c r="L271" t="s">
        <v>21</v>
      </c>
      <c r="M271" t="s">
        <v>22</v>
      </c>
    </row>
    <row r="272" spans="1:13" hidden="1" x14ac:dyDescent="0.3">
      <c r="A272" t="s">
        <v>715</v>
      </c>
      <c r="B272" t="s">
        <v>741</v>
      </c>
      <c r="C272" t="s">
        <v>742</v>
      </c>
      <c r="D272" t="s">
        <v>743</v>
      </c>
      <c r="E272" t="s">
        <v>727</v>
      </c>
      <c r="F272" t="s">
        <v>196</v>
      </c>
      <c r="G272" t="s">
        <v>114</v>
      </c>
      <c r="H272" t="s">
        <v>114</v>
      </c>
      <c r="I272" t="s">
        <v>115</v>
      </c>
      <c r="J272" t="s">
        <v>19</v>
      </c>
      <c r="K272" t="s">
        <v>390</v>
      </c>
      <c r="L272" t="s">
        <v>21</v>
      </c>
      <c r="M272" t="s">
        <v>22</v>
      </c>
    </row>
    <row r="273" spans="1:13" hidden="1" x14ac:dyDescent="0.3">
      <c r="A273" t="s">
        <v>715</v>
      </c>
      <c r="B273" t="s">
        <v>744</v>
      </c>
      <c r="C273" t="s">
        <v>745</v>
      </c>
      <c r="D273" t="s">
        <v>746</v>
      </c>
      <c r="E273" t="s">
        <v>733</v>
      </c>
      <c r="F273" t="s">
        <v>196</v>
      </c>
      <c r="G273" t="s">
        <v>114</v>
      </c>
      <c r="H273" t="s">
        <v>720</v>
      </c>
      <c r="I273" t="s">
        <v>115</v>
      </c>
      <c r="J273" t="s">
        <v>19</v>
      </c>
      <c r="K273" t="s">
        <v>390</v>
      </c>
      <c r="L273" t="s">
        <v>21</v>
      </c>
      <c r="M273" t="s">
        <v>22</v>
      </c>
    </row>
    <row r="274" spans="1:13" hidden="1" x14ac:dyDescent="0.3">
      <c r="A274" t="s">
        <v>715</v>
      </c>
      <c r="B274" t="s">
        <v>747</v>
      </c>
      <c r="C274" t="s">
        <v>748</v>
      </c>
      <c r="D274" t="s">
        <v>749</v>
      </c>
      <c r="E274" t="s">
        <v>750</v>
      </c>
      <c r="F274" t="s">
        <v>749</v>
      </c>
      <c r="G274" t="s">
        <v>114</v>
      </c>
      <c r="H274" t="s">
        <v>720</v>
      </c>
      <c r="I274" t="s">
        <v>115</v>
      </c>
      <c r="J274" t="s">
        <v>19</v>
      </c>
      <c r="K274" t="s">
        <v>390</v>
      </c>
      <c r="L274" t="s">
        <v>21</v>
      </c>
      <c r="M274" t="s">
        <v>22</v>
      </c>
    </row>
    <row r="275" spans="1:13" hidden="1" x14ac:dyDescent="0.3">
      <c r="A275" t="s">
        <v>715</v>
      </c>
      <c r="B275" t="s">
        <v>751</v>
      </c>
      <c r="C275" t="s">
        <v>752</v>
      </c>
      <c r="D275" t="s">
        <v>753</v>
      </c>
      <c r="E275" t="s">
        <v>750</v>
      </c>
      <c r="F275" t="s">
        <v>753</v>
      </c>
      <c r="G275" t="s">
        <v>114</v>
      </c>
      <c r="H275" t="s">
        <v>720</v>
      </c>
      <c r="I275" t="s">
        <v>115</v>
      </c>
      <c r="J275" t="s">
        <v>19</v>
      </c>
      <c r="K275" t="s">
        <v>390</v>
      </c>
      <c r="L275" t="s">
        <v>21</v>
      </c>
      <c r="M275" t="s">
        <v>22</v>
      </c>
    </row>
    <row r="276" spans="1:13" hidden="1" x14ac:dyDescent="0.3">
      <c r="A276" t="s">
        <v>715</v>
      </c>
      <c r="B276" t="s">
        <v>754</v>
      </c>
      <c r="C276" t="s">
        <v>755</v>
      </c>
      <c r="D276" t="s">
        <v>756</v>
      </c>
      <c r="E276" t="s">
        <v>750</v>
      </c>
      <c r="F276" t="s">
        <v>756</v>
      </c>
      <c r="G276" t="s">
        <v>114</v>
      </c>
      <c r="H276" t="s">
        <v>720</v>
      </c>
      <c r="I276" t="s">
        <v>115</v>
      </c>
      <c r="J276" t="s">
        <v>19</v>
      </c>
      <c r="K276" t="s">
        <v>390</v>
      </c>
      <c r="L276" t="s">
        <v>21</v>
      </c>
      <c r="M276" t="s">
        <v>22</v>
      </c>
    </row>
    <row r="277" spans="1:13" hidden="1" x14ac:dyDescent="0.3">
      <c r="A277" t="s">
        <v>715</v>
      </c>
      <c r="B277" t="s">
        <v>757</v>
      </c>
      <c r="C277" t="s">
        <v>758</v>
      </c>
      <c r="D277" t="s">
        <v>759</v>
      </c>
      <c r="E277" t="s">
        <v>750</v>
      </c>
      <c r="F277" t="s">
        <v>759</v>
      </c>
      <c r="G277" t="s">
        <v>729</v>
      </c>
      <c r="H277" t="s">
        <v>730</v>
      </c>
      <c r="I277" t="s">
        <v>149</v>
      </c>
      <c r="J277" t="s">
        <v>19</v>
      </c>
      <c r="K277" t="s">
        <v>390</v>
      </c>
      <c r="L277" t="s">
        <v>21</v>
      </c>
      <c r="M277" t="s">
        <v>22</v>
      </c>
    </row>
    <row r="278" spans="1:13" hidden="1" x14ac:dyDescent="0.3">
      <c r="A278" t="s">
        <v>715</v>
      </c>
      <c r="B278" t="s">
        <v>760</v>
      </c>
      <c r="C278" t="s">
        <v>761</v>
      </c>
      <c r="D278" t="s">
        <v>762</v>
      </c>
      <c r="E278" t="s">
        <v>750</v>
      </c>
      <c r="F278" t="s">
        <v>762</v>
      </c>
      <c r="G278" t="s">
        <v>729</v>
      </c>
      <c r="H278" t="s">
        <v>730</v>
      </c>
      <c r="I278" t="s">
        <v>149</v>
      </c>
      <c r="J278" t="s">
        <v>19</v>
      </c>
      <c r="K278" t="s">
        <v>390</v>
      </c>
      <c r="L278" t="s">
        <v>21</v>
      </c>
      <c r="M278" t="s">
        <v>22</v>
      </c>
    </row>
    <row r="279" spans="1:13" hidden="1" x14ac:dyDescent="0.3">
      <c r="A279" t="s">
        <v>715</v>
      </c>
      <c r="B279" t="s">
        <v>763</v>
      </c>
      <c r="C279" t="s">
        <v>764</v>
      </c>
      <c r="D279" t="s">
        <v>765</v>
      </c>
      <c r="E279" t="s">
        <v>750</v>
      </c>
      <c r="F279" t="s">
        <v>766</v>
      </c>
      <c r="G279" t="s">
        <v>729</v>
      </c>
      <c r="H279" t="s">
        <v>730</v>
      </c>
      <c r="I279" t="s">
        <v>149</v>
      </c>
      <c r="J279" t="s">
        <v>19</v>
      </c>
      <c r="K279" t="s">
        <v>390</v>
      </c>
      <c r="L279" t="s">
        <v>21</v>
      </c>
      <c r="M279" t="s">
        <v>22</v>
      </c>
    </row>
    <row r="280" spans="1:13" hidden="1" x14ac:dyDescent="0.3">
      <c r="A280" t="s">
        <v>715</v>
      </c>
      <c r="B280" t="s">
        <v>767</v>
      </c>
      <c r="C280" t="s">
        <v>768</v>
      </c>
      <c r="D280" t="s">
        <v>769</v>
      </c>
      <c r="E280" t="s">
        <v>770</v>
      </c>
      <c r="F280" t="s">
        <v>29</v>
      </c>
      <c r="G280" t="s">
        <v>22</v>
      </c>
      <c r="H280" t="s">
        <v>29</v>
      </c>
      <c r="I280" t="s">
        <v>149</v>
      </c>
      <c r="J280" t="s">
        <v>19</v>
      </c>
      <c r="K280" t="s">
        <v>390</v>
      </c>
      <c r="L280" t="s">
        <v>21</v>
      </c>
      <c r="M280" t="s">
        <v>22</v>
      </c>
    </row>
    <row r="281" spans="1:13" hidden="1" x14ac:dyDescent="0.3">
      <c r="A281" t="s">
        <v>715</v>
      </c>
      <c r="B281" t="s">
        <v>771</v>
      </c>
      <c r="C281" t="s">
        <v>772</v>
      </c>
      <c r="D281" t="s">
        <v>772</v>
      </c>
      <c r="E281" t="s">
        <v>770</v>
      </c>
      <c r="F281" t="s">
        <v>194</v>
      </c>
      <c r="G281" t="s">
        <v>114</v>
      </c>
      <c r="H281" t="s">
        <v>114</v>
      </c>
      <c r="I281" t="s">
        <v>115</v>
      </c>
      <c r="J281" t="s">
        <v>19</v>
      </c>
      <c r="K281" t="s">
        <v>390</v>
      </c>
      <c r="L281" t="s">
        <v>21</v>
      </c>
      <c r="M281" t="s">
        <v>22</v>
      </c>
    </row>
    <row r="282" spans="1:13" hidden="1" x14ac:dyDescent="0.3">
      <c r="A282" t="s">
        <v>715</v>
      </c>
      <c r="B282" t="s">
        <v>773</v>
      </c>
      <c r="C282" t="s">
        <v>774</v>
      </c>
      <c r="D282" t="s">
        <v>774</v>
      </c>
      <c r="E282" t="s">
        <v>770</v>
      </c>
      <c r="F282" t="s">
        <v>196</v>
      </c>
      <c r="G282" t="s">
        <v>114</v>
      </c>
      <c r="H282" t="s">
        <v>114</v>
      </c>
      <c r="I282" t="s">
        <v>115</v>
      </c>
      <c r="J282" t="s">
        <v>19</v>
      </c>
      <c r="K282" t="s">
        <v>390</v>
      </c>
      <c r="L282" t="s">
        <v>21</v>
      </c>
      <c r="M282" t="s">
        <v>22</v>
      </c>
    </row>
    <row r="283" spans="1:13" hidden="1" x14ac:dyDescent="0.3">
      <c r="A283" t="s">
        <v>715</v>
      </c>
      <c r="B283" t="s">
        <v>775</v>
      </c>
      <c r="C283" t="s">
        <v>776</v>
      </c>
      <c r="D283" t="s">
        <v>776</v>
      </c>
      <c r="E283" t="s">
        <v>777</v>
      </c>
      <c r="F283" t="s">
        <v>29</v>
      </c>
      <c r="G283" t="s">
        <v>22</v>
      </c>
      <c r="H283" t="s">
        <v>29</v>
      </c>
      <c r="I283" t="s">
        <v>149</v>
      </c>
      <c r="J283" t="s">
        <v>19</v>
      </c>
      <c r="K283" t="s">
        <v>390</v>
      </c>
      <c r="L283" t="s">
        <v>21</v>
      </c>
      <c r="M283" t="s">
        <v>22</v>
      </c>
    </row>
    <row r="284" spans="1:13" hidden="1" x14ac:dyDescent="0.3">
      <c r="A284" t="s">
        <v>715</v>
      </c>
      <c r="B284" t="s">
        <v>778</v>
      </c>
      <c r="C284" t="s">
        <v>779</v>
      </c>
      <c r="D284" t="s">
        <v>779</v>
      </c>
      <c r="E284" t="s">
        <v>777</v>
      </c>
      <c r="F284" t="s">
        <v>194</v>
      </c>
      <c r="G284" t="s">
        <v>114</v>
      </c>
      <c r="H284" t="s">
        <v>114</v>
      </c>
      <c r="I284" t="s">
        <v>115</v>
      </c>
      <c r="J284" t="s">
        <v>19</v>
      </c>
      <c r="K284" t="s">
        <v>390</v>
      </c>
      <c r="L284" t="s">
        <v>21</v>
      </c>
      <c r="M284" t="s">
        <v>22</v>
      </c>
    </row>
    <row r="285" spans="1:13" hidden="1" x14ac:dyDescent="0.3">
      <c r="A285" t="s">
        <v>715</v>
      </c>
      <c r="B285" t="s">
        <v>780</v>
      </c>
      <c r="C285" t="s">
        <v>781</v>
      </c>
      <c r="D285" t="s">
        <v>781</v>
      </c>
      <c r="E285" t="s">
        <v>777</v>
      </c>
      <c r="F285" t="s">
        <v>196</v>
      </c>
      <c r="G285" t="s">
        <v>114</v>
      </c>
      <c r="H285" t="s">
        <v>114</v>
      </c>
      <c r="I285" t="s">
        <v>115</v>
      </c>
      <c r="J285" t="s">
        <v>19</v>
      </c>
      <c r="K285" t="s">
        <v>390</v>
      </c>
      <c r="L285" t="s">
        <v>21</v>
      </c>
      <c r="M285" t="s">
        <v>22</v>
      </c>
    </row>
    <row r="286" spans="1:13" hidden="1" x14ac:dyDescent="0.3">
      <c r="A286" t="s">
        <v>715</v>
      </c>
      <c r="B286" t="s">
        <v>782</v>
      </c>
      <c r="C286" t="s">
        <v>783</v>
      </c>
      <c r="D286" t="s">
        <v>784</v>
      </c>
      <c r="E286" t="s">
        <v>785</v>
      </c>
      <c r="F286" t="s">
        <v>29</v>
      </c>
      <c r="G286" t="s">
        <v>22</v>
      </c>
      <c r="H286" t="s">
        <v>29</v>
      </c>
      <c r="I286" t="s">
        <v>149</v>
      </c>
      <c r="J286" t="s">
        <v>19</v>
      </c>
      <c r="K286" t="s">
        <v>390</v>
      </c>
      <c r="L286" t="s">
        <v>21</v>
      </c>
      <c r="M286" t="s">
        <v>22</v>
      </c>
    </row>
    <row r="287" spans="1:13" hidden="1" x14ac:dyDescent="0.3">
      <c r="A287" t="s">
        <v>715</v>
      </c>
      <c r="B287" t="s">
        <v>786</v>
      </c>
      <c r="C287" t="s">
        <v>787</v>
      </c>
      <c r="D287" t="s">
        <v>788</v>
      </c>
      <c r="E287" t="s">
        <v>785</v>
      </c>
      <c r="F287" t="s">
        <v>194</v>
      </c>
      <c r="G287" t="s">
        <v>114</v>
      </c>
      <c r="H287" t="s">
        <v>114</v>
      </c>
      <c r="I287" t="s">
        <v>115</v>
      </c>
      <c r="J287" t="s">
        <v>19</v>
      </c>
      <c r="K287" t="s">
        <v>390</v>
      </c>
      <c r="L287" t="s">
        <v>21</v>
      </c>
      <c r="M287" t="s">
        <v>22</v>
      </c>
    </row>
    <row r="288" spans="1:13" hidden="1" x14ac:dyDescent="0.3">
      <c r="A288" t="s">
        <v>715</v>
      </c>
      <c r="B288" t="s">
        <v>789</v>
      </c>
      <c r="C288" t="s">
        <v>790</v>
      </c>
      <c r="D288" t="s">
        <v>791</v>
      </c>
      <c r="E288" t="s">
        <v>785</v>
      </c>
      <c r="F288" t="s">
        <v>196</v>
      </c>
      <c r="G288" t="s">
        <v>114</v>
      </c>
      <c r="H288" t="s">
        <v>114</v>
      </c>
      <c r="I288" t="s">
        <v>115</v>
      </c>
      <c r="J288" t="s">
        <v>19</v>
      </c>
      <c r="K288" t="s">
        <v>390</v>
      </c>
      <c r="L288" t="s">
        <v>21</v>
      </c>
      <c r="M288" t="s">
        <v>22</v>
      </c>
    </row>
    <row r="289" spans="1:13" hidden="1" x14ac:dyDescent="0.3">
      <c r="A289" t="s">
        <v>792</v>
      </c>
      <c r="B289" t="s">
        <v>793</v>
      </c>
      <c r="C289" t="s">
        <v>794</v>
      </c>
      <c r="D289" t="s">
        <v>22</v>
      </c>
      <c r="E289" t="s">
        <v>794</v>
      </c>
      <c r="F289" t="s">
        <v>22</v>
      </c>
      <c r="G289" t="s">
        <v>795</v>
      </c>
      <c r="H289" t="s">
        <v>795</v>
      </c>
      <c r="I289" t="s">
        <v>149</v>
      </c>
      <c r="J289" t="s">
        <v>19</v>
      </c>
      <c r="K289" t="s">
        <v>796</v>
      </c>
      <c r="L289" t="s">
        <v>21</v>
      </c>
      <c r="M289" t="s">
        <v>22</v>
      </c>
    </row>
    <row r="290" spans="1:13" hidden="1" x14ac:dyDescent="0.3">
      <c r="A290" t="s">
        <v>792</v>
      </c>
      <c r="B290" t="s">
        <v>239</v>
      </c>
      <c r="C290" t="s">
        <v>797</v>
      </c>
      <c r="D290" t="s">
        <v>22</v>
      </c>
      <c r="E290" t="s">
        <v>797</v>
      </c>
      <c r="F290" t="s">
        <v>22</v>
      </c>
      <c r="G290" t="s">
        <v>16</v>
      </c>
      <c r="H290" t="s">
        <v>16</v>
      </c>
      <c r="I290" t="s">
        <v>149</v>
      </c>
      <c r="J290" t="s">
        <v>19</v>
      </c>
      <c r="K290" t="s">
        <v>796</v>
      </c>
      <c r="L290" t="s">
        <v>21</v>
      </c>
      <c r="M290" t="s">
        <v>22</v>
      </c>
    </row>
    <row r="291" spans="1:13" hidden="1" x14ac:dyDescent="0.3">
      <c r="A291" t="s">
        <v>792</v>
      </c>
      <c r="B291" t="s">
        <v>798</v>
      </c>
      <c r="C291" t="s">
        <v>799</v>
      </c>
      <c r="D291" t="s">
        <v>22</v>
      </c>
      <c r="E291" t="s">
        <v>799</v>
      </c>
      <c r="F291" t="s">
        <v>22</v>
      </c>
      <c r="G291" t="s">
        <v>148</v>
      </c>
      <c r="H291" t="s">
        <v>148</v>
      </c>
      <c r="I291" t="s">
        <v>149</v>
      </c>
      <c r="J291" t="s">
        <v>19</v>
      </c>
      <c r="K291" t="s">
        <v>796</v>
      </c>
      <c r="L291" t="s">
        <v>21</v>
      </c>
      <c r="M291" t="s">
        <v>22</v>
      </c>
    </row>
    <row r="292" spans="1:13" hidden="1" x14ac:dyDescent="0.3">
      <c r="A292" t="s">
        <v>792</v>
      </c>
      <c r="B292" t="s">
        <v>308</v>
      </c>
      <c r="C292" t="s">
        <v>800</v>
      </c>
      <c r="D292" t="s">
        <v>22</v>
      </c>
      <c r="E292" t="s">
        <v>800</v>
      </c>
      <c r="F292" t="s">
        <v>22</v>
      </c>
      <c r="G292" t="s">
        <v>270</v>
      </c>
      <c r="H292" t="s">
        <v>801</v>
      </c>
      <c r="I292" t="s">
        <v>149</v>
      </c>
      <c r="J292" t="s">
        <v>19</v>
      </c>
      <c r="K292" t="s">
        <v>796</v>
      </c>
      <c r="L292" t="s">
        <v>21</v>
      </c>
      <c r="M292" t="s">
        <v>22</v>
      </c>
    </row>
    <row r="293" spans="1:13" x14ac:dyDescent="0.3">
      <c r="A293" t="s">
        <v>802</v>
      </c>
      <c r="B293" t="s">
        <v>803</v>
      </c>
      <c r="C293" t="s">
        <v>804</v>
      </c>
      <c r="D293" t="s">
        <v>804</v>
      </c>
      <c r="E293" t="s">
        <v>805</v>
      </c>
      <c r="F293" t="s">
        <v>22</v>
      </c>
      <c r="G293" t="s">
        <v>114</v>
      </c>
      <c r="H293" t="s">
        <v>720</v>
      </c>
      <c r="I293" t="s">
        <v>28</v>
      </c>
      <c r="J293" t="s">
        <v>19</v>
      </c>
      <c r="K293" t="s">
        <v>796</v>
      </c>
      <c r="L293" t="s">
        <v>21</v>
      </c>
      <c r="M293" t="s">
        <v>22</v>
      </c>
    </row>
    <row r="294" spans="1:13" x14ac:dyDescent="0.3">
      <c r="A294" t="s">
        <v>802</v>
      </c>
      <c r="B294" t="s">
        <v>806</v>
      </c>
      <c r="C294" t="s">
        <v>807</v>
      </c>
      <c r="D294" t="s">
        <v>807</v>
      </c>
      <c r="E294" t="s">
        <v>805</v>
      </c>
      <c r="F294" t="s">
        <v>22</v>
      </c>
      <c r="G294" t="s">
        <v>114</v>
      </c>
      <c r="H294" t="s">
        <v>720</v>
      </c>
      <c r="I294" t="s">
        <v>28</v>
      </c>
      <c r="J294" t="s">
        <v>19</v>
      </c>
      <c r="K294" t="s">
        <v>796</v>
      </c>
      <c r="L294" t="s">
        <v>21</v>
      </c>
      <c r="M294" t="s">
        <v>22</v>
      </c>
    </row>
    <row r="295" spans="1:13" x14ac:dyDescent="0.3">
      <c r="A295" t="s">
        <v>802</v>
      </c>
      <c r="B295" t="s">
        <v>808</v>
      </c>
      <c r="C295" t="s">
        <v>809</v>
      </c>
      <c r="D295" t="s">
        <v>809</v>
      </c>
      <c r="E295" t="s">
        <v>805</v>
      </c>
      <c r="F295" t="s">
        <v>22</v>
      </c>
      <c r="G295" t="s">
        <v>114</v>
      </c>
      <c r="H295" t="s">
        <v>720</v>
      </c>
      <c r="I295" t="s">
        <v>28</v>
      </c>
      <c r="J295" t="s">
        <v>19</v>
      </c>
      <c r="K295" t="s">
        <v>796</v>
      </c>
      <c r="L295" t="s">
        <v>21</v>
      </c>
      <c r="M295" t="s">
        <v>22</v>
      </c>
    </row>
    <row r="296" spans="1:13" x14ac:dyDescent="0.3">
      <c r="A296" t="s">
        <v>802</v>
      </c>
      <c r="B296" t="s">
        <v>810</v>
      </c>
      <c r="C296" t="s">
        <v>811</v>
      </c>
      <c r="D296" t="s">
        <v>811</v>
      </c>
      <c r="E296" t="s">
        <v>812</v>
      </c>
      <c r="F296" t="s">
        <v>22</v>
      </c>
      <c r="G296" t="s">
        <v>114</v>
      </c>
      <c r="H296" t="s">
        <v>114</v>
      </c>
      <c r="I296" t="s">
        <v>28</v>
      </c>
      <c r="J296" t="s">
        <v>19</v>
      </c>
      <c r="K296" t="s">
        <v>796</v>
      </c>
      <c r="L296" t="s">
        <v>21</v>
      </c>
      <c r="M296" t="s">
        <v>22</v>
      </c>
    </row>
    <row r="297" spans="1:13" x14ac:dyDescent="0.3">
      <c r="A297" t="s">
        <v>802</v>
      </c>
      <c r="B297" t="s">
        <v>813</v>
      </c>
      <c r="C297" t="s">
        <v>814</v>
      </c>
      <c r="D297" t="s">
        <v>814</v>
      </c>
      <c r="E297" t="s">
        <v>812</v>
      </c>
      <c r="F297" t="s">
        <v>22</v>
      </c>
      <c r="G297" t="s">
        <v>114</v>
      </c>
      <c r="H297" t="s">
        <v>114</v>
      </c>
      <c r="I297" t="s">
        <v>28</v>
      </c>
      <c r="J297" t="s">
        <v>19</v>
      </c>
      <c r="K297" t="s">
        <v>796</v>
      </c>
      <c r="L297" t="s">
        <v>21</v>
      </c>
      <c r="M297" t="s">
        <v>22</v>
      </c>
    </row>
    <row r="298" spans="1:13" x14ac:dyDescent="0.3">
      <c r="A298" t="s">
        <v>802</v>
      </c>
      <c r="B298" t="s">
        <v>815</v>
      </c>
      <c r="C298" t="s">
        <v>816</v>
      </c>
      <c r="D298" t="s">
        <v>816</v>
      </c>
      <c r="E298" t="s">
        <v>812</v>
      </c>
      <c r="F298" t="s">
        <v>22</v>
      </c>
      <c r="G298" t="s">
        <v>114</v>
      </c>
      <c r="H298" t="s">
        <v>114</v>
      </c>
      <c r="I298" t="s">
        <v>28</v>
      </c>
      <c r="J298" t="s">
        <v>19</v>
      </c>
      <c r="K298" t="s">
        <v>796</v>
      </c>
      <c r="L298" t="s">
        <v>21</v>
      </c>
      <c r="M298" t="s">
        <v>22</v>
      </c>
    </row>
    <row r="299" spans="1:13" x14ac:dyDescent="0.3">
      <c r="A299" t="s">
        <v>802</v>
      </c>
      <c r="B299" t="s">
        <v>817</v>
      </c>
      <c r="C299" t="s">
        <v>818</v>
      </c>
      <c r="D299" t="s">
        <v>818</v>
      </c>
      <c r="E299" t="s">
        <v>812</v>
      </c>
      <c r="F299" t="s">
        <v>22</v>
      </c>
      <c r="G299" t="s">
        <v>114</v>
      </c>
      <c r="H299" t="s">
        <v>114</v>
      </c>
      <c r="I299" t="s">
        <v>28</v>
      </c>
      <c r="J299" t="s">
        <v>19</v>
      </c>
      <c r="K299" t="s">
        <v>796</v>
      </c>
      <c r="L299" t="s">
        <v>21</v>
      </c>
      <c r="M299" t="s">
        <v>22</v>
      </c>
    </row>
    <row r="300" spans="1:13" x14ac:dyDescent="0.3">
      <c r="A300" t="s">
        <v>802</v>
      </c>
      <c r="B300" t="s">
        <v>819</v>
      </c>
      <c r="C300" t="s">
        <v>820</v>
      </c>
      <c r="D300" t="s">
        <v>820</v>
      </c>
      <c r="E300" t="s">
        <v>111</v>
      </c>
      <c r="F300" t="s">
        <v>22</v>
      </c>
      <c r="G300" t="s">
        <v>113</v>
      </c>
      <c r="H300" t="s">
        <v>114</v>
      </c>
      <c r="I300" t="s">
        <v>28</v>
      </c>
      <c r="J300" t="s">
        <v>19</v>
      </c>
      <c r="K300" t="s">
        <v>796</v>
      </c>
      <c r="L300" t="s">
        <v>21</v>
      </c>
      <c r="M300" t="s">
        <v>22</v>
      </c>
    </row>
    <row r="301" spans="1:13" x14ac:dyDescent="0.3">
      <c r="A301" t="s">
        <v>802</v>
      </c>
      <c r="B301" t="s">
        <v>821</v>
      </c>
      <c r="C301" t="s">
        <v>822</v>
      </c>
      <c r="D301" t="s">
        <v>822</v>
      </c>
      <c r="E301" t="s">
        <v>111</v>
      </c>
      <c r="F301" t="s">
        <v>22</v>
      </c>
      <c r="G301" t="s">
        <v>113</v>
      </c>
      <c r="H301" t="s">
        <v>114</v>
      </c>
      <c r="I301" t="s">
        <v>28</v>
      </c>
      <c r="J301" t="s">
        <v>19</v>
      </c>
      <c r="K301" t="s">
        <v>796</v>
      </c>
      <c r="L301" t="s">
        <v>21</v>
      </c>
      <c r="M301" t="s">
        <v>22</v>
      </c>
    </row>
    <row r="302" spans="1:13" x14ac:dyDescent="0.3">
      <c r="A302" t="s">
        <v>802</v>
      </c>
      <c r="B302" t="s">
        <v>823</v>
      </c>
      <c r="C302" t="s">
        <v>824</v>
      </c>
      <c r="D302" t="s">
        <v>824</v>
      </c>
      <c r="E302" t="s">
        <v>111</v>
      </c>
      <c r="F302" t="s">
        <v>22</v>
      </c>
      <c r="G302" t="s">
        <v>113</v>
      </c>
      <c r="H302" t="s">
        <v>114</v>
      </c>
      <c r="I302" t="s">
        <v>28</v>
      </c>
      <c r="J302" t="s">
        <v>19</v>
      </c>
      <c r="K302" t="s">
        <v>796</v>
      </c>
      <c r="L302" t="s">
        <v>21</v>
      </c>
      <c r="M302" t="s">
        <v>22</v>
      </c>
    </row>
    <row r="303" spans="1:13" x14ac:dyDescent="0.3">
      <c r="A303" t="s">
        <v>802</v>
      </c>
      <c r="B303" t="s">
        <v>825</v>
      </c>
      <c r="C303" t="s">
        <v>826</v>
      </c>
      <c r="D303" t="s">
        <v>826</v>
      </c>
      <c r="E303" t="s">
        <v>111</v>
      </c>
      <c r="F303" t="s">
        <v>22</v>
      </c>
      <c r="G303" t="s">
        <v>113</v>
      </c>
      <c r="H303" t="s">
        <v>114</v>
      </c>
      <c r="I303" t="s">
        <v>28</v>
      </c>
      <c r="J303" t="s">
        <v>19</v>
      </c>
      <c r="K303" t="s">
        <v>796</v>
      </c>
      <c r="L303" t="s">
        <v>21</v>
      </c>
      <c r="M303" t="s">
        <v>22</v>
      </c>
    </row>
    <row r="304" spans="1:13" x14ac:dyDescent="0.3">
      <c r="A304" t="s">
        <v>802</v>
      </c>
      <c r="B304" t="s">
        <v>827</v>
      </c>
      <c r="C304" t="s">
        <v>828</v>
      </c>
      <c r="D304" t="s">
        <v>828</v>
      </c>
      <c r="E304" t="s">
        <v>829</v>
      </c>
      <c r="F304" t="s">
        <v>22</v>
      </c>
      <c r="G304" t="s">
        <v>113</v>
      </c>
      <c r="H304" t="s">
        <v>114</v>
      </c>
      <c r="I304" t="s">
        <v>28</v>
      </c>
      <c r="J304" t="s">
        <v>19</v>
      </c>
      <c r="K304" t="s">
        <v>796</v>
      </c>
      <c r="L304" t="s">
        <v>21</v>
      </c>
      <c r="M304" t="s">
        <v>22</v>
      </c>
    </row>
    <row r="305" spans="1:13" x14ac:dyDescent="0.3">
      <c r="A305" t="s">
        <v>802</v>
      </c>
      <c r="B305" t="s">
        <v>830</v>
      </c>
      <c r="C305" t="s">
        <v>831</v>
      </c>
      <c r="D305" t="s">
        <v>831</v>
      </c>
      <c r="E305" t="s">
        <v>829</v>
      </c>
      <c r="F305" t="s">
        <v>22</v>
      </c>
      <c r="G305" t="s">
        <v>113</v>
      </c>
      <c r="H305" t="s">
        <v>114</v>
      </c>
      <c r="I305" t="s">
        <v>28</v>
      </c>
      <c r="J305" t="s">
        <v>19</v>
      </c>
      <c r="K305" t="s">
        <v>796</v>
      </c>
      <c r="L305" t="s">
        <v>21</v>
      </c>
      <c r="M305" t="s">
        <v>22</v>
      </c>
    </row>
    <row r="306" spans="1:13" x14ac:dyDescent="0.3">
      <c r="A306" t="s">
        <v>802</v>
      </c>
      <c r="B306" t="s">
        <v>832</v>
      </c>
      <c r="C306" t="s">
        <v>833</v>
      </c>
      <c r="D306" t="s">
        <v>833</v>
      </c>
      <c r="E306" t="s">
        <v>834</v>
      </c>
      <c r="F306" t="s">
        <v>22</v>
      </c>
      <c r="G306" t="s">
        <v>114</v>
      </c>
      <c r="H306" t="s">
        <v>114</v>
      </c>
      <c r="I306" t="s">
        <v>28</v>
      </c>
      <c r="J306" t="s">
        <v>19</v>
      </c>
      <c r="K306" t="s">
        <v>796</v>
      </c>
      <c r="L306" t="s">
        <v>21</v>
      </c>
      <c r="M306" t="s">
        <v>22</v>
      </c>
    </row>
    <row r="307" spans="1:13" x14ac:dyDescent="0.3">
      <c r="A307" t="s">
        <v>802</v>
      </c>
      <c r="B307" t="s">
        <v>835</v>
      </c>
      <c r="C307" t="s">
        <v>836</v>
      </c>
      <c r="D307" t="s">
        <v>836</v>
      </c>
      <c r="E307" t="s">
        <v>834</v>
      </c>
      <c r="F307" t="s">
        <v>22</v>
      </c>
      <c r="G307" t="s">
        <v>114</v>
      </c>
      <c r="H307" t="s">
        <v>114</v>
      </c>
      <c r="I307" t="s">
        <v>28</v>
      </c>
      <c r="J307" t="s">
        <v>19</v>
      </c>
      <c r="K307" t="s">
        <v>796</v>
      </c>
      <c r="L307" t="s">
        <v>21</v>
      </c>
      <c r="M307" t="s">
        <v>22</v>
      </c>
    </row>
    <row r="308" spans="1:13" x14ac:dyDescent="0.3">
      <c r="A308" t="s">
        <v>802</v>
      </c>
      <c r="B308" t="s">
        <v>837</v>
      </c>
      <c r="C308" t="s">
        <v>838</v>
      </c>
      <c r="D308" t="s">
        <v>838</v>
      </c>
      <c r="E308" t="s">
        <v>839</v>
      </c>
      <c r="F308" t="s">
        <v>22</v>
      </c>
      <c r="G308" t="s">
        <v>114</v>
      </c>
      <c r="H308" t="s">
        <v>114</v>
      </c>
      <c r="I308" t="s">
        <v>28</v>
      </c>
      <c r="J308" t="s">
        <v>19</v>
      </c>
      <c r="K308" t="s">
        <v>796</v>
      </c>
      <c r="L308" t="s">
        <v>21</v>
      </c>
      <c r="M308" t="s">
        <v>22</v>
      </c>
    </row>
    <row r="309" spans="1:13" x14ac:dyDescent="0.3">
      <c r="A309" t="s">
        <v>802</v>
      </c>
      <c r="B309" t="s">
        <v>840</v>
      </c>
      <c r="C309" t="s">
        <v>841</v>
      </c>
      <c r="D309" t="s">
        <v>841</v>
      </c>
      <c r="E309" t="s">
        <v>839</v>
      </c>
      <c r="F309" t="s">
        <v>22</v>
      </c>
      <c r="G309" t="s">
        <v>114</v>
      </c>
      <c r="H309" t="s">
        <v>114</v>
      </c>
      <c r="I309" t="s">
        <v>28</v>
      </c>
      <c r="J309" t="s">
        <v>19</v>
      </c>
      <c r="K309" t="s">
        <v>796</v>
      </c>
      <c r="L309" t="s">
        <v>21</v>
      </c>
      <c r="M309" t="s">
        <v>22</v>
      </c>
    </row>
    <row r="310" spans="1:13" x14ac:dyDescent="0.3">
      <c r="A310" t="s">
        <v>802</v>
      </c>
      <c r="B310" t="s">
        <v>842</v>
      </c>
      <c r="C310" t="s">
        <v>843</v>
      </c>
      <c r="D310" t="s">
        <v>843</v>
      </c>
      <c r="E310" t="s">
        <v>724</v>
      </c>
      <c r="F310" t="s">
        <v>22</v>
      </c>
      <c r="G310" t="s">
        <v>114</v>
      </c>
      <c r="H310" t="s">
        <v>720</v>
      </c>
      <c r="I310" t="s">
        <v>28</v>
      </c>
      <c r="J310" t="s">
        <v>19</v>
      </c>
      <c r="K310" t="s">
        <v>796</v>
      </c>
      <c r="L310" t="s">
        <v>21</v>
      </c>
      <c r="M310" t="s">
        <v>22</v>
      </c>
    </row>
    <row r="311" spans="1:13" x14ac:dyDescent="0.3">
      <c r="A311" t="s">
        <v>802</v>
      </c>
      <c r="B311" t="s">
        <v>844</v>
      </c>
      <c r="C311" t="s">
        <v>845</v>
      </c>
      <c r="D311" t="s">
        <v>845</v>
      </c>
      <c r="E311" t="s">
        <v>724</v>
      </c>
      <c r="F311" t="s">
        <v>22</v>
      </c>
      <c r="G311" t="s">
        <v>114</v>
      </c>
      <c r="H311" t="s">
        <v>720</v>
      </c>
      <c r="I311" t="s">
        <v>28</v>
      </c>
      <c r="J311" t="s">
        <v>19</v>
      </c>
      <c r="K311" t="s">
        <v>796</v>
      </c>
      <c r="L311" t="s">
        <v>21</v>
      </c>
      <c r="M311" t="s">
        <v>22</v>
      </c>
    </row>
    <row r="312" spans="1:13" x14ac:dyDescent="0.3">
      <c r="A312" t="s">
        <v>802</v>
      </c>
      <c r="B312" t="s">
        <v>846</v>
      </c>
      <c r="C312" t="s">
        <v>847</v>
      </c>
      <c r="D312" t="s">
        <v>847</v>
      </c>
      <c r="E312" t="s">
        <v>848</v>
      </c>
      <c r="F312" t="s">
        <v>22</v>
      </c>
      <c r="G312" t="s">
        <v>25</v>
      </c>
      <c r="H312" t="s">
        <v>25</v>
      </c>
      <c r="I312" t="s">
        <v>28</v>
      </c>
      <c r="J312" t="s">
        <v>19</v>
      </c>
      <c r="K312" t="s">
        <v>796</v>
      </c>
      <c r="L312" t="s">
        <v>21</v>
      </c>
      <c r="M312" t="s">
        <v>22</v>
      </c>
    </row>
    <row r="313" spans="1:13" x14ac:dyDescent="0.3">
      <c r="A313" t="s">
        <v>802</v>
      </c>
      <c r="B313" t="s">
        <v>849</v>
      </c>
      <c r="C313" t="s">
        <v>850</v>
      </c>
      <c r="D313" t="s">
        <v>850</v>
      </c>
      <c r="E313" t="s">
        <v>848</v>
      </c>
      <c r="F313" t="s">
        <v>22</v>
      </c>
      <c r="G313" t="s">
        <v>25</v>
      </c>
      <c r="H313" t="s">
        <v>25</v>
      </c>
      <c r="I313" t="s">
        <v>28</v>
      </c>
      <c r="J313" t="s">
        <v>19</v>
      </c>
      <c r="K313" t="s">
        <v>796</v>
      </c>
      <c r="L313" t="s">
        <v>21</v>
      </c>
      <c r="M313" t="s">
        <v>22</v>
      </c>
    </row>
    <row r="314" spans="1:13" x14ac:dyDescent="0.3">
      <c r="A314" t="s">
        <v>802</v>
      </c>
      <c r="B314" t="s">
        <v>851</v>
      </c>
      <c r="C314" t="s">
        <v>852</v>
      </c>
      <c r="D314" t="s">
        <v>852</v>
      </c>
      <c r="E314" t="s">
        <v>853</v>
      </c>
      <c r="F314" t="s">
        <v>22</v>
      </c>
      <c r="G314" t="s">
        <v>37</v>
      </c>
      <c r="H314" t="s">
        <v>37</v>
      </c>
      <c r="I314" t="s">
        <v>28</v>
      </c>
      <c r="J314" t="s">
        <v>19</v>
      </c>
      <c r="K314" t="s">
        <v>796</v>
      </c>
      <c r="L314" t="s">
        <v>21</v>
      </c>
      <c r="M314" t="s">
        <v>22</v>
      </c>
    </row>
    <row r="315" spans="1:13" x14ac:dyDescent="0.3">
      <c r="A315" t="s">
        <v>802</v>
      </c>
      <c r="B315" t="s">
        <v>854</v>
      </c>
      <c r="C315" t="s">
        <v>855</v>
      </c>
      <c r="D315" t="s">
        <v>855</v>
      </c>
      <c r="E315" t="s">
        <v>853</v>
      </c>
      <c r="F315" t="s">
        <v>22</v>
      </c>
      <c r="G315" t="s">
        <v>37</v>
      </c>
      <c r="H315" t="s">
        <v>37</v>
      </c>
      <c r="I315" t="s">
        <v>28</v>
      </c>
      <c r="J315" t="s">
        <v>19</v>
      </c>
      <c r="K315" t="s">
        <v>796</v>
      </c>
      <c r="L315" t="s">
        <v>21</v>
      </c>
      <c r="M315" t="s">
        <v>22</v>
      </c>
    </row>
    <row r="316" spans="1:13" x14ac:dyDescent="0.3">
      <c r="A316" t="s">
        <v>802</v>
      </c>
      <c r="B316" t="s">
        <v>856</v>
      </c>
      <c r="C316" t="s">
        <v>857</v>
      </c>
      <c r="D316" t="s">
        <v>857</v>
      </c>
      <c r="E316" t="s">
        <v>858</v>
      </c>
      <c r="F316" t="s">
        <v>22</v>
      </c>
      <c r="G316" t="s">
        <v>114</v>
      </c>
      <c r="H316" t="s">
        <v>114</v>
      </c>
      <c r="I316" t="s">
        <v>28</v>
      </c>
      <c r="J316" t="s">
        <v>19</v>
      </c>
      <c r="K316" t="s">
        <v>796</v>
      </c>
      <c r="L316" t="s">
        <v>21</v>
      </c>
      <c r="M316" t="s">
        <v>22</v>
      </c>
    </row>
    <row r="317" spans="1:13" x14ac:dyDescent="0.3">
      <c r="A317" t="s">
        <v>802</v>
      </c>
      <c r="B317" t="s">
        <v>859</v>
      </c>
      <c r="C317" t="s">
        <v>860</v>
      </c>
      <c r="D317" t="s">
        <v>860</v>
      </c>
      <c r="E317" t="s">
        <v>858</v>
      </c>
      <c r="F317" t="s">
        <v>22</v>
      </c>
      <c r="G317" t="s">
        <v>114</v>
      </c>
      <c r="H317" t="s">
        <v>114</v>
      </c>
      <c r="I317" t="s">
        <v>28</v>
      </c>
      <c r="J317" t="s">
        <v>19</v>
      </c>
      <c r="K317" t="s">
        <v>796</v>
      </c>
      <c r="L317" t="s">
        <v>21</v>
      </c>
      <c r="M317" t="s">
        <v>22</v>
      </c>
    </row>
    <row r="318" spans="1:13" hidden="1" x14ac:dyDescent="0.3">
      <c r="A318" t="s">
        <v>861</v>
      </c>
      <c r="B318" t="s">
        <v>862</v>
      </c>
      <c r="C318" t="s">
        <v>863</v>
      </c>
      <c r="D318" t="s">
        <v>863</v>
      </c>
      <c r="E318" t="s">
        <v>147</v>
      </c>
      <c r="F318" t="s">
        <v>864</v>
      </c>
      <c r="G318" t="s">
        <v>148</v>
      </c>
      <c r="H318" t="s">
        <v>148</v>
      </c>
      <c r="I318" t="s">
        <v>149</v>
      </c>
      <c r="J318" t="s">
        <v>19</v>
      </c>
      <c r="K318" t="s">
        <v>601</v>
      </c>
      <c r="L318" t="s">
        <v>118</v>
      </c>
      <c r="M318" t="s">
        <v>22</v>
      </c>
    </row>
    <row r="319" spans="1:13" hidden="1" x14ac:dyDescent="0.3">
      <c r="A319" t="s">
        <v>861</v>
      </c>
      <c r="B319" t="s">
        <v>865</v>
      </c>
      <c r="C319" t="s">
        <v>866</v>
      </c>
      <c r="D319" t="s">
        <v>863</v>
      </c>
      <c r="E319" t="s">
        <v>866</v>
      </c>
      <c r="F319" t="s">
        <v>867</v>
      </c>
      <c r="G319" t="s">
        <v>148</v>
      </c>
      <c r="H319" t="s">
        <v>148</v>
      </c>
      <c r="I319" t="s">
        <v>149</v>
      </c>
      <c r="J319" t="s">
        <v>19</v>
      </c>
      <c r="K319" t="s">
        <v>601</v>
      </c>
      <c r="L319" t="s">
        <v>118</v>
      </c>
      <c r="M319" t="s">
        <v>22</v>
      </c>
    </row>
    <row r="320" spans="1:13" hidden="1" x14ac:dyDescent="0.3">
      <c r="A320" t="s">
        <v>861</v>
      </c>
      <c r="B320" t="s">
        <v>868</v>
      </c>
      <c r="C320" t="s">
        <v>869</v>
      </c>
      <c r="D320" t="s">
        <v>863</v>
      </c>
      <c r="E320" t="s">
        <v>869</v>
      </c>
      <c r="F320" t="s">
        <v>867</v>
      </c>
      <c r="G320" t="s">
        <v>148</v>
      </c>
      <c r="H320" t="s">
        <v>148</v>
      </c>
      <c r="I320" t="s">
        <v>149</v>
      </c>
      <c r="J320" t="s">
        <v>19</v>
      </c>
      <c r="K320" t="s">
        <v>601</v>
      </c>
      <c r="L320" t="s">
        <v>118</v>
      </c>
      <c r="M320" t="s">
        <v>22</v>
      </c>
    </row>
    <row r="321" spans="1:13" hidden="1" x14ac:dyDescent="0.3">
      <c r="A321" t="s">
        <v>861</v>
      </c>
      <c r="B321" t="s">
        <v>870</v>
      </c>
      <c r="C321" t="s">
        <v>871</v>
      </c>
      <c r="D321" t="s">
        <v>863</v>
      </c>
      <c r="E321" t="s">
        <v>871</v>
      </c>
      <c r="F321" t="s">
        <v>867</v>
      </c>
      <c r="G321" t="s">
        <v>148</v>
      </c>
      <c r="H321" t="s">
        <v>148</v>
      </c>
      <c r="I321" t="s">
        <v>149</v>
      </c>
      <c r="J321" t="s">
        <v>19</v>
      </c>
      <c r="K321" t="s">
        <v>601</v>
      </c>
      <c r="L321" t="s">
        <v>118</v>
      </c>
      <c r="M321" t="s">
        <v>22</v>
      </c>
    </row>
    <row r="322" spans="1:13" hidden="1" x14ac:dyDescent="0.3">
      <c r="A322" t="s">
        <v>861</v>
      </c>
      <c r="B322" t="s">
        <v>872</v>
      </c>
      <c r="C322" t="s">
        <v>873</v>
      </c>
      <c r="D322" t="s">
        <v>863</v>
      </c>
      <c r="E322" t="s">
        <v>873</v>
      </c>
      <c r="F322" t="s">
        <v>867</v>
      </c>
      <c r="G322" t="s">
        <v>148</v>
      </c>
      <c r="H322" t="s">
        <v>148</v>
      </c>
      <c r="I322" t="s">
        <v>149</v>
      </c>
      <c r="J322" t="s">
        <v>19</v>
      </c>
      <c r="K322" t="s">
        <v>601</v>
      </c>
      <c r="L322" t="s">
        <v>118</v>
      </c>
      <c r="M322" t="s">
        <v>22</v>
      </c>
    </row>
    <row r="323" spans="1:13" hidden="1" x14ac:dyDescent="0.3">
      <c r="A323" t="s">
        <v>861</v>
      </c>
      <c r="B323" t="s">
        <v>874</v>
      </c>
      <c r="C323" t="s">
        <v>875</v>
      </c>
      <c r="D323" t="s">
        <v>875</v>
      </c>
      <c r="E323" t="s">
        <v>147</v>
      </c>
      <c r="F323" t="s">
        <v>864</v>
      </c>
      <c r="G323" t="s">
        <v>148</v>
      </c>
      <c r="H323" t="s">
        <v>148</v>
      </c>
      <c r="I323" t="s">
        <v>149</v>
      </c>
      <c r="J323" t="s">
        <v>19</v>
      </c>
      <c r="K323" t="s">
        <v>601</v>
      </c>
      <c r="L323" t="s">
        <v>118</v>
      </c>
      <c r="M323" t="s">
        <v>22</v>
      </c>
    </row>
    <row r="324" spans="1:13" hidden="1" x14ac:dyDescent="0.3">
      <c r="A324" t="s">
        <v>861</v>
      </c>
      <c r="B324" t="s">
        <v>876</v>
      </c>
      <c r="C324" t="s">
        <v>866</v>
      </c>
      <c r="D324" t="s">
        <v>875</v>
      </c>
      <c r="E324" t="s">
        <v>866</v>
      </c>
      <c r="F324" t="s">
        <v>867</v>
      </c>
      <c r="G324" t="s">
        <v>148</v>
      </c>
      <c r="H324" t="s">
        <v>148</v>
      </c>
      <c r="I324" t="s">
        <v>149</v>
      </c>
      <c r="J324" t="s">
        <v>19</v>
      </c>
      <c r="K324" t="s">
        <v>601</v>
      </c>
      <c r="L324" t="s">
        <v>118</v>
      </c>
      <c r="M324" t="s">
        <v>22</v>
      </c>
    </row>
    <row r="325" spans="1:13" hidden="1" x14ac:dyDescent="0.3">
      <c r="A325" t="s">
        <v>861</v>
      </c>
      <c r="B325" t="s">
        <v>877</v>
      </c>
      <c r="C325" t="s">
        <v>869</v>
      </c>
      <c r="D325" t="s">
        <v>875</v>
      </c>
      <c r="E325" t="s">
        <v>869</v>
      </c>
      <c r="F325" t="s">
        <v>867</v>
      </c>
      <c r="G325" t="s">
        <v>148</v>
      </c>
      <c r="H325" t="s">
        <v>148</v>
      </c>
      <c r="I325" t="s">
        <v>149</v>
      </c>
      <c r="J325" t="s">
        <v>19</v>
      </c>
      <c r="K325" t="s">
        <v>601</v>
      </c>
      <c r="L325" t="s">
        <v>118</v>
      </c>
      <c r="M325" t="s">
        <v>22</v>
      </c>
    </row>
    <row r="326" spans="1:13" hidden="1" x14ac:dyDescent="0.3">
      <c r="A326" t="s">
        <v>861</v>
      </c>
      <c r="B326" t="s">
        <v>878</v>
      </c>
      <c r="C326" t="s">
        <v>871</v>
      </c>
      <c r="D326" t="s">
        <v>875</v>
      </c>
      <c r="E326" t="s">
        <v>871</v>
      </c>
      <c r="F326" t="s">
        <v>867</v>
      </c>
      <c r="G326" t="s">
        <v>148</v>
      </c>
      <c r="H326" t="s">
        <v>148</v>
      </c>
      <c r="I326" t="s">
        <v>149</v>
      </c>
      <c r="J326" t="s">
        <v>19</v>
      </c>
      <c r="K326" t="s">
        <v>601</v>
      </c>
      <c r="L326" t="s">
        <v>118</v>
      </c>
      <c r="M326" t="s">
        <v>22</v>
      </c>
    </row>
    <row r="327" spans="1:13" hidden="1" x14ac:dyDescent="0.3">
      <c r="A327" t="s">
        <v>861</v>
      </c>
      <c r="B327" t="s">
        <v>879</v>
      </c>
      <c r="C327" t="s">
        <v>873</v>
      </c>
      <c r="D327" t="s">
        <v>875</v>
      </c>
      <c r="E327" t="s">
        <v>873</v>
      </c>
      <c r="F327" t="s">
        <v>867</v>
      </c>
      <c r="G327" t="s">
        <v>148</v>
      </c>
      <c r="H327" t="s">
        <v>148</v>
      </c>
      <c r="I327" t="s">
        <v>149</v>
      </c>
      <c r="J327" t="s">
        <v>19</v>
      </c>
      <c r="K327" t="s">
        <v>601</v>
      </c>
      <c r="L327" t="s">
        <v>118</v>
      </c>
      <c r="M327" t="s">
        <v>22</v>
      </c>
    </row>
    <row r="328" spans="1:13" hidden="1" x14ac:dyDescent="0.3">
      <c r="A328" t="s">
        <v>861</v>
      </c>
      <c r="B328" t="s">
        <v>880</v>
      </c>
      <c r="C328" t="s">
        <v>881</v>
      </c>
      <c r="D328" t="s">
        <v>881</v>
      </c>
      <c r="E328" t="s">
        <v>147</v>
      </c>
      <c r="F328" t="s">
        <v>864</v>
      </c>
      <c r="G328" t="s">
        <v>148</v>
      </c>
      <c r="H328" t="s">
        <v>148</v>
      </c>
      <c r="I328" t="s">
        <v>149</v>
      </c>
      <c r="J328" t="s">
        <v>19</v>
      </c>
      <c r="K328" t="s">
        <v>601</v>
      </c>
      <c r="L328" t="s">
        <v>118</v>
      </c>
      <c r="M328" t="s">
        <v>22</v>
      </c>
    </row>
    <row r="329" spans="1:13" hidden="1" x14ac:dyDescent="0.3">
      <c r="A329" t="s">
        <v>861</v>
      </c>
      <c r="B329" t="s">
        <v>882</v>
      </c>
      <c r="C329" t="s">
        <v>866</v>
      </c>
      <c r="D329" t="s">
        <v>881</v>
      </c>
      <c r="E329" t="s">
        <v>883</v>
      </c>
      <c r="F329" t="s">
        <v>867</v>
      </c>
      <c r="G329" t="s">
        <v>148</v>
      </c>
      <c r="H329" t="s">
        <v>148</v>
      </c>
      <c r="I329" t="s">
        <v>149</v>
      </c>
      <c r="J329" t="s">
        <v>19</v>
      </c>
      <c r="K329" t="s">
        <v>601</v>
      </c>
      <c r="L329" t="s">
        <v>118</v>
      </c>
      <c r="M329" t="s">
        <v>22</v>
      </c>
    </row>
    <row r="330" spans="1:13" hidden="1" x14ac:dyDescent="0.3">
      <c r="A330" t="s">
        <v>861</v>
      </c>
      <c r="B330" t="s">
        <v>884</v>
      </c>
      <c r="C330" t="s">
        <v>869</v>
      </c>
      <c r="D330" t="s">
        <v>881</v>
      </c>
      <c r="E330" t="s">
        <v>885</v>
      </c>
      <c r="F330" t="s">
        <v>867</v>
      </c>
      <c r="G330" t="s">
        <v>148</v>
      </c>
      <c r="H330" t="s">
        <v>148</v>
      </c>
      <c r="I330" t="s">
        <v>149</v>
      </c>
      <c r="J330" t="s">
        <v>19</v>
      </c>
      <c r="K330" t="s">
        <v>601</v>
      </c>
      <c r="L330" t="s">
        <v>118</v>
      </c>
      <c r="M330" t="s">
        <v>22</v>
      </c>
    </row>
    <row r="331" spans="1:13" hidden="1" x14ac:dyDescent="0.3">
      <c r="A331" t="s">
        <v>861</v>
      </c>
      <c r="B331" t="s">
        <v>886</v>
      </c>
      <c r="C331" t="s">
        <v>871</v>
      </c>
      <c r="D331" t="s">
        <v>881</v>
      </c>
      <c r="E331" t="s">
        <v>887</v>
      </c>
      <c r="F331" t="s">
        <v>867</v>
      </c>
      <c r="G331" t="s">
        <v>148</v>
      </c>
      <c r="H331" t="s">
        <v>148</v>
      </c>
      <c r="I331" t="s">
        <v>149</v>
      </c>
      <c r="J331" t="s">
        <v>19</v>
      </c>
      <c r="K331" t="s">
        <v>601</v>
      </c>
      <c r="L331" t="s">
        <v>118</v>
      </c>
      <c r="M331" t="s">
        <v>22</v>
      </c>
    </row>
    <row r="332" spans="1:13" hidden="1" x14ac:dyDescent="0.3">
      <c r="A332" t="s">
        <v>861</v>
      </c>
      <c r="B332" t="s">
        <v>888</v>
      </c>
      <c r="C332" t="s">
        <v>873</v>
      </c>
      <c r="D332" t="s">
        <v>881</v>
      </c>
      <c r="E332" t="s">
        <v>873</v>
      </c>
      <c r="F332" t="s">
        <v>867</v>
      </c>
      <c r="G332" t="s">
        <v>148</v>
      </c>
      <c r="H332" t="s">
        <v>148</v>
      </c>
      <c r="I332" t="s">
        <v>149</v>
      </c>
      <c r="J332" t="s">
        <v>19</v>
      </c>
      <c r="K332" t="s">
        <v>601</v>
      </c>
      <c r="L332" t="s">
        <v>118</v>
      </c>
      <c r="M332" t="s">
        <v>22</v>
      </c>
    </row>
    <row r="333" spans="1:13" hidden="1" x14ac:dyDescent="0.3">
      <c r="A333" t="s">
        <v>861</v>
      </c>
      <c r="B333" t="s">
        <v>889</v>
      </c>
      <c r="C333" t="s">
        <v>890</v>
      </c>
      <c r="D333" t="s">
        <v>890</v>
      </c>
      <c r="E333" t="s">
        <v>147</v>
      </c>
      <c r="F333" t="s">
        <v>864</v>
      </c>
      <c r="G333" t="s">
        <v>148</v>
      </c>
      <c r="H333" t="s">
        <v>148</v>
      </c>
      <c r="I333" t="s">
        <v>149</v>
      </c>
      <c r="J333" t="s">
        <v>19</v>
      </c>
      <c r="K333" t="s">
        <v>601</v>
      </c>
      <c r="L333" t="s">
        <v>118</v>
      </c>
      <c r="M333" t="s">
        <v>22</v>
      </c>
    </row>
    <row r="334" spans="1:13" hidden="1" x14ac:dyDescent="0.3">
      <c r="A334" t="s">
        <v>861</v>
      </c>
      <c r="B334" t="s">
        <v>891</v>
      </c>
      <c r="C334" t="s">
        <v>866</v>
      </c>
      <c r="D334" t="s">
        <v>890</v>
      </c>
      <c r="E334" t="s">
        <v>866</v>
      </c>
      <c r="F334" t="s">
        <v>867</v>
      </c>
      <c r="G334" t="s">
        <v>148</v>
      </c>
      <c r="H334" t="s">
        <v>148</v>
      </c>
      <c r="I334" t="s">
        <v>149</v>
      </c>
      <c r="J334" t="s">
        <v>19</v>
      </c>
      <c r="K334" t="s">
        <v>601</v>
      </c>
      <c r="L334" t="s">
        <v>118</v>
      </c>
      <c r="M334" t="s">
        <v>22</v>
      </c>
    </row>
    <row r="335" spans="1:13" hidden="1" x14ac:dyDescent="0.3">
      <c r="A335" t="s">
        <v>861</v>
      </c>
      <c r="B335" t="s">
        <v>892</v>
      </c>
      <c r="C335" t="s">
        <v>869</v>
      </c>
      <c r="D335" t="s">
        <v>890</v>
      </c>
      <c r="E335" t="s">
        <v>869</v>
      </c>
      <c r="F335" t="s">
        <v>867</v>
      </c>
      <c r="G335" t="s">
        <v>148</v>
      </c>
      <c r="H335" t="s">
        <v>148</v>
      </c>
      <c r="I335" t="s">
        <v>149</v>
      </c>
      <c r="J335" t="s">
        <v>19</v>
      </c>
      <c r="K335" t="s">
        <v>601</v>
      </c>
      <c r="L335" t="s">
        <v>118</v>
      </c>
      <c r="M335" t="s">
        <v>22</v>
      </c>
    </row>
    <row r="336" spans="1:13" hidden="1" x14ac:dyDescent="0.3">
      <c r="A336" t="s">
        <v>861</v>
      </c>
      <c r="B336" t="s">
        <v>893</v>
      </c>
      <c r="C336" t="s">
        <v>871</v>
      </c>
      <c r="D336" t="s">
        <v>890</v>
      </c>
      <c r="E336" t="s">
        <v>871</v>
      </c>
      <c r="F336" t="s">
        <v>867</v>
      </c>
      <c r="G336" t="s">
        <v>148</v>
      </c>
      <c r="H336" t="s">
        <v>148</v>
      </c>
      <c r="I336" t="s">
        <v>149</v>
      </c>
      <c r="J336" t="s">
        <v>19</v>
      </c>
      <c r="K336" t="s">
        <v>601</v>
      </c>
      <c r="L336" t="s">
        <v>118</v>
      </c>
      <c r="M336" t="s">
        <v>22</v>
      </c>
    </row>
    <row r="337" spans="1:13" hidden="1" x14ac:dyDescent="0.3">
      <c r="A337" t="s">
        <v>861</v>
      </c>
      <c r="B337" t="s">
        <v>894</v>
      </c>
      <c r="C337" t="s">
        <v>873</v>
      </c>
      <c r="D337" t="s">
        <v>890</v>
      </c>
      <c r="E337" t="s">
        <v>873</v>
      </c>
      <c r="F337" t="s">
        <v>867</v>
      </c>
      <c r="G337" t="s">
        <v>148</v>
      </c>
      <c r="H337" t="s">
        <v>148</v>
      </c>
      <c r="I337" t="s">
        <v>149</v>
      </c>
      <c r="J337" t="s">
        <v>19</v>
      </c>
      <c r="K337" t="s">
        <v>601</v>
      </c>
      <c r="L337" t="s">
        <v>118</v>
      </c>
      <c r="M337" t="s">
        <v>22</v>
      </c>
    </row>
    <row r="338" spans="1:13" hidden="1" x14ac:dyDescent="0.3">
      <c r="A338" t="s">
        <v>861</v>
      </c>
      <c r="B338" t="s">
        <v>895</v>
      </c>
      <c r="C338" t="s">
        <v>896</v>
      </c>
      <c r="D338" t="s">
        <v>896</v>
      </c>
      <c r="E338" t="s">
        <v>147</v>
      </c>
      <c r="F338" t="s">
        <v>864</v>
      </c>
      <c r="G338" t="s">
        <v>148</v>
      </c>
      <c r="H338" t="s">
        <v>148</v>
      </c>
      <c r="I338" t="s">
        <v>149</v>
      </c>
      <c r="J338" t="s">
        <v>19</v>
      </c>
      <c r="K338" t="s">
        <v>601</v>
      </c>
      <c r="L338" t="s">
        <v>118</v>
      </c>
      <c r="M338" t="s">
        <v>22</v>
      </c>
    </row>
    <row r="339" spans="1:13" hidden="1" x14ac:dyDescent="0.3">
      <c r="A339" t="s">
        <v>861</v>
      </c>
      <c r="B339" t="s">
        <v>897</v>
      </c>
      <c r="C339" t="s">
        <v>866</v>
      </c>
      <c r="D339" t="s">
        <v>896</v>
      </c>
      <c r="E339" t="s">
        <v>866</v>
      </c>
      <c r="F339" t="s">
        <v>867</v>
      </c>
      <c r="G339" t="s">
        <v>148</v>
      </c>
      <c r="H339" t="s">
        <v>148</v>
      </c>
      <c r="I339" t="s">
        <v>149</v>
      </c>
      <c r="J339" t="s">
        <v>19</v>
      </c>
      <c r="K339" t="s">
        <v>601</v>
      </c>
      <c r="L339" t="s">
        <v>118</v>
      </c>
      <c r="M339" t="s">
        <v>22</v>
      </c>
    </row>
    <row r="340" spans="1:13" hidden="1" x14ac:dyDescent="0.3">
      <c r="A340" t="s">
        <v>861</v>
      </c>
      <c r="B340" t="s">
        <v>898</v>
      </c>
      <c r="C340" t="s">
        <v>869</v>
      </c>
      <c r="D340" t="s">
        <v>896</v>
      </c>
      <c r="E340" t="s">
        <v>869</v>
      </c>
      <c r="F340" t="s">
        <v>867</v>
      </c>
      <c r="G340" t="s">
        <v>148</v>
      </c>
      <c r="H340" t="s">
        <v>148</v>
      </c>
      <c r="I340" t="s">
        <v>149</v>
      </c>
      <c r="J340" t="s">
        <v>19</v>
      </c>
      <c r="K340" t="s">
        <v>601</v>
      </c>
      <c r="L340" t="s">
        <v>118</v>
      </c>
      <c r="M340" t="s">
        <v>22</v>
      </c>
    </row>
    <row r="341" spans="1:13" hidden="1" x14ac:dyDescent="0.3">
      <c r="A341" t="s">
        <v>861</v>
      </c>
      <c r="B341" t="s">
        <v>899</v>
      </c>
      <c r="C341" t="s">
        <v>871</v>
      </c>
      <c r="D341" t="s">
        <v>896</v>
      </c>
      <c r="E341" t="s">
        <v>871</v>
      </c>
      <c r="F341" t="s">
        <v>867</v>
      </c>
      <c r="G341" t="s">
        <v>148</v>
      </c>
      <c r="H341" t="s">
        <v>148</v>
      </c>
      <c r="I341" t="s">
        <v>149</v>
      </c>
      <c r="J341" t="s">
        <v>19</v>
      </c>
      <c r="K341" t="s">
        <v>601</v>
      </c>
      <c r="L341" t="s">
        <v>118</v>
      </c>
      <c r="M341" t="s">
        <v>22</v>
      </c>
    </row>
    <row r="342" spans="1:13" hidden="1" x14ac:dyDescent="0.3">
      <c r="A342" t="s">
        <v>861</v>
      </c>
      <c r="B342" t="s">
        <v>900</v>
      </c>
      <c r="C342" t="s">
        <v>873</v>
      </c>
      <c r="D342" t="s">
        <v>896</v>
      </c>
      <c r="E342" t="s">
        <v>873</v>
      </c>
      <c r="F342" t="s">
        <v>867</v>
      </c>
      <c r="G342" t="s">
        <v>148</v>
      </c>
      <c r="H342" t="s">
        <v>148</v>
      </c>
      <c r="I342" t="s">
        <v>149</v>
      </c>
      <c r="J342" t="s">
        <v>19</v>
      </c>
      <c r="K342" t="s">
        <v>601</v>
      </c>
      <c r="L342" t="s">
        <v>118</v>
      </c>
      <c r="M342" t="s">
        <v>22</v>
      </c>
    </row>
    <row r="343" spans="1:13" hidden="1" x14ac:dyDescent="0.3">
      <c r="A343" t="s">
        <v>861</v>
      </c>
      <c r="B343" t="s">
        <v>901</v>
      </c>
      <c r="C343" t="s">
        <v>902</v>
      </c>
      <c r="D343" t="s">
        <v>902</v>
      </c>
      <c r="E343" t="s">
        <v>147</v>
      </c>
      <c r="F343" t="s">
        <v>864</v>
      </c>
      <c r="G343" t="s">
        <v>148</v>
      </c>
      <c r="H343" t="s">
        <v>148</v>
      </c>
      <c r="I343" t="s">
        <v>149</v>
      </c>
      <c r="J343" t="s">
        <v>19</v>
      </c>
      <c r="K343" t="s">
        <v>601</v>
      </c>
      <c r="L343" t="s">
        <v>118</v>
      </c>
      <c r="M343" t="s">
        <v>22</v>
      </c>
    </row>
    <row r="344" spans="1:13" hidden="1" x14ac:dyDescent="0.3">
      <c r="A344" t="s">
        <v>861</v>
      </c>
      <c r="B344" t="s">
        <v>903</v>
      </c>
      <c r="C344" t="s">
        <v>866</v>
      </c>
      <c r="D344" t="s">
        <v>902</v>
      </c>
      <c r="E344" t="s">
        <v>866</v>
      </c>
      <c r="F344" t="s">
        <v>867</v>
      </c>
      <c r="G344" t="s">
        <v>148</v>
      </c>
      <c r="H344" t="s">
        <v>148</v>
      </c>
      <c r="I344" t="s">
        <v>149</v>
      </c>
      <c r="J344" t="s">
        <v>19</v>
      </c>
      <c r="K344" t="s">
        <v>601</v>
      </c>
      <c r="L344" t="s">
        <v>118</v>
      </c>
      <c r="M344" t="s">
        <v>22</v>
      </c>
    </row>
    <row r="345" spans="1:13" hidden="1" x14ac:dyDescent="0.3">
      <c r="A345" t="s">
        <v>861</v>
      </c>
      <c r="B345" t="s">
        <v>904</v>
      </c>
      <c r="C345" t="s">
        <v>869</v>
      </c>
      <c r="D345" t="s">
        <v>902</v>
      </c>
      <c r="E345" t="s">
        <v>869</v>
      </c>
      <c r="F345" t="s">
        <v>867</v>
      </c>
      <c r="G345" t="s">
        <v>148</v>
      </c>
      <c r="H345" t="s">
        <v>148</v>
      </c>
      <c r="I345" t="s">
        <v>149</v>
      </c>
      <c r="J345" t="s">
        <v>19</v>
      </c>
      <c r="K345" t="s">
        <v>601</v>
      </c>
      <c r="L345" t="s">
        <v>118</v>
      </c>
      <c r="M345" t="s">
        <v>22</v>
      </c>
    </row>
    <row r="346" spans="1:13" hidden="1" x14ac:dyDescent="0.3">
      <c r="A346" t="s">
        <v>861</v>
      </c>
      <c r="B346" t="s">
        <v>905</v>
      </c>
      <c r="C346" t="s">
        <v>871</v>
      </c>
      <c r="D346" t="s">
        <v>902</v>
      </c>
      <c r="E346" t="s">
        <v>871</v>
      </c>
      <c r="F346" t="s">
        <v>867</v>
      </c>
      <c r="G346" t="s">
        <v>148</v>
      </c>
      <c r="H346" t="s">
        <v>148</v>
      </c>
      <c r="I346" t="s">
        <v>149</v>
      </c>
      <c r="J346" t="s">
        <v>19</v>
      </c>
      <c r="K346" t="s">
        <v>601</v>
      </c>
      <c r="L346" t="s">
        <v>118</v>
      </c>
      <c r="M346" t="s">
        <v>22</v>
      </c>
    </row>
    <row r="347" spans="1:13" hidden="1" x14ac:dyDescent="0.3">
      <c r="A347" t="s">
        <v>861</v>
      </c>
      <c r="B347" t="s">
        <v>906</v>
      </c>
      <c r="C347" t="s">
        <v>873</v>
      </c>
      <c r="D347" t="s">
        <v>902</v>
      </c>
      <c r="E347" t="s">
        <v>873</v>
      </c>
      <c r="F347" t="s">
        <v>867</v>
      </c>
      <c r="G347" t="s">
        <v>148</v>
      </c>
      <c r="H347" t="s">
        <v>148</v>
      </c>
      <c r="I347" t="s">
        <v>149</v>
      </c>
      <c r="J347" t="s">
        <v>19</v>
      </c>
      <c r="K347" t="s">
        <v>601</v>
      </c>
      <c r="L347" t="s">
        <v>118</v>
      </c>
      <c r="M347" t="s">
        <v>22</v>
      </c>
    </row>
    <row r="348" spans="1:13" hidden="1" x14ac:dyDescent="0.3">
      <c r="A348" t="s">
        <v>861</v>
      </c>
      <c r="B348" t="s">
        <v>907</v>
      </c>
      <c r="C348" t="s">
        <v>908</v>
      </c>
      <c r="D348" t="s">
        <v>908</v>
      </c>
      <c r="E348" t="s">
        <v>147</v>
      </c>
      <c r="F348" t="s">
        <v>864</v>
      </c>
      <c r="G348" t="s">
        <v>148</v>
      </c>
      <c r="H348" t="s">
        <v>148</v>
      </c>
      <c r="I348" t="s">
        <v>149</v>
      </c>
      <c r="J348" t="s">
        <v>19</v>
      </c>
      <c r="K348" t="s">
        <v>601</v>
      </c>
      <c r="L348" t="s">
        <v>118</v>
      </c>
      <c r="M348" t="s">
        <v>22</v>
      </c>
    </row>
    <row r="349" spans="1:13" hidden="1" x14ac:dyDescent="0.3">
      <c r="A349" t="s">
        <v>861</v>
      </c>
      <c r="B349" t="s">
        <v>909</v>
      </c>
      <c r="C349" t="s">
        <v>866</v>
      </c>
      <c r="D349" t="s">
        <v>908</v>
      </c>
      <c r="E349" t="s">
        <v>866</v>
      </c>
      <c r="F349" t="s">
        <v>867</v>
      </c>
      <c r="G349" t="s">
        <v>148</v>
      </c>
      <c r="H349" t="s">
        <v>148</v>
      </c>
      <c r="I349" t="s">
        <v>149</v>
      </c>
      <c r="J349" t="s">
        <v>19</v>
      </c>
      <c r="K349" t="s">
        <v>601</v>
      </c>
      <c r="L349" t="s">
        <v>118</v>
      </c>
      <c r="M349" t="s">
        <v>22</v>
      </c>
    </row>
    <row r="350" spans="1:13" hidden="1" x14ac:dyDescent="0.3">
      <c r="A350" t="s">
        <v>861</v>
      </c>
      <c r="B350" t="s">
        <v>910</v>
      </c>
      <c r="C350" t="s">
        <v>869</v>
      </c>
      <c r="D350" t="s">
        <v>908</v>
      </c>
      <c r="E350" t="s">
        <v>869</v>
      </c>
      <c r="F350" t="s">
        <v>867</v>
      </c>
      <c r="G350" t="s">
        <v>148</v>
      </c>
      <c r="H350" t="s">
        <v>148</v>
      </c>
      <c r="I350" t="s">
        <v>149</v>
      </c>
      <c r="J350" t="s">
        <v>19</v>
      </c>
      <c r="K350" t="s">
        <v>601</v>
      </c>
      <c r="L350" t="s">
        <v>118</v>
      </c>
      <c r="M350" t="s">
        <v>22</v>
      </c>
    </row>
    <row r="351" spans="1:13" hidden="1" x14ac:dyDescent="0.3">
      <c r="A351" t="s">
        <v>861</v>
      </c>
      <c r="B351" t="s">
        <v>911</v>
      </c>
      <c r="C351" t="s">
        <v>871</v>
      </c>
      <c r="D351" t="s">
        <v>908</v>
      </c>
      <c r="E351" t="s">
        <v>871</v>
      </c>
      <c r="F351" t="s">
        <v>867</v>
      </c>
      <c r="G351" t="s">
        <v>148</v>
      </c>
      <c r="H351" t="s">
        <v>148</v>
      </c>
      <c r="I351" t="s">
        <v>149</v>
      </c>
      <c r="J351" t="s">
        <v>19</v>
      </c>
      <c r="K351" t="s">
        <v>601</v>
      </c>
      <c r="L351" t="s">
        <v>118</v>
      </c>
      <c r="M351" t="s">
        <v>22</v>
      </c>
    </row>
    <row r="352" spans="1:13" hidden="1" x14ac:dyDescent="0.3">
      <c r="A352" t="s">
        <v>861</v>
      </c>
      <c r="B352" t="s">
        <v>912</v>
      </c>
      <c r="C352" t="s">
        <v>873</v>
      </c>
      <c r="D352" t="s">
        <v>908</v>
      </c>
      <c r="E352" t="s">
        <v>873</v>
      </c>
      <c r="F352" t="s">
        <v>867</v>
      </c>
      <c r="G352" t="s">
        <v>148</v>
      </c>
      <c r="H352" t="s">
        <v>148</v>
      </c>
      <c r="I352" t="s">
        <v>149</v>
      </c>
      <c r="J352" t="s">
        <v>19</v>
      </c>
      <c r="K352" t="s">
        <v>601</v>
      </c>
      <c r="L352" t="s">
        <v>118</v>
      </c>
      <c r="M352" t="s">
        <v>22</v>
      </c>
    </row>
    <row r="353" spans="1:13" hidden="1" x14ac:dyDescent="0.3">
      <c r="A353" t="s">
        <v>913</v>
      </c>
      <c r="B353" t="s">
        <v>914</v>
      </c>
      <c r="C353" t="s">
        <v>914</v>
      </c>
      <c r="D353" t="s">
        <v>22</v>
      </c>
      <c r="E353" t="s">
        <v>914</v>
      </c>
      <c r="F353" t="s">
        <v>22</v>
      </c>
      <c r="G353" t="s">
        <v>22</v>
      </c>
      <c r="H353" t="s">
        <v>29</v>
      </c>
      <c r="I353" t="s">
        <v>149</v>
      </c>
      <c r="J353" t="s">
        <v>19</v>
      </c>
      <c r="K353" t="s">
        <v>601</v>
      </c>
      <c r="L353" t="s">
        <v>21</v>
      </c>
      <c r="M353" t="s">
        <v>22</v>
      </c>
    </row>
    <row r="354" spans="1:13" hidden="1" x14ac:dyDescent="0.3">
      <c r="A354" t="s">
        <v>913</v>
      </c>
      <c r="B354" t="s">
        <v>915</v>
      </c>
      <c r="C354" t="s">
        <v>915</v>
      </c>
      <c r="D354" t="s">
        <v>22</v>
      </c>
      <c r="E354" t="s">
        <v>915</v>
      </c>
      <c r="F354" t="s">
        <v>22</v>
      </c>
      <c r="G354" t="s">
        <v>22</v>
      </c>
      <c r="H354" t="s">
        <v>29</v>
      </c>
      <c r="I354" t="s">
        <v>149</v>
      </c>
      <c r="J354" t="s">
        <v>19</v>
      </c>
      <c r="K354" t="s">
        <v>601</v>
      </c>
      <c r="L354" t="s">
        <v>21</v>
      </c>
      <c r="M354" t="s">
        <v>22</v>
      </c>
    </row>
    <row r="355" spans="1:13" hidden="1" x14ac:dyDescent="0.3">
      <c r="A355" t="s">
        <v>916</v>
      </c>
      <c r="B355" t="s">
        <v>917</v>
      </c>
      <c r="C355" t="s">
        <v>917</v>
      </c>
      <c r="D355" t="s">
        <v>22</v>
      </c>
      <c r="E355" t="s">
        <v>22</v>
      </c>
      <c r="F355" t="s">
        <v>22</v>
      </c>
      <c r="G355" t="s">
        <v>22</v>
      </c>
      <c r="H355" t="s">
        <v>22</v>
      </c>
      <c r="I355" t="s">
        <v>149</v>
      </c>
      <c r="J355" t="s">
        <v>19</v>
      </c>
      <c r="K355" t="s">
        <v>20</v>
      </c>
      <c r="L355" t="s">
        <v>602</v>
      </c>
      <c r="M355" t="s">
        <v>22</v>
      </c>
    </row>
    <row r="356" spans="1:13" hidden="1" x14ac:dyDescent="0.3">
      <c r="A356" t="s">
        <v>916</v>
      </c>
      <c r="B356" t="s">
        <v>918</v>
      </c>
      <c r="C356" t="s">
        <v>918</v>
      </c>
      <c r="D356" t="s">
        <v>22</v>
      </c>
      <c r="E356" t="s">
        <v>22</v>
      </c>
      <c r="F356" t="s">
        <v>22</v>
      </c>
      <c r="G356" t="s">
        <v>22</v>
      </c>
      <c r="H356" t="s">
        <v>22</v>
      </c>
      <c r="I356" t="s">
        <v>149</v>
      </c>
      <c r="J356" t="s">
        <v>19</v>
      </c>
      <c r="K356" t="s">
        <v>20</v>
      </c>
      <c r="L356" t="s">
        <v>602</v>
      </c>
      <c r="M356" t="s">
        <v>22</v>
      </c>
    </row>
    <row r="357" spans="1:13" hidden="1" x14ac:dyDescent="0.3">
      <c r="A357" t="s">
        <v>916</v>
      </c>
      <c r="B357" t="s">
        <v>919</v>
      </c>
      <c r="C357" t="s">
        <v>919</v>
      </c>
      <c r="D357" t="s">
        <v>22</v>
      </c>
      <c r="E357" t="s">
        <v>22</v>
      </c>
      <c r="F357" t="s">
        <v>22</v>
      </c>
      <c r="G357" t="s">
        <v>22</v>
      </c>
      <c r="H357" t="s">
        <v>22</v>
      </c>
      <c r="I357" t="s">
        <v>149</v>
      </c>
      <c r="J357" t="s">
        <v>19</v>
      </c>
      <c r="K357" t="s">
        <v>20</v>
      </c>
      <c r="L357" t="s">
        <v>602</v>
      </c>
      <c r="M357" t="s">
        <v>22</v>
      </c>
    </row>
    <row r="358" spans="1:13" hidden="1" x14ac:dyDescent="0.3">
      <c r="A358" t="s">
        <v>916</v>
      </c>
      <c r="B358" t="s">
        <v>920</v>
      </c>
      <c r="C358" t="s">
        <v>920</v>
      </c>
      <c r="D358" t="s">
        <v>22</v>
      </c>
      <c r="E358" t="s">
        <v>22</v>
      </c>
      <c r="F358" t="s">
        <v>22</v>
      </c>
      <c r="G358" t="s">
        <v>22</v>
      </c>
      <c r="H358" t="s">
        <v>22</v>
      </c>
      <c r="I358" t="s">
        <v>149</v>
      </c>
      <c r="J358" t="s">
        <v>19</v>
      </c>
      <c r="K358" t="s">
        <v>20</v>
      </c>
      <c r="L358" t="s">
        <v>602</v>
      </c>
      <c r="M358" t="s">
        <v>22</v>
      </c>
    </row>
    <row r="359" spans="1:13" hidden="1" x14ac:dyDescent="0.3">
      <c r="A359" t="s">
        <v>916</v>
      </c>
      <c r="B359" t="s">
        <v>921</v>
      </c>
      <c r="C359" t="s">
        <v>921</v>
      </c>
      <c r="D359" t="s">
        <v>22</v>
      </c>
      <c r="E359" t="s">
        <v>22</v>
      </c>
      <c r="F359" t="s">
        <v>22</v>
      </c>
      <c r="G359" t="s">
        <v>22</v>
      </c>
      <c r="H359" t="s">
        <v>22</v>
      </c>
      <c r="I359" t="s">
        <v>149</v>
      </c>
      <c r="J359" t="s">
        <v>19</v>
      </c>
      <c r="K359" t="s">
        <v>20</v>
      </c>
      <c r="L359" t="s">
        <v>602</v>
      </c>
      <c r="M359" t="s">
        <v>22</v>
      </c>
    </row>
    <row r="360" spans="1:13" hidden="1" x14ac:dyDescent="0.3">
      <c r="A360" t="s">
        <v>916</v>
      </c>
      <c r="B360" t="s">
        <v>922</v>
      </c>
      <c r="C360" t="s">
        <v>922</v>
      </c>
      <c r="D360" t="s">
        <v>22</v>
      </c>
      <c r="E360" t="s">
        <v>22</v>
      </c>
      <c r="F360" t="s">
        <v>22</v>
      </c>
      <c r="G360" t="s">
        <v>22</v>
      </c>
      <c r="H360" t="s">
        <v>22</v>
      </c>
      <c r="I360" t="s">
        <v>149</v>
      </c>
      <c r="J360" t="s">
        <v>19</v>
      </c>
      <c r="K360" t="s">
        <v>20</v>
      </c>
      <c r="L360" t="s">
        <v>602</v>
      </c>
      <c r="M360" t="s">
        <v>22</v>
      </c>
    </row>
    <row r="361" spans="1:13" hidden="1" x14ac:dyDescent="0.3">
      <c r="A361" t="s">
        <v>916</v>
      </c>
      <c r="B361" t="s">
        <v>923</v>
      </c>
      <c r="C361" t="s">
        <v>923</v>
      </c>
      <c r="D361" t="s">
        <v>22</v>
      </c>
      <c r="E361" t="s">
        <v>22</v>
      </c>
      <c r="F361" t="s">
        <v>22</v>
      </c>
      <c r="G361" t="s">
        <v>22</v>
      </c>
      <c r="H361" t="s">
        <v>22</v>
      </c>
      <c r="I361" t="s">
        <v>149</v>
      </c>
      <c r="J361" t="s">
        <v>19</v>
      </c>
      <c r="K361" t="s">
        <v>20</v>
      </c>
      <c r="L361" t="s">
        <v>602</v>
      </c>
      <c r="M361" t="s">
        <v>22</v>
      </c>
    </row>
    <row r="362" spans="1:13" hidden="1" x14ac:dyDescent="0.3">
      <c r="A362" t="s">
        <v>916</v>
      </c>
      <c r="B362" t="s">
        <v>924</v>
      </c>
      <c r="C362" t="s">
        <v>924</v>
      </c>
      <c r="D362" t="s">
        <v>22</v>
      </c>
      <c r="E362" t="s">
        <v>22</v>
      </c>
      <c r="F362" t="s">
        <v>22</v>
      </c>
      <c r="G362" t="s">
        <v>22</v>
      </c>
      <c r="H362" t="s">
        <v>22</v>
      </c>
      <c r="I362" t="s">
        <v>149</v>
      </c>
      <c r="J362" t="s">
        <v>19</v>
      </c>
      <c r="K362" t="s">
        <v>20</v>
      </c>
      <c r="L362" t="s">
        <v>602</v>
      </c>
      <c r="M362" t="s">
        <v>22</v>
      </c>
    </row>
    <row r="363" spans="1:13" hidden="1" x14ac:dyDescent="0.3">
      <c r="A363" t="s">
        <v>916</v>
      </c>
      <c r="B363" t="s">
        <v>925</v>
      </c>
      <c r="C363" t="s">
        <v>925</v>
      </c>
      <c r="D363" t="s">
        <v>22</v>
      </c>
      <c r="E363" t="s">
        <v>22</v>
      </c>
      <c r="F363" t="s">
        <v>22</v>
      </c>
      <c r="G363" t="s">
        <v>22</v>
      </c>
      <c r="H363" t="s">
        <v>22</v>
      </c>
      <c r="I363" t="s">
        <v>149</v>
      </c>
      <c r="J363" t="s">
        <v>19</v>
      </c>
      <c r="K363" t="s">
        <v>20</v>
      </c>
      <c r="L363" t="s">
        <v>602</v>
      </c>
      <c r="M363" t="s">
        <v>22</v>
      </c>
    </row>
    <row r="364" spans="1:13" hidden="1" x14ac:dyDescent="0.3">
      <c r="A364" t="s">
        <v>916</v>
      </c>
      <c r="B364" t="s">
        <v>926</v>
      </c>
      <c r="C364" t="s">
        <v>926</v>
      </c>
      <c r="D364" t="s">
        <v>22</v>
      </c>
      <c r="E364" t="s">
        <v>22</v>
      </c>
      <c r="F364" t="s">
        <v>22</v>
      </c>
      <c r="G364" t="s">
        <v>22</v>
      </c>
      <c r="H364" t="s">
        <v>22</v>
      </c>
      <c r="I364" t="s">
        <v>149</v>
      </c>
      <c r="J364" t="s">
        <v>19</v>
      </c>
      <c r="K364" t="s">
        <v>20</v>
      </c>
      <c r="L364" t="s">
        <v>602</v>
      </c>
      <c r="M364" t="s">
        <v>22</v>
      </c>
    </row>
    <row r="365" spans="1:13" hidden="1" x14ac:dyDescent="0.3">
      <c r="A365" t="s">
        <v>916</v>
      </c>
      <c r="B365" t="s">
        <v>927</v>
      </c>
      <c r="C365" t="s">
        <v>927</v>
      </c>
      <c r="D365" t="s">
        <v>22</v>
      </c>
      <c r="E365" t="s">
        <v>22</v>
      </c>
      <c r="F365" t="s">
        <v>22</v>
      </c>
      <c r="G365" t="s">
        <v>22</v>
      </c>
      <c r="H365" t="s">
        <v>22</v>
      </c>
      <c r="I365" t="s">
        <v>149</v>
      </c>
      <c r="J365" t="s">
        <v>19</v>
      </c>
      <c r="K365" t="s">
        <v>20</v>
      </c>
      <c r="L365" t="s">
        <v>602</v>
      </c>
      <c r="M365" t="s">
        <v>22</v>
      </c>
    </row>
    <row r="366" spans="1:13" hidden="1" x14ac:dyDescent="0.3">
      <c r="A366" t="s">
        <v>916</v>
      </c>
      <c r="B366" t="s">
        <v>928</v>
      </c>
      <c r="C366" t="s">
        <v>928</v>
      </c>
      <c r="D366" t="s">
        <v>22</v>
      </c>
      <c r="E366" t="s">
        <v>22</v>
      </c>
      <c r="F366" t="s">
        <v>22</v>
      </c>
      <c r="G366" t="s">
        <v>22</v>
      </c>
      <c r="H366" t="s">
        <v>22</v>
      </c>
      <c r="I366" t="s">
        <v>149</v>
      </c>
      <c r="J366" t="s">
        <v>19</v>
      </c>
      <c r="K366" t="s">
        <v>20</v>
      </c>
      <c r="L366" t="s">
        <v>602</v>
      </c>
      <c r="M366" t="s">
        <v>22</v>
      </c>
    </row>
    <row r="367" spans="1:13" hidden="1" x14ac:dyDescent="0.3">
      <c r="A367" t="s">
        <v>916</v>
      </c>
      <c r="B367" t="s">
        <v>929</v>
      </c>
      <c r="C367" t="s">
        <v>929</v>
      </c>
      <c r="D367" t="s">
        <v>22</v>
      </c>
      <c r="E367" t="s">
        <v>22</v>
      </c>
      <c r="F367" t="s">
        <v>22</v>
      </c>
      <c r="G367" t="s">
        <v>22</v>
      </c>
      <c r="H367" t="s">
        <v>22</v>
      </c>
      <c r="I367" t="s">
        <v>149</v>
      </c>
      <c r="J367" t="s">
        <v>19</v>
      </c>
      <c r="K367" t="s">
        <v>20</v>
      </c>
      <c r="L367" t="s">
        <v>602</v>
      </c>
      <c r="M367" t="s">
        <v>22</v>
      </c>
    </row>
    <row r="368" spans="1:13" hidden="1" x14ac:dyDescent="0.3">
      <c r="A368" t="s">
        <v>916</v>
      </c>
      <c r="B368" t="s">
        <v>930</v>
      </c>
      <c r="C368" t="s">
        <v>930</v>
      </c>
      <c r="D368" t="s">
        <v>22</v>
      </c>
      <c r="E368" t="s">
        <v>22</v>
      </c>
      <c r="F368" t="s">
        <v>22</v>
      </c>
      <c r="G368" t="s">
        <v>22</v>
      </c>
      <c r="H368" t="s">
        <v>22</v>
      </c>
      <c r="I368" t="s">
        <v>149</v>
      </c>
      <c r="J368" t="s">
        <v>19</v>
      </c>
      <c r="K368" t="s">
        <v>20</v>
      </c>
      <c r="L368" t="s">
        <v>602</v>
      </c>
      <c r="M368" t="s">
        <v>22</v>
      </c>
    </row>
    <row r="369" spans="1:13" hidden="1" x14ac:dyDescent="0.3">
      <c r="A369" t="s">
        <v>916</v>
      </c>
      <c r="B369" t="s">
        <v>931</v>
      </c>
      <c r="C369" t="s">
        <v>931</v>
      </c>
      <c r="D369" t="s">
        <v>22</v>
      </c>
      <c r="E369" t="s">
        <v>22</v>
      </c>
      <c r="F369" t="s">
        <v>22</v>
      </c>
      <c r="G369" t="s">
        <v>22</v>
      </c>
      <c r="H369" t="s">
        <v>22</v>
      </c>
      <c r="I369" t="s">
        <v>149</v>
      </c>
      <c r="J369" t="s">
        <v>19</v>
      </c>
      <c r="K369" t="s">
        <v>20</v>
      </c>
      <c r="L369" t="s">
        <v>602</v>
      </c>
      <c r="M369" t="s">
        <v>22</v>
      </c>
    </row>
    <row r="370" spans="1:13" hidden="1" x14ac:dyDescent="0.3">
      <c r="A370" t="s">
        <v>916</v>
      </c>
      <c r="B370" t="s">
        <v>932</v>
      </c>
      <c r="C370" t="s">
        <v>932</v>
      </c>
      <c r="D370" t="s">
        <v>22</v>
      </c>
      <c r="E370" t="s">
        <v>22</v>
      </c>
      <c r="F370" t="s">
        <v>22</v>
      </c>
      <c r="G370" t="s">
        <v>22</v>
      </c>
      <c r="H370" t="s">
        <v>22</v>
      </c>
      <c r="I370" t="s">
        <v>149</v>
      </c>
      <c r="J370" t="s">
        <v>19</v>
      </c>
      <c r="K370" t="s">
        <v>20</v>
      </c>
      <c r="L370" t="s">
        <v>602</v>
      </c>
      <c r="M370" t="s">
        <v>22</v>
      </c>
    </row>
    <row r="371" spans="1:13" hidden="1" x14ac:dyDescent="0.3">
      <c r="A371" t="s">
        <v>916</v>
      </c>
      <c r="B371" t="s">
        <v>933</v>
      </c>
      <c r="C371" t="s">
        <v>933</v>
      </c>
      <c r="D371" t="s">
        <v>22</v>
      </c>
      <c r="E371" t="s">
        <v>22</v>
      </c>
      <c r="F371" t="s">
        <v>22</v>
      </c>
      <c r="G371" t="s">
        <v>22</v>
      </c>
      <c r="H371" t="s">
        <v>22</v>
      </c>
      <c r="I371" t="s">
        <v>149</v>
      </c>
      <c r="J371" t="s">
        <v>19</v>
      </c>
      <c r="K371" t="s">
        <v>20</v>
      </c>
      <c r="L371" t="s">
        <v>602</v>
      </c>
      <c r="M371" t="s">
        <v>22</v>
      </c>
    </row>
    <row r="372" spans="1:13" hidden="1" x14ac:dyDescent="0.3">
      <c r="A372" t="s">
        <v>916</v>
      </c>
      <c r="B372" t="s">
        <v>934</v>
      </c>
      <c r="C372" t="s">
        <v>934</v>
      </c>
      <c r="D372" t="s">
        <v>22</v>
      </c>
      <c r="E372" t="s">
        <v>22</v>
      </c>
      <c r="F372" t="s">
        <v>22</v>
      </c>
      <c r="G372" t="s">
        <v>22</v>
      </c>
      <c r="H372" t="s">
        <v>22</v>
      </c>
      <c r="I372" t="s">
        <v>149</v>
      </c>
      <c r="J372" t="s">
        <v>19</v>
      </c>
      <c r="K372" t="s">
        <v>20</v>
      </c>
      <c r="L372" t="s">
        <v>602</v>
      </c>
      <c r="M372" t="s">
        <v>22</v>
      </c>
    </row>
    <row r="373" spans="1:13" hidden="1" x14ac:dyDescent="0.3">
      <c r="A373" t="s">
        <v>935</v>
      </c>
      <c r="B373" t="s">
        <v>936</v>
      </c>
      <c r="C373" t="s">
        <v>936</v>
      </c>
      <c r="D373" t="s">
        <v>22</v>
      </c>
      <c r="E373" t="s">
        <v>22</v>
      </c>
      <c r="F373" t="s">
        <v>22</v>
      </c>
      <c r="G373" t="s">
        <v>22</v>
      </c>
      <c r="H373" t="s">
        <v>29</v>
      </c>
      <c r="I373" t="s">
        <v>149</v>
      </c>
      <c r="J373" t="s">
        <v>19</v>
      </c>
      <c r="K373" t="s">
        <v>20</v>
      </c>
      <c r="L373" t="s">
        <v>21</v>
      </c>
      <c r="M373" t="s">
        <v>22</v>
      </c>
    </row>
    <row r="374" spans="1:13" hidden="1" x14ac:dyDescent="0.3">
      <c r="A374" t="s">
        <v>935</v>
      </c>
      <c r="B374" t="s">
        <v>937</v>
      </c>
      <c r="C374" t="s">
        <v>937</v>
      </c>
      <c r="D374" t="s">
        <v>22</v>
      </c>
      <c r="E374" t="s">
        <v>22</v>
      </c>
      <c r="F374" t="s">
        <v>22</v>
      </c>
      <c r="G374" t="s">
        <v>22</v>
      </c>
      <c r="H374" t="s">
        <v>29</v>
      </c>
      <c r="I374" t="s">
        <v>149</v>
      </c>
      <c r="J374" t="s">
        <v>19</v>
      </c>
      <c r="K374" t="s">
        <v>20</v>
      </c>
      <c r="L374" t="s">
        <v>21</v>
      </c>
      <c r="M374" t="s">
        <v>22</v>
      </c>
    </row>
    <row r="375" spans="1:13" hidden="1" x14ac:dyDescent="0.3">
      <c r="A375" t="s">
        <v>935</v>
      </c>
      <c r="B375" t="s">
        <v>938</v>
      </c>
      <c r="C375" t="s">
        <v>938</v>
      </c>
      <c r="D375" t="s">
        <v>22</v>
      </c>
      <c r="E375" t="s">
        <v>22</v>
      </c>
      <c r="F375" t="s">
        <v>22</v>
      </c>
      <c r="G375" t="s">
        <v>22</v>
      </c>
      <c r="H375" t="s">
        <v>29</v>
      </c>
      <c r="I375" t="s">
        <v>149</v>
      </c>
      <c r="J375" t="s">
        <v>19</v>
      </c>
      <c r="K375" t="s">
        <v>20</v>
      </c>
      <c r="L375" t="s">
        <v>21</v>
      </c>
      <c r="M375" t="s">
        <v>22</v>
      </c>
    </row>
    <row r="376" spans="1:13" hidden="1" x14ac:dyDescent="0.3">
      <c r="A376" t="s">
        <v>935</v>
      </c>
      <c r="B376" t="s">
        <v>939</v>
      </c>
      <c r="C376" t="s">
        <v>939</v>
      </c>
      <c r="D376" t="s">
        <v>22</v>
      </c>
      <c r="E376" t="s">
        <v>22</v>
      </c>
      <c r="F376" t="s">
        <v>22</v>
      </c>
      <c r="G376" t="s">
        <v>22</v>
      </c>
      <c r="H376" t="s">
        <v>29</v>
      </c>
      <c r="I376" t="s">
        <v>149</v>
      </c>
      <c r="J376" t="s">
        <v>19</v>
      </c>
      <c r="K376" t="s">
        <v>20</v>
      </c>
      <c r="L376" t="s">
        <v>21</v>
      </c>
      <c r="M376" t="s">
        <v>22</v>
      </c>
    </row>
    <row r="377" spans="1:13" hidden="1" x14ac:dyDescent="0.3">
      <c r="A377" t="s">
        <v>935</v>
      </c>
      <c r="B377" t="s">
        <v>940</v>
      </c>
      <c r="C377" t="s">
        <v>940</v>
      </c>
      <c r="D377" t="s">
        <v>22</v>
      </c>
      <c r="E377" t="s">
        <v>22</v>
      </c>
      <c r="F377" t="s">
        <v>22</v>
      </c>
      <c r="G377" t="s">
        <v>22</v>
      </c>
      <c r="H377" t="s">
        <v>29</v>
      </c>
      <c r="I377" t="s">
        <v>149</v>
      </c>
      <c r="J377" t="s">
        <v>19</v>
      </c>
      <c r="K377" t="s">
        <v>20</v>
      </c>
      <c r="L377" t="s">
        <v>21</v>
      </c>
      <c r="M377" t="s">
        <v>22</v>
      </c>
    </row>
    <row r="378" spans="1:13" hidden="1" x14ac:dyDescent="0.3">
      <c r="A378" t="s">
        <v>935</v>
      </c>
      <c r="B378" t="s">
        <v>941</v>
      </c>
      <c r="C378" t="s">
        <v>941</v>
      </c>
      <c r="D378" t="s">
        <v>22</v>
      </c>
      <c r="E378" t="s">
        <v>22</v>
      </c>
      <c r="F378" t="s">
        <v>22</v>
      </c>
      <c r="G378" t="s">
        <v>22</v>
      </c>
      <c r="H378" t="s">
        <v>29</v>
      </c>
      <c r="I378" t="s">
        <v>149</v>
      </c>
      <c r="J378" t="s">
        <v>19</v>
      </c>
      <c r="K378" t="s">
        <v>20</v>
      </c>
      <c r="L378" t="s">
        <v>21</v>
      </c>
      <c r="M378" t="s">
        <v>22</v>
      </c>
    </row>
    <row r="379" spans="1:13" hidden="1" x14ac:dyDescent="0.3">
      <c r="A379" t="s">
        <v>935</v>
      </c>
      <c r="B379" t="s">
        <v>942</v>
      </c>
      <c r="C379" t="s">
        <v>942</v>
      </c>
      <c r="D379" t="s">
        <v>22</v>
      </c>
      <c r="E379" t="s">
        <v>22</v>
      </c>
      <c r="F379" t="s">
        <v>22</v>
      </c>
      <c r="G379" t="s">
        <v>22</v>
      </c>
      <c r="H379" t="s">
        <v>29</v>
      </c>
      <c r="I379" t="s">
        <v>149</v>
      </c>
      <c r="J379" t="s">
        <v>19</v>
      </c>
      <c r="K379" t="s">
        <v>20</v>
      </c>
      <c r="L379" t="s">
        <v>21</v>
      </c>
      <c r="M379" t="s">
        <v>22</v>
      </c>
    </row>
    <row r="380" spans="1:13" hidden="1" x14ac:dyDescent="0.3">
      <c r="A380" t="s">
        <v>935</v>
      </c>
      <c r="B380" t="s">
        <v>943</v>
      </c>
      <c r="C380" t="s">
        <v>943</v>
      </c>
      <c r="D380" t="s">
        <v>22</v>
      </c>
      <c r="E380" t="s">
        <v>22</v>
      </c>
      <c r="F380" t="s">
        <v>22</v>
      </c>
      <c r="G380" t="s">
        <v>22</v>
      </c>
      <c r="H380" t="s">
        <v>29</v>
      </c>
      <c r="I380" t="s">
        <v>149</v>
      </c>
      <c r="J380" t="s">
        <v>19</v>
      </c>
      <c r="K380" t="s">
        <v>20</v>
      </c>
      <c r="L380" t="s">
        <v>21</v>
      </c>
      <c r="M380" t="s">
        <v>22</v>
      </c>
    </row>
    <row r="381" spans="1:13" hidden="1" x14ac:dyDescent="0.3">
      <c r="A381" t="s">
        <v>944</v>
      </c>
      <c r="B381" t="s">
        <v>945</v>
      </c>
      <c r="C381" t="s">
        <v>945</v>
      </c>
      <c r="D381" t="s">
        <v>946</v>
      </c>
      <c r="E381" t="s">
        <v>946</v>
      </c>
      <c r="F381" t="s">
        <v>946</v>
      </c>
      <c r="G381" t="s">
        <v>946</v>
      </c>
      <c r="H381" t="s">
        <v>946</v>
      </c>
      <c r="I381" t="s">
        <v>149</v>
      </c>
      <c r="J381" t="s">
        <v>19</v>
      </c>
      <c r="K381" t="s">
        <v>20</v>
      </c>
      <c r="L381" t="s">
        <v>22</v>
      </c>
      <c r="M381" t="s">
        <v>22</v>
      </c>
    </row>
    <row r="382" spans="1:13" hidden="1" x14ac:dyDescent="0.3">
      <c r="A382" t="s">
        <v>947</v>
      </c>
      <c r="B382" t="s">
        <v>948</v>
      </c>
      <c r="C382" t="s">
        <v>949</v>
      </c>
      <c r="D382" t="s">
        <v>948</v>
      </c>
      <c r="E382" t="s">
        <v>948</v>
      </c>
      <c r="F382" t="s">
        <v>147</v>
      </c>
      <c r="G382" t="s">
        <v>946</v>
      </c>
      <c r="H382" t="s">
        <v>946</v>
      </c>
      <c r="I382" t="s">
        <v>149</v>
      </c>
      <c r="J382" t="s">
        <v>19</v>
      </c>
      <c r="K382" t="s">
        <v>601</v>
      </c>
      <c r="L382" t="s">
        <v>118</v>
      </c>
      <c r="M382" t="s">
        <v>22</v>
      </c>
    </row>
    <row r="383" spans="1:13" hidden="1" x14ac:dyDescent="0.3">
      <c r="A383" t="s">
        <v>947</v>
      </c>
      <c r="B383" t="s">
        <v>950</v>
      </c>
      <c r="C383" t="s">
        <v>949</v>
      </c>
      <c r="D383" t="s">
        <v>950</v>
      </c>
      <c r="E383" t="s">
        <v>950</v>
      </c>
      <c r="F383" t="s">
        <v>951</v>
      </c>
      <c r="G383" t="s">
        <v>946</v>
      </c>
      <c r="H383" t="s">
        <v>946</v>
      </c>
      <c r="I383" t="s">
        <v>149</v>
      </c>
      <c r="J383" t="s">
        <v>19</v>
      </c>
      <c r="K383" t="s">
        <v>601</v>
      </c>
      <c r="L383" t="s">
        <v>21</v>
      </c>
      <c r="M383" t="s">
        <v>22</v>
      </c>
    </row>
    <row r="384" spans="1:13" hidden="1" x14ac:dyDescent="0.3">
      <c r="A384" t="s">
        <v>947</v>
      </c>
      <c r="B384" t="s">
        <v>952</v>
      </c>
      <c r="C384" t="s">
        <v>949</v>
      </c>
      <c r="D384" t="s">
        <v>952</v>
      </c>
      <c r="E384" t="s">
        <v>952</v>
      </c>
      <c r="F384" t="s">
        <v>951</v>
      </c>
      <c r="G384" t="s">
        <v>946</v>
      </c>
      <c r="H384" t="s">
        <v>946</v>
      </c>
      <c r="I384" t="s">
        <v>149</v>
      </c>
      <c r="J384" t="s">
        <v>19</v>
      </c>
      <c r="K384" t="s">
        <v>601</v>
      </c>
      <c r="L384" t="s">
        <v>21</v>
      </c>
      <c r="M384" t="s">
        <v>22</v>
      </c>
    </row>
    <row r="385" spans="1:13" hidden="1" x14ac:dyDescent="0.3">
      <c r="A385" t="s">
        <v>947</v>
      </c>
      <c r="B385" t="s">
        <v>953</v>
      </c>
      <c r="C385" t="s">
        <v>949</v>
      </c>
      <c r="D385" t="s">
        <v>953</v>
      </c>
      <c r="E385" t="s">
        <v>953</v>
      </c>
      <c r="F385" t="s">
        <v>951</v>
      </c>
      <c r="G385" t="s">
        <v>946</v>
      </c>
      <c r="H385" t="s">
        <v>946</v>
      </c>
      <c r="I385" t="s">
        <v>149</v>
      </c>
      <c r="J385" t="s">
        <v>19</v>
      </c>
      <c r="K385" t="s">
        <v>601</v>
      </c>
      <c r="L385" t="s">
        <v>21</v>
      </c>
      <c r="M385" t="s">
        <v>22</v>
      </c>
    </row>
  </sheetData>
  <autoFilter ref="A1:M385" xr:uid="{037EC2B0-13F4-4AA9-82F0-D78FAEDE6409}">
    <filterColumn colId="0">
      <filters>
        <filter val="hm14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AD973-FF8C-4C06-BDEB-2C5356577435}">
  <dimension ref="A1:AQ95"/>
  <sheetViews>
    <sheetView topLeftCell="A46" zoomScaleNormal="100" workbookViewId="0">
      <selection activeCell="AQ70" sqref="AQ70:AQ94"/>
    </sheetView>
  </sheetViews>
  <sheetFormatPr defaultRowHeight="10.15" x14ac:dyDescent="0.3"/>
  <cols>
    <col min="14" max="14" width="3.25" customWidth="1"/>
    <col min="15" max="17" width="2.75" customWidth="1"/>
    <col min="18" max="18" width="9.9140625" customWidth="1"/>
    <col min="19" max="27" width="2.75" customWidth="1"/>
    <col min="29" max="29" width="4" customWidth="1"/>
    <col min="32" max="32" width="33.3320312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0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C1" t="s">
        <v>0</v>
      </c>
      <c r="AD1" t="s">
        <v>1</v>
      </c>
      <c r="AE1" t="s">
        <v>2</v>
      </c>
      <c r="AF1" t="s">
        <v>3</v>
      </c>
      <c r="AG1" t="s">
        <v>4</v>
      </c>
      <c r="AH1" t="s">
        <v>5</v>
      </c>
      <c r="AI1" t="s">
        <v>6</v>
      </c>
      <c r="AJ1" t="s">
        <v>7</v>
      </c>
      <c r="AK1" t="s">
        <v>8</v>
      </c>
      <c r="AL1" t="s">
        <v>9</v>
      </c>
      <c r="AM1" t="s">
        <v>10</v>
      </c>
      <c r="AN1" t="s">
        <v>11</v>
      </c>
      <c r="AO1" t="s">
        <v>12</v>
      </c>
    </row>
    <row r="2" spans="1:43" x14ac:dyDescent="0.3">
      <c r="A2" t="s">
        <v>298</v>
      </c>
      <c r="B2" t="s">
        <v>299</v>
      </c>
      <c r="C2" t="s">
        <v>300</v>
      </c>
      <c r="D2" t="s">
        <v>301</v>
      </c>
      <c r="E2" t="s">
        <v>302</v>
      </c>
      <c r="F2" t="s">
        <v>22</v>
      </c>
      <c r="G2" t="s">
        <v>303</v>
      </c>
      <c r="H2" t="s">
        <v>304</v>
      </c>
      <c r="I2" t="s">
        <v>149</v>
      </c>
      <c r="J2" t="s">
        <v>19</v>
      </c>
      <c r="K2" t="s">
        <v>20</v>
      </c>
      <c r="L2" t="s">
        <v>21</v>
      </c>
      <c r="M2" t="s">
        <v>22</v>
      </c>
      <c r="O2" s="1" t="str">
        <f>REPT(" ",(A$15-LEN(A2)+2))</f>
        <v xml:space="preserve">  </v>
      </c>
      <c r="P2" s="1" t="str">
        <f t="shared" ref="P2:AA2" si="0">REPT(" ",(B$15-LEN(B2)+2))</f>
        <v xml:space="preserve">   </v>
      </c>
      <c r="Q2" s="1" t="str">
        <f t="shared" si="0"/>
        <v xml:space="preserve">         </v>
      </c>
      <c r="R2" s="1" t="str">
        <f t="shared" si="0"/>
        <v xml:space="preserve">           </v>
      </c>
      <c r="S2" s="1" t="str">
        <f t="shared" si="0"/>
        <v xml:space="preserve">                      </v>
      </c>
      <c r="T2" s="1" t="str">
        <f t="shared" si="0"/>
        <v xml:space="preserve">  </v>
      </c>
      <c r="U2" s="1" t="str">
        <f t="shared" si="0"/>
        <v xml:space="preserve">       </v>
      </c>
      <c r="V2" s="1" t="str">
        <f t="shared" si="0"/>
        <v xml:space="preserve">    </v>
      </c>
      <c r="W2" s="1" t="str">
        <f t="shared" si="0"/>
        <v xml:space="preserve">   </v>
      </c>
      <c r="X2" s="1" t="str">
        <f t="shared" si="0"/>
        <v xml:space="preserve">  </v>
      </c>
      <c r="Y2" s="1" t="str">
        <f t="shared" si="0"/>
        <v xml:space="preserve">  </v>
      </c>
      <c r="Z2" s="1" t="str">
        <f t="shared" si="0"/>
        <v xml:space="preserve">  </v>
      </c>
      <c r="AA2" s="1" t="str">
        <f t="shared" si="0"/>
        <v xml:space="preserve">  </v>
      </c>
      <c r="AC2" s="1" t="str">
        <f>""""&amp;A$1&amp;""""&amp;": "&amp;""""&amp;A2&amp;""""&amp;O2</f>
        <v xml:space="preserve">"Data": "hm3"  </v>
      </c>
      <c r="AD2" s="1" t="str">
        <f t="shared" ref="AD2:AD13" si="1">""""&amp;B$1&amp;""""&amp;": "&amp;""""&amp;B2&amp;""""&amp;P2</f>
        <v xml:space="preserve">"ID": "QBLD.Q.B11N1BZR1.ns"   </v>
      </c>
      <c r="AE2" s="1" t="str">
        <f t="shared" ref="AE2:AE13" si="2">""""&amp;C$1&amp;""""&amp;": "&amp;""""&amp;C2&amp;""""&amp;Q2</f>
        <v xml:space="preserve">"Name": "Residential Building Consents (s.a.)"         </v>
      </c>
      <c r="AF2" s="1" t="str">
        <f t="shared" ref="AF2:AF13" si="3">""""&amp;D$1&amp;""""&amp;": "&amp;""""&amp;D2&amp;""""&amp;R2</f>
        <v xml:space="preserve">"Class_1": "Residential consents"           </v>
      </c>
      <c r="AG2" s="1" t="str">
        <f t="shared" ref="AG2:AG13" si="4">""""&amp;E$1&amp;""""&amp;": "&amp;""""&amp;E2&amp;""""&amp;S2</f>
        <v xml:space="preserve">"Class_2": "Building consents - residential dwellings (Number s.a.)"                      </v>
      </c>
      <c r="AH2" s="1" t="str">
        <f t="shared" ref="AH2:AH13" si="5">""""&amp;F$1&amp;""""&amp;": "&amp;""""&amp;F2&amp;""""&amp;T2</f>
        <v xml:space="preserve">"Class_3": "NA"  </v>
      </c>
      <c r="AI2" s="1" t="str">
        <f t="shared" ref="AI2:AI13" si="6">""""&amp;G$1&amp;""""&amp;": "&amp;""""&amp;G2&amp;""""&amp;U2</f>
        <v xml:space="preserve">"Unit": "no s.a."       </v>
      </c>
      <c r="AJ2" s="1" t="str">
        <f t="shared" ref="AJ2:AJ13" si="7">""""&amp;H$1&amp;""""&amp;": "&amp;""""&amp;H2&amp;""""&amp;V2</f>
        <v xml:space="preserve">"Dim": "Number"    </v>
      </c>
      <c r="AK2" s="1" t="str">
        <f t="shared" ref="AK2:AK13" si="8">""""&amp;I$1&amp;""""&amp;": "&amp;""""&amp;I2&amp;""""&amp;W2</f>
        <v xml:space="preserve">"Tick": ",d"   </v>
      </c>
      <c r="AL2" s="1" t="str">
        <f t="shared" ref="AL2:AL13" si="9">""""&amp;J$1&amp;""""&amp;": "&amp;""""&amp;J2&amp;""""&amp;X2</f>
        <v xml:space="preserve">"Palette": "qual"  </v>
      </c>
      <c r="AM2" s="1" t="str">
        <f t="shared" ref="AM2:AM13" si="10">""""&amp;K$1&amp;""""&amp;": "&amp;""""&amp;K2&amp;""""&amp;Y2</f>
        <v xml:space="preserve">"ColourKey": "black"  </v>
      </c>
      <c r="AN2" s="1" t="str">
        <f t="shared" ref="AN2:AN13" si="11">""""&amp;L$1&amp;""""&amp;": "&amp;""""&amp;L2&amp;""""&amp;Z2</f>
        <v xml:space="preserve">"Style": "Line"  </v>
      </c>
      <c r="AO2" s="1" t="str">
        <f t="shared" ref="AO2:AO13" si="12">""""&amp;M$1&amp;""""&amp;": "&amp;""""&amp;M2&amp;""""&amp;AA2</f>
        <v xml:space="preserve">"Prefix": "NA"  </v>
      </c>
      <c r="AQ2" s="1" t="str">
        <f>"{ "&amp;_xlfn.TEXTJOIN(", ",FALSE,AC2:AO2)&amp;" },"</f>
        <v>{ "Data": "hm3"  , "ID": "QBLD.Q.B11N1BZR1.ns"   , "Name": "Residential Building Consents (s.a.)"         , "Class_1": "Residential consents"           , "Class_2": "Building consents - residential dwellings (Number s.a.)"                      , "Class_3": "NA"  , "Unit": "no s.a."       , "Dim": "Number"    , "Tick": ",d"   , "Palette": "qual"  , "ColourKey": "black"  , "Style": "Line"  , "Prefix": "NA"   },</v>
      </c>
    </row>
    <row r="3" spans="1:43" x14ac:dyDescent="0.3">
      <c r="A3" t="s">
        <v>298</v>
      </c>
      <c r="B3" t="s">
        <v>305</v>
      </c>
      <c r="C3" t="s">
        <v>306</v>
      </c>
      <c r="D3" t="s">
        <v>301</v>
      </c>
      <c r="E3" t="s">
        <v>307</v>
      </c>
      <c r="F3" t="s">
        <v>22</v>
      </c>
      <c r="G3" t="s">
        <v>264</v>
      </c>
      <c r="H3" t="s">
        <v>194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O3" s="1" t="str">
        <f t="shared" ref="O3:O13" si="13">REPT(" ",(A$15-LEN(A3)+2))</f>
        <v xml:space="preserve">  </v>
      </c>
      <c r="P3" s="1" t="str">
        <f t="shared" ref="P3:P13" si="14">REPT(" ",(B$15-LEN(B3)+2))</f>
        <v xml:space="preserve">  </v>
      </c>
      <c r="Q3" s="1" t="str">
        <f t="shared" ref="Q3:Q13" si="15">REPT(" ",(C$15-LEN(C3)+2))</f>
        <v xml:space="preserve">    </v>
      </c>
      <c r="R3" s="1" t="str">
        <f t="shared" ref="R3:R13" si="16">REPT(" ",(D$15-LEN(D3)+2))</f>
        <v xml:space="preserve">           </v>
      </c>
      <c r="S3" s="1" t="str">
        <f t="shared" ref="S3:S13" si="17">REPT(" ",(E$15-LEN(E3)+2))</f>
        <v xml:space="preserve">                        </v>
      </c>
      <c r="T3" s="1" t="str">
        <f t="shared" ref="T3:T13" si="18">REPT(" ",(F$15-LEN(F3)+2))</f>
        <v xml:space="preserve">  </v>
      </c>
      <c r="U3" s="1" t="str">
        <f t="shared" ref="U3:U13" si="19">REPT(" ",(G$15-LEN(G3)+2))</f>
        <v xml:space="preserve">        </v>
      </c>
      <c r="V3" s="1" t="str">
        <f t="shared" ref="V3:V13" si="20">REPT(" ",(H$15-LEN(H3)+2))</f>
        <v xml:space="preserve">      </v>
      </c>
      <c r="W3" s="1" t="str">
        <f t="shared" ref="W3:W13" si="21">REPT(" ",(I$15-LEN(I3)+2))</f>
        <v xml:space="preserve">  </v>
      </c>
      <c r="X3" s="1" t="str">
        <f t="shared" ref="X3:X13" si="22">REPT(" ",(J$15-LEN(J3)+2))</f>
        <v xml:space="preserve">  </v>
      </c>
      <c r="Y3" s="1" t="str">
        <f t="shared" ref="Y3:Y13" si="23">REPT(" ",(K$15-LEN(K3)+2))</f>
        <v xml:space="preserve">  </v>
      </c>
      <c r="Z3" s="1" t="str">
        <f t="shared" ref="Z3:Z13" si="24">REPT(" ",(L$15-LEN(L3)+2))</f>
        <v xml:space="preserve">  </v>
      </c>
      <c r="AA3" s="1" t="str">
        <f t="shared" ref="AA3:AA13" si="25">REPT(" ",(M$15-LEN(M3)+2))</f>
        <v xml:space="preserve">  </v>
      </c>
      <c r="AC3" s="1" t="str">
        <f t="shared" ref="AC3:AC13" si="26">""""&amp;A$1&amp;""""&amp;": "&amp;""""&amp;A3&amp;""""&amp;O3</f>
        <v xml:space="preserve">"Data": "hm3"  </v>
      </c>
      <c r="AD3" s="1" t="str">
        <f t="shared" si="1"/>
        <v xml:space="preserve">"ID": "QBLD.Q.B11N1BZR1.nsq"  </v>
      </c>
      <c r="AE3" s="1" t="str">
        <f t="shared" si="2"/>
        <v xml:space="preserve">"Name": "Residential Building Consents (q/q% s.a.)"    </v>
      </c>
      <c r="AF3" s="1" t="str">
        <f t="shared" si="3"/>
        <v xml:space="preserve">"Class_1": "Residential consents"           </v>
      </c>
      <c r="AG3" s="1" t="str">
        <f t="shared" si="4"/>
        <v xml:space="preserve">"Class_2": "Building consents - residential dwellings (q/q% s.a.)"                        </v>
      </c>
      <c r="AH3" s="1" t="str">
        <f t="shared" si="5"/>
        <v xml:space="preserve">"Class_3": "NA"  </v>
      </c>
      <c r="AI3" s="1" t="str">
        <f t="shared" si="6"/>
        <v xml:space="preserve">"Unit": "% s.a."        </v>
      </c>
      <c r="AJ3" s="1" t="str">
        <f t="shared" si="7"/>
        <v xml:space="preserve">"Dim": "q/q%"      </v>
      </c>
      <c r="AK3" s="1" t="str">
        <f t="shared" si="8"/>
        <v xml:space="preserve">"Tick": ".0f"  </v>
      </c>
      <c r="AL3" s="1" t="str">
        <f t="shared" si="9"/>
        <v xml:space="preserve">"Palette": "qual"  </v>
      </c>
      <c r="AM3" s="1" t="str">
        <f t="shared" si="10"/>
        <v xml:space="preserve">"ColourKey": "black"  </v>
      </c>
      <c r="AN3" s="1" t="str">
        <f t="shared" si="11"/>
        <v xml:space="preserve">"Style": "Line"  </v>
      </c>
      <c r="AO3" s="1" t="str">
        <f t="shared" si="12"/>
        <v xml:space="preserve">"Prefix": "NA"  </v>
      </c>
      <c r="AQ3" s="1" t="str">
        <f t="shared" ref="AQ3:AQ13" si="27">"{ "&amp;_xlfn.TEXTJOIN(", ",FALSE,AC3:AO3)&amp;" },"</f>
        <v>{ "Data": "hm3"  , "ID": "QBLD.Q.B11N1BZR1.nsq"  , "Name": "Residential Building Consents (q/q% s.a.)"    , "Class_1": "Residential consents"           , "Class_2": "Building consents - residential dwellings (q/q% s.a.)"                        , "Class_3": "NA"  , "Unit": "% s.a."        , "Dim": "q/q%"      , "Tick": ".0f"  , "Palette": "qual"  , "ColourKey": "black"  , "Style": "Line"  , "Prefix": "NA"   },</v>
      </c>
    </row>
    <row r="4" spans="1:43" x14ac:dyDescent="0.3">
      <c r="A4" t="s">
        <v>298</v>
      </c>
      <c r="B4" t="s">
        <v>308</v>
      </c>
      <c r="C4" t="s">
        <v>309</v>
      </c>
      <c r="D4" t="s">
        <v>310</v>
      </c>
      <c r="E4" t="s">
        <v>311</v>
      </c>
      <c r="F4" t="s">
        <v>22</v>
      </c>
      <c r="G4" t="s">
        <v>270</v>
      </c>
      <c r="H4" t="s">
        <v>312</v>
      </c>
      <c r="I4" t="s">
        <v>149</v>
      </c>
      <c r="J4" t="s">
        <v>19</v>
      </c>
      <c r="K4" t="s">
        <v>20</v>
      </c>
      <c r="L4" t="s">
        <v>21</v>
      </c>
      <c r="M4" t="s">
        <v>22</v>
      </c>
      <c r="O4" s="1" t="str">
        <f t="shared" si="13"/>
        <v xml:space="preserve">  </v>
      </c>
      <c r="P4" s="1" t="str">
        <f t="shared" si="14"/>
        <v xml:space="preserve">         </v>
      </c>
      <c r="Q4" s="1" t="str">
        <f t="shared" si="15"/>
        <v xml:space="preserve">        </v>
      </c>
      <c r="R4" s="1" t="str">
        <f t="shared" si="16"/>
        <v xml:space="preserve">  </v>
      </c>
      <c r="S4" s="1" t="str">
        <f t="shared" si="17"/>
        <v xml:space="preserve">        </v>
      </c>
      <c r="T4" s="1" t="str">
        <f t="shared" si="18"/>
        <v xml:space="preserve">  </v>
      </c>
      <c r="U4" s="1" t="str">
        <f t="shared" si="19"/>
        <v xml:space="preserve">       </v>
      </c>
      <c r="V4" s="1" t="str">
        <f t="shared" si="20"/>
        <v xml:space="preserve">   </v>
      </c>
      <c r="W4" s="1" t="str">
        <f t="shared" si="21"/>
        <v xml:space="preserve">   </v>
      </c>
      <c r="X4" s="1" t="str">
        <f t="shared" si="22"/>
        <v xml:space="preserve">  </v>
      </c>
      <c r="Y4" s="1" t="str">
        <f t="shared" si="23"/>
        <v xml:space="preserve">  </v>
      </c>
      <c r="Z4" s="1" t="str">
        <f t="shared" si="24"/>
        <v xml:space="preserve">  </v>
      </c>
      <c r="AA4" s="1" t="str">
        <f t="shared" si="25"/>
        <v xml:space="preserve">  </v>
      </c>
      <c r="AC4" s="1" t="str">
        <f t="shared" si="26"/>
        <v xml:space="preserve">"Data": "hm3"  </v>
      </c>
      <c r="AD4" s="1" t="str">
        <f t="shared" si="1"/>
        <v xml:space="preserve">"ID": "GDE.Q.EI24.RA"         </v>
      </c>
      <c r="AE4" s="1" t="str">
        <f t="shared" si="2"/>
        <v xml:space="preserve">"Name": "Residential buildings (GDP) (Real $m)"        </v>
      </c>
      <c r="AF4" s="1" t="str">
        <f t="shared" si="3"/>
        <v xml:space="preserve">"Class_1": "Gross fixed capital formation"  </v>
      </c>
      <c r="AG4" s="1" t="str">
        <f t="shared" si="4"/>
        <v xml:space="preserve">"Class_2": "Gross fixed capital formation - residential buildings (GDP) (Real $m)"        </v>
      </c>
      <c r="AH4" s="1" t="str">
        <f t="shared" si="5"/>
        <v xml:space="preserve">"Class_3": "NA"  </v>
      </c>
      <c r="AI4" s="1" t="str">
        <f t="shared" si="6"/>
        <v xml:space="preserve">"Unit": "NZDm(r)"       </v>
      </c>
      <c r="AJ4" s="1" t="str">
        <f t="shared" si="7"/>
        <v xml:space="preserve">"Dim": "Real $m"   </v>
      </c>
      <c r="AK4" s="1" t="str">
        <f t="shared" si="8"/>
        <v xml:space="preserve">"Tick": ",d"   </v>
      </c>
      <c r="AL4" s="1" t="str">
        <f t="shared" si="9"/>
        <v xml:space="preserve">"Palette": "qual"  </v>
      </c>
      <c r="AM4" s="1" t="str">
        <f t="shared" si="10"/>
        <v xml:space="preserve">"ColourKey": "black"  </v>
      </c>
      <c r="AN4" s="1" t="str">
        <f t="shared" si="11"/>
        <v xml:space="preserve">"Style": "Line"  </v>
      </c>
      <c r="AO4" s="1" t="str">
        <f t="shared" si="12"/>
        <v xml:space="preserve">"Prefix": "NA"  </v>
      </c>
      <c r="AQ4" s="1" t="str">
        <f t="shared" si="27"/>
        <v>{ "Data": "hm3"  , "ID": "GDE.Q.EI24.RA"         , "Name": "Residential buildings (GDP) (Real $m)"        , "Class_1": "Gross fixed capital formation"  , "Class_2": "Gross fixed capital formation - residential buildings (GDP) (Real $m)"        , "Class_3": "NA"  , "Unit": "NZDm(r)"       , "Dim": "Real $m"   , "Tick": ",d"   , "Palette": "qual"  , "ColourKey": "black"  , "Style": "Line"  , "Prefix": "NA"   },</v>
      </c>
    </row>
    <row r="5" spans="1:43" x14ac:dyDescent="0.3">
      <c r="A5" t="s">
        <v>298</v>
      </c>
      <c r="B5" t="s">
        <v>313</v>
      </c>
      <c r="C5" t="s">
        <v>314</v>
      </c>
      <c r="D5" t="s">
        <v>310</v>
      </c>
      <c r="E5" t="s">
        <v>315</v>
      </c>
      <c r="F5" t="s">
        <v>22</v>
      </c>
      <c r="G5" t="s">
        <v>273</v>
      </c>
      <c r="H5" t="s">
        <v>312</v>
      </c>
      <c r="I5" t="s">
        <v>149</v>
      </c>
      <c r="J5" t="s">
        <v>19</v>
      </c>
      <c r="K5" t="s">
        <v>20</v>
      </c>
      <c r="L5" t="s">
        <v>21</v>
      </c>
      <c r="M5" t="s">
        <v>22</v>
      </c>
      <c r="O5" s="1" t="str">
        <f t="shared" si="13"/>
        <v xml:space="preserve">  </v>
      </c>
      <c r="P5" s="1" t="str">
        <f t="shared" si="14"/>
        <v xml:space="preserve">         </v>
      </c>
      <c r="Q5" s="1" t="str">
        <f t="shared" si="15"/>
        <v xml:space="preserve">   </v>
      </c>
      <c r="R5" s="1" t="str">
        <f t="shared" si="16"/>
        <v xml:space="preserve">  </v>
      </c>
      <c r="S5" s="1" t="str">
        <f t="shared" si="17"/>
        <v xml:space="preserve">   </v>
      </c>
      <c r="T5" s="1" t="str">
        <f t="shared" si="18"/>
        <v xml:space="preserve">  </v>
      </c>
      <c r="U5" s="1" t="str">
        <f t="shared" si="19"/>
        <v xml:space="preserve">  </v>
      </c>
      <c r="V5" s="1" t="str">
        <f t="shared" si="20"/>
        <v xml:space="preserve">   </v>
      </c>
      <c r="W5" s="1" t="str">
        <f t="shared" si="21"/>
        <v xml:space="preserve">   </v>
      </c>
      <c r="X5" s="1" t="str">
        <f t="shared" si="22"/>
        <v xml:space="preserve">  </v>
      </c>
      <c r="Y5" s="1" t="str">
        <f t="shared" si="23"/>
        <v xml:space="preserve">  </v>
      </c>
      <c r="Z5" s="1" t="str">
        <f t="shared" si="24"/>
        <v xml:space="preserve">  </v>
      </c>
      <c r="AA5" s="1" t="str">
        <f t="shared" si="25"/>
        <v xml:space="preserve">  </v>
      </c>
      <c r="AC5" s="1" t="str">
        <f t="shared" si="26"/>
        <v xml:space="preserve">"Data": "hm3"  </v>
      </c>
      <c r="AD5" s="1" t="str">
        <f t="shared" si="1"/>
        <v xml:space="preserve">"ID": "GDE.Q.EI24.RS"         </v>
      </c>
      <c r="AE5" s="1" t="str">
        <f t="shared" si="2"/>
        <v xml:space="preserve">"Name": "Residential buildings (GDP) (Real $m s.a.)"   </v>
      </c>
      <c r="AF5" s="1" t="str">
        <f t="shared" si="3"/>
        <v xml:space="preserve">"Class_1": "Gross fixed capital formation"  </v>
      </c>
      <c r="AG5" s="1" t="str">
        <f t="shared" si="4"/>
        <v xml:space="preserve">"Class_2": "Gross fixed capital formation - residential buildings (GDP) (Real $m s.a.)"   </v>
      </c>
      <c r="AH5" s="1" t="str">
        <f t="shared" si="5"/>
        <v xml:space="preserve">"Class_3": "NA"  </v>
      </c>
      <c r="AI5" s="1" t="str">
        <f t="shared" si="6"/>
        <v xml:space="preserve">"Unit": "NZDm(r) s.a."  </v>
      </c>
      <c r="AJ5" s="1" t="str">
        <f t="shared" si="7"/>
        <v xml:space="preserve">"Dim": "Real $m"   </v>
      </c>
      <c r="AK5" s="1" t="str">
        <f t="shared" si="8"/>
        <v xml:space="preserve">"Tick": ",d"   </v>
      </c>
      <c r="AL5" s="1" t="str">
        <f t="shared" si="9"/>
        <v xml:space="preserve">"Palette": "qual"  </v>
      </c>
      <c r="AM5" s="1" t="str">
        <f t="shared" si="10"/>
        <v xml:space="preserve">"ColourKey": "black"  </v>
      </c>
      <c r="AN5" s="1" t="str">
        <f t="shared" si="11"/>
        <v xml:space="preserve">"Style": "Line"  </v>
      </c>
      <c r="AO5" s="1" t="str">
        <f t="shared" si="12"/>
        <v xml:space="preserve">"Prefix": "NA"  </v>
      </c>
      <c r="AQ5" s="1" t="str">
        <f t="shared" si="27"/>
        <v>{ "Data": "hm3"  , "ID": "GDE.Q.EI24.RS"         , "Name": "Residential buildings (GDP) (Real $m s.a.)"   , "Class_1": "Gross fixed capital formation"  , "Class_2": "Gross fixed capital formation - residential buildings (GDP) (Real $m s.a.)"   , "Class_3": "NA"  , "Unit": "NZDm(r) s.a."  , "Dim": "Real $m"   , "Tick": ",d"   , "Palette": "qual"  , "ColourKey": "black"  , "Style": "Line"  , "Prefix": "NA"   },</v>
      </c>
    </row>
    <row r="6" spans="1:43" x14ac:dyDescent="0.3">
      <c r="A6" t="s">
        <v>298</v>
      </c>
      <c r="B6" t="s">
        <v>316</v>
      </c>
      <c r="C6" t="s">
        <v>317</v>
      </c>
      <c r="D6" t="s">
        <v>310</v>
      </c>
      <c r="E6" t="s">
        <v>318</v>
      </c>
      <c r="F6" t="s">
        <v>22</v>
      </c>
      <c r="G6" t="s">
        <v>276</v>
      </c>
      <c r="H6" t="s">
        <v>319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O6" s="1" t="str">
        <f t="shared" si="13"/>
        <v xml:space="preserve">  </v>
      </c>
      <c r="P6" s="1" t="str">
        <f t="shared" si="14"/>
        <v xml:space="preserve">        </v>
      </c>
      <c r="Q6" s="1" t="str">
        <f t="shared" si="15"/>
        <v xml:space="preserve">  </v>
      </c>
      <c r="R6" s="1" t="str">
        <f t="shared" si="16"/>
        <v xml:space="preserve">  </v>
      </c>
      <c r="S6" s="1" t="str">
        <f t="shared" si="17"/>
        <v xml:space="preserve">  </v>
      </c>
      <c r="T6" s="1" t="str">
        <f t="shared" si="18"/>
        <v xml:space="preserve">  </v>
      </c>
      <c r="U6" s="1" t="str">
        <f t="shared" si="19"/>
        <v xml:space="preserve">     </v>
      </c>
      <c r="V6" s="1" t="str">
        <f t="shared" si="20"/>
        <v xml:space="preserve">  </v>
      </c>
      <c r="W6" s="1" t="str">
        <f t="shared" si="21"/>
        <v xml:space="preserve">  </v>
      </c>
      <c r="X6" s="1" t="str">
        <f t="shared" si="22"/>
        <v xml:space="preserve">  </v>
      </c>
      <c r="Y6" s="1" t="str">
        <f t="shared" si="23"/>
        <v xml:space="preserve">  </v>
      </c>
      <c r="Z6" s="1" t="str">
        <f t="shared" si="24"/>
        <v xml:space="preserve">  </v>
      </c>
      <c r="AA6" s="1" t="str">
        <f t="shared" si="25"/>
        <v xml:space="preserve">  </v>
      </c>
      <c r="AC6" s="1" t="str">
        <f t="shared" si="26"/>
        <v xml:space="preserve">"Data": "hm3"  </v>
      </c>
      <c r="AD6" s="1" t="str">
        <f t="shared" si="1"/>
        <v xml:space="preserve">"ID": "GDE.Q.EI24.rsq"        </v>
      </c>
      <c r="AE6" s="1" t="str">
        <f t="shared" si="2"/>
        <v xml:space="preserve">"Name": "Residential buildings (GDP) (Real q/q% s.a)"  </v>
      </c>
      <c r="AF6" s="1" t="str">
        <f t="shared" si="3"/>
        <v xml:space="preserve">"Class_1": "Gross fixed capital formation"  </v>
      </c>
      <c r="AG6" s="1" t="str">
        <f t="shared" si="4"/>
        <v xml:space="preserve">"Class_2": "Gross fixed capital formation - residential buildings (GDP) (Real q/q% s.a)"  </v>
      </c>
      <c r="AH6" s="1" t="str">
        <f t="shared" si="5"/>
        <v xml:space="preserve">"Class_3": "NA"  </v>
      </c>
      <c r="AI6" s="1" t="str">
        <f t="shared" si="6"/>
        <v xml:space="preserve">"Unit": "%(r) s.a."     </v>
      </c>
      <c r="AJ6" s="1" t="str">
        <f t="shared" si="7"/>
        <v xml:space="preserve">"Dim": "Real q/q"  </v>
      </c>
      <c r="AK6" s="1" t="str">
        <f t="shared" si="8"/>
        <v xml:space="preserve">"Tick": ".0f"  </v>
      </c>
      <c r="AL6" s="1" t="str">
        <f t="shared" si="9"/>
        <v xml:space="preserve">"Palette": "qual"  </v>
      </c>
      <c r="AM6" s="1" t="str">
        <f t="shared" si="10"/>
        <v xml:space="preserve">"ColourKey": "black"  </v>
      </c>
      <c r="AN6" s="1" t="str">
        <f t="shared" si="11"/>
        <v xml:space="preserve">"Style": "Line"  </v>
      </c>
      <c r="AO6" s="1" t="str">
        <f t="shared" si="12"/>
        <v xml:space="preserve">"Prefix": "NA"  </v>
      </c>
      <c r="AQ6" s="1" t="str">
        <f t="shared" si="27"/>
        <v>{ "Data": "hm3"  , "ID": "GDE.Q.EI24.rsq"        , "Name": "Residential buildings (GDP) (Real q/q% s.a)"  , "Class_1": "Gross fixed capital formation"  , "Class_2": "Gross fixed capital formation - residential buildings (GDP) (Real q/q% s.a)"  , "Class_3": "NA"  , "Unit": "%(r) s.a."     , "Dim": "Real q/q"  , "Tick": ".0f"  , "Palette": "qual"  , "ColourKey": "black"  , "Style": "Line"  , "Prefix": "NA"   },</v>
      </c>
    </row>
    <row r="7" spans="1:43" x14ac:dyDescent="0.3">
      <c r="A7" t="s">
        <v>298</v>
      </c>
      <c r="B7" t="s">
        <v>320</v>
      </c>
      <c r="C7" t="s">
        <v>321</v>
      </c>
      <c r="D7" t="s">
        <v>310</v>
      </c>
      <c r="E7" t="s">
        <v>322</v>
      </c>
      <c r="F7" t="s">
        <v>22</v>
      </c>
      <c r="G7" t="s">
        <v>279</v>
      </c>
      <c r="H7" t="s">
        <v>323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O7" s="1" t="str">
        <f t="shared" si="13"/>
        <v xml:space="preserve">  </v>
      </c>
      <c r="P7" s="1" t="str">
        <f t="shared" si="14"/>
        <v xml:space="preserve">        </v>
      </c>
      <c r="Q7" s="1" t="str">
        <f t="shared" si="15"/>
        <v xml:space="preserve">      </v>
      </c>
      <c r="R7" s="1" t="str">
        <f t="shared" si="16"/>
        <v xml:space="preserve">  </v>
      </c>
      <c r="S7" s="1" t="str">
        <f t="shared" si="17"/>
        <v xml:space="preserve">      </v>
      </c>
      <c r="T7" s="1" t="str">
        <f t="shared" si="18"/>
        <v xml:space="preserve">  </v>
      </c>
      <c r="U7" s="1" t="str">
        <f t="shared" si="19"/>
        <v xml:space="preserve">          </v>
      </c>
      <c r="V7" s="1" t="str">
        <f t="shared" si="20"/>
        <v xml:space="preserve">  </v>
      </c>
      <c r="W7" s="1" t="str">
        <f t="shared" si="21"/>
        <v xml:space="preserve">  </v>
      </c>
      <c r="X7" s="1" t="str">
        <f t="shared" si="22"/>
        <v xml:space="preserve">  </v>
      </c>
      <c r="Y7" s="1" t="str">
        <f t="shared" si="23"/>
        <v xml:space="preserve">  </v>
      </c>
      <c r="Z7" s="1" t="str">
        <f t="shared" si="24"/>
        <v xml:space="preserve">  </v>
      </c>
      <c r="AA7" s="1" t="str">
        <f t="shared" si="25"/>
        <v xml:space="preserve">  </v>
      </c>
      <c r="AC7" s="1" t="str">
        <f t="shared" si="26"/>
        <v xml:space="preserve">"Data": "hm3"  </v>
      </c>
      <c r="AD7" s="1" t="str">
        <f t="shared" si="1"/>
        <v xml:space="preserve">"ID": "GDE.Q.EI24.ray"        </v>
      </c>
      <c r="AE7" s="1" t="str">
        <f t="shared" si="2"/>
        <v xml:space="preserve">"Name": "Residential buildings (GDP) (Real y/y%)"      </v>
      </c>
      <c r="AF7" s="1" t="str">
        <f t="shared" si="3"/>
        <v xml:space="preserve">"Class_1": "Gross fixed capital formation"  </v>
      </c>
      <c r="AG7" s="1" t="str">
        <f t="shared" si="4"/>
        <v xml:space="preserve">"Class_2": "Gross fixed capital formation - residential buildings (GDP) (Real y/y%)"      </v>
      </c>
      <c r="AH7" s="1" t="str">
        <f t="shared" si="5"/>
        <v xml:space="preserve">"Class_3": "NA"  </v>
      </c>
      <c r="AI7" s="1" t="str">
        <f t="shared" si="6"/>
        <v xml:space="preserve">"Unit": "%(r)"          </v>
      </c>
      <c r="AJ7" s="1" t="str">
        <f t="shared" si="7"/>
        <v xml:space="preserve">"Dim": "Real y/y"  </v>
      </c>
      <c r="AK7" s="1" t="str">
        <f t="shared" si="8"/>
        <v xml:space="preserve">"Tick": ".0f"  </v>
      </c>
      <c r="AL7" s="1" t="str">
        <f t="shared" si="9"/>
        <v xml:space="preserve">"Palette": "qual"  </v>
      </c>
      <c r="AM7" s="1" t="str">
        <f t="shared" si="10"/>
        <v xml:space="preserve">"ColourKey": "black"  </v>
      </c>
      <c r="AN7" s="1" t="str">
        <f t="shared" si="11"/>
        <v xml:space="preserve">"Style": "Line"  </v>
      </c>
      <c r="AO7" s="1" t="str">
        <f t="shared" si="12"/>
        <v xml:space="preserve">"Prefix": "NA"  </v>
      </c>
      <c r="AQ7" s="1" t="str">
        <f t="shared" si="27"/>
        <v>{ "Data": "hm3"  , "ID": "GDE.Q.EI24.ray"        , "Name": "Residential buildings (GDP) (Real y/y%)"      , "Class_1": "Gross fixed capital formation"  , "Class_2": "Gross fixed capital formation - residential buildings (GDP) (Real y/y%)"      , "Class_3": "NA"  , "Unit": "%(r)"          , "Dim": "Real y/y"  , "Tick": ".0f"  , "Palette": "qual"  , "ColourKey": "black"  , "Style": "Line"  , "Prefix": "NA"   },</v>
      </c>
    </row>
    <row r="8" spans="1:43" x14ac:dyDescent="0.3">
      <c r="A8" t="s">
        <v>298</v>
      </c>
      <c r="B8" t="s">
        <v>324</v>
      </c>
      <c r="C8" t="s">
        <v>325</v>
      </c>
      <c r="D8" t="s">
        <v>310</v>
      </c>
      <c r="E8" t="s">
        <v>326</v>
      </c>
      <c r="F8" t="s">
        <v>22</v>
      </c>
      <c r="G8" t="s">
        <v>270</v>
      </c>
      <c r="H8" t="s">
        <v>312</v>
      </c>
      <c r="I8" t="s">
        <v>149</v>
      </c>
      <c r="J8" t="s">
        <v>19</v>
      </c>
      <c r="K8" t="s">
        <v>20</v>
      </c>
      <c r="L8" t="s">
        <v>21</v>
      </c>
      <c r="M8" t="s">
        <v>22</v>
      </c>
      <c r="O8" s="1" t="str">
        <f t="shared" si="13"/>
        <v xml:space="preserve">  </v>
      </c>
      <c r="P8" s="1" t="str">
        <f t="shared" si="14"/>
        <v xml:space="preserve">         </v>
      </c>
      <c r="Q8" s="1" t="str">
        <f t="shared" si="15"/>
        <v xml:space="preserve">           </v>
      </c>
      <c r="R8" s="1" t="str">
        <f t="shared" si="16"/>
        <v xml:space="preserve">  </v>
      </c>
      <c r="S8" s="1" t="str">
        <f t="shared" si="17"/>
        <v xml:space="preserve">           </v>
      </c>
      <c r="T8" s="1" t="str">
        <f t="shared" si="18"/>
        <v xml:space="preserve">  </v>
      </c>
      <c r="U8" s="1" t="str">
        <f t="shared" si="19"/>
        <v xml:space="preserve">       </v>
      </c>
      <c r="V8" s="1" t="str">
        <f t="shared" si="20"/>
        <v xml:space="preserve">   </v>
      </c>
      <c r="W8" s="1" t="str">
        <f t="shared" si="21"/>
        <v xml:space="preserve">   </v>
      </c>
      <c r="X8" s="1" t="str">
        <f t="shared" si="22"/>
        <v xml:space="preserve">  </v>
      </c>
      <c r="Y8" s="1" t="str">
        <f t="shared" si="23"/>
        <v xml:space="preserve">  </v>
      </c>
      <c r="Z8" s="1" t="str">
        <f t="shared" si="24"/>
        <v xml:space="preserve">  </v>
      </c>
      <c r="AA8" s="1" t="str">
        <f t="shared" si="25"/>
        <v xml:space="preserve">  </v>
      </c>
      <c r="AC8" s="1" t="str">
        <f t="shared" si="26"/>
        <v xml:space="preserve">"Data": "hm3"  </v>
      </c>
      <c r="AD8" s="1" t="str">
        <f t="shared" si="1"/>
        <v xml:space="preserve">"ID": "GDE.Q.EI25.RA"         </v>
      </c>
      <c r="AE8" s="1" t="str">
        <f t="shared" si="2"/>
        <v xml:space="preserve">"Name": "Other fixed assets (GDP) (Real $m)"           </v>
      </c>
      <c r="AF8" s="1" t="str">
        <f t="shared" si="3"/>
        <v xml:space="preserve">"Class_1": "Gross fixed capital formation"  </v>
      </c>
      <c r="AG8" s="1" t="str">
        <f t="shared" si="4"/>
        <v xml:space="preserve">"Class_2": "Gross fixed capital formation - other fixed assets (GDP) (Real $m)"           </v>
      </c>
      <c r="AH8" s="1" t="str">
        <f t="shared" si="5"/>
        <v xml:space="preserve">"Class_3": "NA"  </v>
      </c>
      <c r="AI8" s="1" t="str">
        <f t="shared" si="6"/>
        <v xml:space="preserve">"Unit": "NZDm(r)"       </v>
      </c>
      <c r="AJ8" s="1" t="str">
        <f t="shared" si="7"/>
        <v xml:space="preserve">"Dim": "Real $m"   </v>
      </c>
      <c r="AK8" s="1" t="str">
        <f t="shared" si="8"/>
        <v xml:space="preserve">"Tick": ",d"   </v>
      </c>
      <c r="AL8" s="1" t="str">
        <f t="shared" si="9"/>
        <v xml:space="preserve">"Palette": "qual"  </v>
      </c>
      <c r="AM8" s="1" t="str">
        <f t="shared" si="10"/>
        <v xml:space="preserve">"ColourKey": "black"  </v>
      </c>
      <c r="AN8" s="1" t="str">
        <f t="shared" si="11"/>
        <v xml:space="preserve">"Style": "Line"  </v>
      </c>
      <c r="AO8" s="1" t="str">
        <f t="shared" si="12"/>
        <v xml:space="preserve">"Prefix": "NA"  </v>
      </c>
      <c r="AQ8" s="1" t="str">
        <f t="shared" si="27"/>
        <v>{ "Data": "hm3"  , "ID": "GDE.Q.EI25.RA"         , "Name": "Other fixed assets (GDP) (Real $m)"           , "Class_1": "Gross fixed capital formation"  , "Class_2": "Gross fixed capital formation - other fixed assets (GDP) (Real $m)"           , "Class_3": "NA"  , "Unit": "NZDm(r)"       , "Dim": "Real $m"   , "Tick": ",d"   , "Palette": "qual"  , "ColourKey": "black"  , "Style": "Line"  , "Prefix": "NA"   },</v>
      </c>
    </row>
    <row r="9" spans="1:43" x14ac:dyDescent="0.3">
      <c r="A9" t="s">
        <v>298</v>
      </c>
      <c r="B9" t="s">
        <v>327</v>
      </c>
      <c r="C9" t="s">
        <v>328</v>
      </c>
      <c r="D9" t="s">
        <v>310</v>
      </c>
      <c r="E9" t="s">
        <v>329</v>
      </c>
      <c r="F9" t="s">
        <v>22</v>
      </c>
      <c r="G9" t="s">
        <v>273</v>
      </c>
      <c r="H9" t="s">
        <v>312</v>
      </c>
      <c r="I9" t="s">
        <v>149</v>
      </c>
      <c r="J9" t="s">
        <v>19</v>
      </c>
      <c r="K9" t="s">
        <v>20</v>
      </c>
      <c r="L9" t="s">
        <v>21</v>
      </c>
      <c r="M9" t="s">
        <v>22</v>
      </c>
      <c r="O9" s="1" t="str">
        <f t="shared" si="13"/>
        <v xml:space="preserve">  </v>
      </c>
      <c r="P9" s="1" t="str">
        <f t="shared" si="14"/>
        <v xml:space="preserve">         </v>
      </c>
      <c r="Q9" s="1" t="str">
        <f t="shared" si="15"/>
        <v xml:space="preserve">      </v>
      </c>
      <c r="R9" s="1" t="str">
        <f t="shared" si="16"/>
        <v xml:space="preserve">  </v>
      </c>
      <c r="S9" s="1" t="str">
        <f t="shared" si="17"/>
        <v xml:space="preserve">      </v>
      </c>
      <c r="T9" s="1" t="str">
        <f t="shared" si="18"/>
        <v xml:space="preserve">  </v>
      </c>
      <c r="U9" s="1" t="str">
        <f t="shared" si="19"/>
        <v xml:space="preserve">  </v>
      </c>
      <c r="V9" s="1" t="str">
        <f t="shared" si="20"/>
        <v xml:space="preserve">   </v>
      </c>
      <c r="W9" s="1" t="str">
        <f t="shared" si="21"/>
        <v xml:space="preserve">   </v>
      </c>
      <c r="X9" s="1" t="str">
        <f t="shared" si="22"/>
        <v xml:space="preserve">  </v>
      </c>
      <c r="Y9" s="1" t="str">
        <f t="shared" si="23"/>
        <v xml:space="preserve">  </v>
      </c>
      <c r="Z9" s="1" t="str">
        <f t="shared" si="24"/>
        <v xml:space="preserve">  </v>
      </c>
      <c r="AA9" s="1" t="str">
        <f t="shared" si="25"/>
        <v xml:space="preserve">  </v>
      </c>
      <c r="AC9" s="1" t="str">
        <f t="shared" si="26"/>
        <v xml:space="preserve">"Data": "hm3"  </v>
      </c>
      <c r="AD9" s="1" t="str">
        <f t="shared" si="1"/>
        <v xml:space="preserve">"ID": "GDE.Q.EI25.RS"         </v>
      </c>
      <c r="AE9" s="1" t="str">
        <f t="shared" si="2"/>
        <v xml:space="preserve">"Name": "Other fixed assets (GDP) (Real $m s.a.)"      </v>
      </c>
      <c r="AF9" s="1" t="str">
        <f t="shared" si="3"/>
        <v xml:space="preserve">"Class_1": "Gross fixed capital formation"  </v>
      </c>
      <c r="AG9" s="1" t="str">
        <f t="shared" si="4"/>
        <v xml:space="preserve">"Class_2": "Gross fixed capital formation - other fixed assets (GDP) (Real $m s.a.)"      </v>
      </c>
      <c r="AH9" s="1" t="str">
        <f t="shared" si="5"/>
        <v xml:space="preserve">"Class_3": "NA"  </v>
      </c>
      <c r="AI9" s="1" t="str">
        <f t="shared" si="6"/>
        <v xml:space="preserve">"Unit": "NZDm(r) s.a."  </v>
      </c>
      <c r="AJ9" s="1" t="str">
        <f t="shared" si="7"/>
        <v xml:space="preserve">"Dim": "Real $m"   </v>
      </c>
      <c r="AK9" s="1" t="str">
        <f t="shared" si="8"/>
        <v xml:space="preserve">"Tick": ",d"   </v>
      </c>
      <c r="AL9" s="1" t="str">
        <f t="shared" si="9"/>
        <v xml:space="preserve">"Palette": "qual"  </v>
      </c>
      <c r="AM9" s="1" t="str">
        <f t="shared" si="10"/>
        <v xml:space="preserve">"ColourKey": "black"  </v>
      </c>
      <c r="AN9" s="1" t="str">
        <f t="shared" si="11"/>
        <v xml:space="preserve">"Style": "Line"  </v>
      </c>
      <c r="AO9" s="1" t="str">
        <f t="shared" si="12"/>
        <v xml:space="preserve">"Prefix": "NA"  </v>
      </c>
      <c r="AQ9" s="1" t="str">
        <f t="shared" si="27"/>
        <v>{ "Data": "hm3"  , "ID": "GDE.Q.EI25.RS"         , "Name": "Other fixed assets (GDP) (Real $m s.a.)"      , "Class_1": "Gross fixed capital formation"  , "Class_2": "Gross fixed capital formation - other fixed assets (GDP) (Real $m s.a.)"      , "Class_3": "NA"  , "Unit": "NZDm(r) s.a."  , "Dim": "Real $m"   , "Tick": ",d"   , "Palette": "qual"  , "ColourKey": "black"  , "Style": "Line"  , "Prefix": "NA"   },</v>
      </c>
    </row>
    <row r="10" spans="1:43" x14ac:dyDescent="0.3">
      <c r="A10" t="s">
        <v>298</v>
      </c>
      <c r="B10" t="s">
        <v>330</v>
      </c>
      <c r="C10" t="s">
        <v>331</v>
      </c>
      <c r="D10" t="s">
        <v>310</v>
      </c>
      <c r="E10" t="s">
        <v>332</v>
      </c>
      <c r="F10" t="s">
        <v>22</v>
      </c>
      <c r="G10" t="s">
        <v>276</v>
      </c>
      <c r="H10" t="s">
        <v>319</v>
      </c>
      <c r="I10" t="s">
        <v>18</v>
      </c>
      <c r="J10" t="s">
        <v>19</v>
      </c>
      <c r="K10" t="s">
        <v>20</v>
      </c>
      <c r="L10" t="s">
        <v>21</v>
      </c>
      <c r="M10" t="s">
        <v>22</v>
      </c>
      <c r="O10" s="1" t="str">
        <f t="shared" si="13"/>
        <v xml:space="preserve">  </v>
      </c>
      <c r="P10" s="1" t="str">
        <f t="shared" si="14"/>
        <v xml:space="preserve">        </v>
      </c>
      <c r="Q10" s="1" t="str">
        <f t="shared" si="15"/>
        <v xml:space="preserve">    </v>
      </c>
      <c r="R10" s="1" t="str">
        <f t="shared" si="16"/>
        <v xml:space="preserve">  </v>
      </c>
      <c r="S10" s="1" t="str">
        <f t="shared" si="17"/>
        <v xml:space="preserve">    </v>
      </c>
      <c r="T10" s="1" t="str">
        <f t="shared" si="18"/>
        <v xml:space="preserve">  </v>
      </c>
      <c r="U10" s="1" t="str">
        <f t="shared" si="19"/>
        <v xml:space="preserve">     </v>
      </c>
      <c r="V10" s="1" t="str">
        <f t="shared" si="20"/>
        <v xml:space="preserve">  </v>
      </c>
      <c r="W10" s="1" t="str">
        <f t="shared" si="21"/>
        <v xml:space="preserve">  </v>
      </c>
      <c r="X10" s="1" t="str">
        <f t="shared" si="22"/>
        <v xml:space="preserve">  </v>
      </c>
      <c r="Y10" s="1" t="str">
        <f t="shared" si="23"/>
        <v xml:space="preserve">  </v>
      </c>
      <c r="Z10" s="1" t="str">
        <f t="shared" si="24"/>
        <v xml:space="preserve">  </v>
      </c>
      <c r="AA10" s="1" t="str">
        <f t="shared" si="25"/>
        <v xml:space="preserve">  </v>
      </c>
      <c r="AC10" s="1" t="str">
        <f t="shared" si="26"/>
        <v xml:space="preserve">"Data": "hm3"  </v>
      </c>
      <c r="AD10" s="1" t="str">
        <f t="shared" si="1"/>
        <v xml:space="preserve">"ID": "GDE.Q.EI25.rsq"        </v>
      </c>
      <c r="AE10" s="1" t="str">
        <f t="shared" si="2"/>
        <v xml:space="preserve">"Name": "Other fixed assets (GDP) (Real q/q% s.a.)"    </v>
      </c>
      <c r="AF10" s="1" t="str">
        <f t="shared" si="3"/>
        <v xml:space="preserve">"Class_1": "Gross fixed capital formation"  </v>
      </c>
      <c r="AG10" s="1" t="str">
        <f t="shared" si="4"/>
        <v xml:space="preserve">"Class_2": "Gross fixed capital formation - other fixed assets (GDP) (Real q/q% s.a.)"    </v>
      </c>
      <c r="AH10" s="1" t="str">
        <f t="shared" si="5"/>
        <v xml:space="preserve">"Class_3": "NA"  </v>
      </c>
      <c r="AI10" s="1" t="str">
        <f t="shared" si="6"/>
        <v xml:space="preserve">"Unit": "%(r) s.a."     </v>
      </c>
      <c r="AJ10" s="1" t="str">
        <f t="shared" si="7"/>
        <v xml:space="preserve">"Dim": "Real q/q"  </v>
      </c>
      <c r="AK10" s="1" t="str">
        <f t="shared" si="8"/>
        <v xml:space="preserve">"Tick": ".0f"  </v>
      </c>
      <c r="AL10" s="1" t="str">
        <f t="shared" si="9"/>
        <v xml:space="preserve">"Palette": "qual"  </v>
      </c>
      <c r="AM10" s="1" t="str">
        <f t="shared" si="10"/>
        <v xml:space="preserve">"ColourKey": "black"  </v>
      </c>
      <c r="AN10" s="1" t="str">
        <f t="shared" si="11"/>
        <v xml:space="preserve">"Style": "Line"  </v>
      </c>
      <c r="AO10" s="1" t="str">
        <f t="shared" si="12"/>
        <v xml:space="preserve">"Prefix": "NA"  </v>
      </c>
      <c r="AQ10" s="1" t="str">
        <f t="shared" si="27"/>
        <v>{ "Data": "hm3"  , "ID": "GDE.Q.EI25.rsq"        , "Name": "Other fixed assets (GDP) (Real q/q% s.a.)"    , "Class_1": "Gross fixed capital formation"  , "Class_2": "Gross fixed capital formation - other fixed assets (GDP) (Real q/q% s.a.)"    , "Class_3": "NA"  , "Unit": "%(r) s.a."     , "Dim": "Real q/q"  , "Tick": ".0f"  , "Palette": "qual"  , "ColourKey": "black"  , "Style": "Line"  , "Prefix": "NA"   },</v>
      </c>
    </row>
    <row r="11" spans="1:43" x14ac:dyDescent="0.3">
      <c r="A11" t="s">
        <v>298</v>
      </c>
      <c r="B11" t="s">
        <v>333</v>
      </c>
      <c r="C11" t="s">
        <v>334</v>
      </c>
      <c r="D11" t="s">
        <v>310</v>
      </c>
      <c r="E11" t="s">
        <v>335</v>
      </c>
      <c r="F11" t="s">
        <v>22</v>
      </c>
      <c r="G11" t="s">
        <v>279</v>
      </c>
      <c r="H11" t="s">
        <v>323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O11" s="1" t="str">
        <f t="shared" si="13"/>
        <v xml:space="preserve">  </v>
      </c>
      <c r="P11" s="1" t="str">
        <f t="shared" si="14"/>
        <v xml:space="preserve">        </v>
      </c>
      <c r="Q11" s="1" t="str">
        <f t="shared" si="15"/>
        <v xml:space="preserve">         </v>
      </c>
      <c r="R11" s="1" t="str">
        <f t="shared" si="16"/>
        <v xml:space="preserve">  </v>
      </c>
      <c r="S11" s="1" t="str">
        <f t="shared" si="17"/>
        <v xml:space="preserve">         </v>
      </c>
      <c r="T11" s="1" t="str">
        <f t="shared" si="18"/>
        <v xml:space="preserve">  </v>
      </c>
      <c r="U11" s="1" t="str">
        <f t="shared" si="19"/>
        <v xml:space="preserve">          </v>
      </c>
      <c r="V11" s="1" t="str">
        <f t="shared" si="20"/>
        <v xml:space="preserve">  </v>
      </c>
      <c r="W11" s="1" t="str">
        <f t="shared" si="21"/>
        <v xml:space="preserve">  </v>
      </c>
      <c r="X11" s="1" t="str">
        <f t="shared" si="22"/>
        <v xml:space="preserve">  </v>
      </c>
      <c r="Y11" s="1" t="str">
        <f t="shared" si="23"/>
        <v xml:space="preserve">  </v>
      </c>
      <c r="Z11" s="1" t="str">
        <f t="shared" si="24"/>
        <v xml:space="preserve">  </v>
      </c>
      <c r="AA11" s="1" t="str">
        <f t="shared" si="25"/>
        <v xml:space="preserve">  </v>
      </c>
      <c r="AC11" s="1" t="str">
        <f t="shared" si="26"/>
        <v xml:space="preserve">"Data": "hm3"  </v>
      </c>
      <c r="AD11" s="1" t="str">
        <f t="shared" si="1"/>
        <v xml:space="preserve">"ID": "GDE.Q.EI25.ray"        </v>
      </c>
      <c r="AE11" s="1" t="str">
        <f t="shared" si="2"/>
        <v xml:space="preserve">"Name": "Other fixed assets (GDP) (Real y/y%)"         </v>
      </c>
      <c r="AF11" s="1" t="str">
        <f t="shared" si="3"/>
        <v xml:space="preserve">"Class_1": "Gross fixed capital formation"  </v>
      </c>
      <c r="AG11" s="1" t="str">
        <f t="shared" si="4"/>
        <v xml:space="preserve">"Class_2": "Gross fixed capital formation - other fixed assets (GDP) (Real y/y%)"         </v>
      </c>
      <c r="AH11" s="1" t="str">
        <f t="shared" si="5"/>
        <v xml:space="preserve">"Class_3": "NA"  </v>
      </c>
      <c r="AI11" s="1" t="str">
        <f t="shared" si="6"/>
        <v xml:space="preserve">"Unit": "%(r)"          </v>
      </c>
      <c r="AJ11" s="1" t="str">
        <f t="shared" si="7"/>
        <v xml:space="preserve">"Dim": "Real y/y"  </v>
      </c>
      <c r="AK11" s="1" t="str">
        <f t="shared" si="8"/>
        <v xml:space="preserve">"Tick": ".0f"  </v>
      </c>
      <c r="AL11" s="1" t="str">
        <f t="shared" si="9"/>
        <v xml:space="preserve">"Palette": "qual"  </v>
      </c>
      <c r="AM11" s="1" t="str">
        <f t="shared" si="10"/>
        <v xml:space="preserve">"ColourKey": "black"  </v>
      </c>
      <c r="AN11" s="1" t="str">
        <f t="shared" si="11"/>
        <v xml:space="preserve">"Style": "Line"  </v>
      </c>
      <c r="AO11" s="1" t="str">
        <f t="shared" si="12"/>
        <v xml:space="preserve">"Prefix": "NA"  </v>
      </c>
      <c r="AQ11" s="1" t="str">
        <f t="shared" si="27"/>
        <v>{ "Data": "hm3"  , "ID": "GDE.Q.EI25.ray"        , "Name": "Other fixed assets (GDP) (Real y/y%)"         , "Class_1": "Gross fixed capital formation"  , "Class_2": "Gross fixed capital formation - other fixed assets (GDP) (Real y/y%)"         , "Class_3": "NA"  , "Unit": "%(r)"          , "Dim": "Real y/y"  , "Tick": ".0f"  , "Palette": "qual"  , "ColourKey": "black"  , "Style": "Line"  , "Prefix": "NA"   },</v>
      </c>
    </row>
    <row r="12" spans="1:43" x14ac:dyDescent="0.3">
      <c r="A12" t="s">
        <v>298</v>
      </c>
      <c r="B12" t="s">
        <v>336</v>
      </c>
      <c r="C12" t="s">
        <v>337</v>
      </c>
      <c r="D12" t="s">
        <v>338</v>
      </c>
      <c r="E12" t="s">
        <v>337</v>
      </c>
      <c r="F12" t="s">
        <v>22</v>
      </c>
      <c r="G12" t="s">
        <v>270</v>
      </c>
      <c r="H12" t="s">
        <v>312</v>
      </c>
      <c r="I12" t="s">
        <v>149</v>
      </c>
      <c r="J12" t="s">
        <v>19</v>
      </c>
      <c r="K12" t="s">
        <v>20</v>
      </c>
      <c r="L12" t="s">
        <v>21</v>
      </c>
      <c r="M12" t="s">
        <v>22</v>
      </c>
      <c r="O12" s="1" t="str">
        <f t="shared" si="13"/>
        <v xml:space="preserve">  </v>
      </c>
      <c r="P12" s="1" t="str">
        <f t="shared" si="14"/>
        <v xml:space="preserve">         </v>
      </c>
      <c r="Q12" s="1" t="str">
        <f t="shared" si="15"/>
        <v xml:space="preserve">        </v>
      </c>
      <c r="R12" s="1" t="str">
        <f t="shared" si="16"/>
        <v xml:space="preserve">          </v>
      </c>
      <c r="S12" s="1" t="str">
        <f t="shared" si="17"/>
        <v xml:space="preserve">                                        </v>
      </c>
      <c r="T12" s="1" t="str">
        <f t="shared" si="18"/>
        <v xml:space="preserve">  </v>
      </c>
      <c r="U12" s="1" t="str">
        <f t="shared" si="19"/>
        <v xml:space="preserve">       </v>
      </c>
      <c r="V12" s="1" t="str">
        <f t="shared" si="20"/>
        <v xml:space="preserve">   </v>
      </c>
      <c r="W12" s="1" t="str">
        <f t="shared" si="21"/>
        <v xml:space="preserve">   </v>
      </c>
      <c r="X12" s="1" t="str">
        <f t="shared" si="22"/>
        <v xml:space="preserve">  </v>
      </c>
      <c r="Y12" s="1" t="str">
        <f t="shared" si="23"/>
        <v xml:space="preserve">  </v>
      </c>
      <c r="Z12" s="1" t="str">
        <f t="shared" si="24"/>
        <v xml:space="preserve">  </v>
      </c>
      <c r="AA12" s="1" t="str">
        <f t="shared" si="25"/>
        <v xml:space="preserve">  </v>
      </c>
      <c r="AC12" s="1" t="str">
        <f t="shared" si="26"/>
        <v xml:space="preserve">"Data": "hm3"  </v>
      </c>
      <c r="AD12" s="1" t="str">
        <f t="shared" si="1"/>
        <v xml:space="preserve">"ID": "GDE.Q.EI23.RA"         </v>
      </c>
      <c r="AE12" s="1" t="str">
        <f t="shared" si="2"/>
        <v xml:space="preserve">"Name": "Change in inventories (GDP) (Real $m)"        </v>
      </c>
      <c r="AF12" s="1" t="str">
        <f t="shared" si="3"/>
        <v xml:space="preserve">"Class_1": "Change in inventories"          </v>
      </c>
      <c r="AG12" s="1" t="str">
        <f t="shared" si="4"/>
        <v xml:space="preserve">"Class_2": "Change in inventories (GDP) (Real $m)"                                        </v>
      </c>
      <c r="AH12" s="1" t="str">
        <f t="shared" si="5"/>
        <v xml:space="preserve">"Class_3": "NA"  </v>
      </c>
      <c r="AI12" s="1" t="str">
        <f t="shared" si="6"/>
        <v xml:space="preserve">"Unit": "NZDm(r)"       </v>
      </c>
      <c r="AJ12" s="1" t="str">
        <f t="shared" si="7"/>
        <v xml:space="preserve">"Dim": "Real $m"   </v>
      </c>
      <c r="AK12" s="1" t="str">
        <f t="shared" si="8"/>
        <v xml:space="preserve">"Tick": ",d"   </v>
      </c>
      <c r="AL12" s="1" t="str">
        <f t="shared" si="9"/>
        <v xml:space="preserve">"Palette": "qual"  </v>
      </c>
      <c r="AM12" s="1" t="str">
        <f t="shared" si="10"/>
        <v xml:space="preserve">"ColourKey": "black"  </v>
      </c>
      <c r="AN12" s="1" t="str">
        <f t="shared" si="11"/>
        <v xml:space="preserve">"Style": "Line"  </v>
      </c>
      <c r="AO12" s="1" t="str">
        <f t="shared" si="12"/>
        <v xml:space="preserve">"Prefix": "NA"  </v>
      </c>
      <c r="AQ12" s="1" t="str">
        <f t="shared" si="27"/>
        <v>{ "Data": "hm3"  , "ID": "GDE.Q.EI23.RA"         , "Name": "Change in inventories (GDP) (Real $m)"        , "Class_1": "Change in inventories"          , "Class_2": "Change in inventories (GDP) (Real $m)"                                        , "Class_3": "NA"  , "Unit": "NZDm(r)"       , "Dim": "Real $m"   , "Tick": ",d"   , "Palette": "qual"  , "ColourKey": "black"  , "Style": "Line"  , "Prefix": "NA"   },</v>
      </c>
    </row>
    <row r="13" spans="1:43" x14ac:dyDescent="0.3">
      <c r="A13" t="s">
        <v>298</v>
      </c>
      <c r="B13" t="s">
        <v>339</v>
      </c>
      <c r="C13" t="s">
        <v>340</v>
      </c>
      <c r="D13" t="s">
        <v>338</v>
      </c>
      <c r="E13" t="s">
        <v>340</v>
      </c>
      <c r="F13" t="s">
        <v>22</v>
      </c>
      <c r="G13" t="s">
        <v>273</v>
      </c>
      <c r="H13" t="s">
        <v>312</v>
      </c>
      <c r="I13" t="s">
        <v>149</v>
      </c>
      <c r="J13" t="s">
        <v>19</v>
      </c>
      <c r="K13" t="s">
        <v>20</v>
      </c>
      <c r="L13" t="s">
        <v>21</v>
      </c>
      <c r="M13" t="s">
        <v>22</v>
      </c>
      <c r="O13" s="1" t="str">
        <f t="shared" si="13"/>
        <v xml:space="preserve">  </v>
      </c>
      <c r="P13" s="1" t="str">
        <f t="shared" si="14"/>
        <v xml:space="preserve">         </v>
      </c>
      <c r="Q13" s="1" t="str">
        <f t="shared" si="15"/>
        <v xml:space="preserve">   </v>
      </c>
      <c r="R13" s="1" t="str">
        <f t="shared" si="16"/>
        <v xml:space="preserve">          </v>
      </c>
      <c r="S13" s="1" t="str">
        <f t="shared" si="17"/>
        <v xml:space="preserve">                                   </v>
      </c>
      <c r="T13" s="1" t="str">
        <f t="shared" si="18"/>
        <v xml:space="preserve">  </v>
      </c>
      <c r="U13" s="1" t="str">
        <f t="shared" si="19"/>
        <v xml:space="preserve">  </v>
      </c>
      <c r="V13" s="1" t="str">
        <f t="shared" si="20"/>
        <v xml:space="preserve">   </v>
      </c>
      <c r="W13" s="1" t="str">
        <f t="shared" si="21"/>
        <v xml:space="preserve">   </v>
      </c>
      <c r="X13" s="1" t="str">
        <f t="shared" si="22"/>
        <v xml:space="preserve">  </v>
      </c>
      <c r="Y13" s="1" t="str">
        <f t="shared" si="23"/>
        <v xml:space="preserve">  </v>
      </c>
      <c r="Z13" s="1" t="str">
        <f t="shared" si="24"/>
        <v xml:space="preserve">  </v>
      </c>
      <c r="AA13" s="1" t="str">
        <f t="shared" si="25"/>
        <v xml:space="preserve">  </v>
      </c>
      <c r="AC13" s="1" t="str">
        <f t="shared" si="26"/>
        <v xml:space="preserve">"Data": "hm3"  </v>
      </c>
      <c r="AD13" s="1" t="str">
        <f t="shared" si="1"/>
        <v xml:space="preserve">"ID": "GDE.Q.EI23.RS"         </v>
      </c>
      <c r="AE13" s="1" t="str">
        <f t="shared" si="2"/>
        <v xml:space="preserve">"Name": "Change in inventories (GDP) (Real $m s.a.)"   </v>
      </c>
      <c r="AF13" s="1" t="str">
        <f t="shared" si="3"/>
        <v xml:space="preserve">"Class_1": "Change in inventories"          </v>
      </c>
      <c r="AG13" s="1" t="str">
        <f t="shared" si="4"/>
        <v xml:space="preserve">"Class_2": "Change in inventories (GDP) (Real $m s.a.)"                                   </v>
      </c>
      <c r="AH13" s="1" t="str">
        <f t="shared" si="5"/>
        <v xml:space="preserve">"Class_3": "NA"  </v>
      </c>
      <c r="AI13" s="1" t="str">
        <f t="shared" si="6"/>
        <v xml:space="preserve">"Unit": "NZDm(r) s.a."  </v>
      </c>
      <c r="AJ13" s="1" t="str">
        <f t="shared" si="7"/>
        <v xml:space="preserve">"Dim": "Real $m"   </v>
      </c>
      <c r="AK13" s="1" t="str">
        <f t="shared" si="8"/>
        <v xml:space="preserve">"Tick": ",d"   </v>
      </c>
      <c r="AL13" s="1" t="str">
        <f t="shared" si="9"/>
        <v xml:space="preserve">"Palette": "qual"  </v>
      </c>
      <c r="AM13" s="1" t="str">
        <f t="shared" si="10"/>
        <v xml:space="preserve">"ColourKey": "black"  </v>
      </c>
      <c r="AN13" s="1" t="str">
        <f t="shared" si="11"/>
        <v xml:space="preserve">"Style": "Line"  </v>
      </c>
      <c r="AO13" s="1" t="str">
        <f t="shared" si="12"/>
        <v xml:space="preserve">"Prefix": "NA"  </v>
      </c>
      <c r="AQ13" s="1" t="str">
        <f t="shared" si="27"/>
        <v>{ "Data": "hm3"  , "ID": "GDE.Q.EI23.RS"         , "Name": "Change in inventories (GDP) (Real $m s.a.)"   , "Class_1": "Change in inventories"          , "Class_2": "Change in inventories (GDP) (Real $m s.a.)"                                   , "Class_3": "NA"  , "Unit": "NZDm(r) s.a."  , "Dim": "Real $m"   , "Tick": ",d"   , "Palette": "qual"  , "ColourKey": "black"  , "Style": "Line"  , "Prefix": "NA"   },</v>
      </c>
    </row>
    <row r="15" spans="1:43" x14ac:dyDescent="0.3">
      <c r="A15" cm="1">
        <f t="array" ref="A15">MAX(LEN(A2:A13))</f>
        <v>3</v>
      </c>
      <c r="B15" cm="1">
        <f t="array" ref="B15">MAX(LEN(B2:B13))</f>
        <v>20</v>
      </c>
      <c r="C15" cm="1">
        <f t="array" ref="C15">MAX(LEN(C2:C13))</f>
        <v>43</v>
      </c>
      <c r="D15" cm="1">
        <f t="array" ref="D15">MAX(LEN(D2:D13))</f>
        <v>29</v>
      </c>
      <c r="E15" cm="1">
        <f t="array" ref="E15">MAX(LEN(E2:E13))</f>
        <v>75</v>
      </c>
      <c r="F15" cm="1">
        <f t="array" ref="F15">MAX(LEN(F2:F13))</f>
        <v>2</v>
      </c>
      <c r="G15" cm="1">
        <f t="array" ref="G15">MAX(LEN(G2:G13))</f>
        <v>12</v>
      </c>
      <c r="H15" cm="1">
        <f t="array" ref="H15">MAX(LEN(H2:H13))</f>
        <v>8</v>
      </c>
      <c r="I15" cm="1">
        <f t="array" ref="I15">MAX(LEN(I2:I13))</f>
        <v>3</v>
      </c>
      <c r="J15" cm="1">
        <f t="array" ref="J15">MAX(LEN(J2:J13))</f>
        <v>4</v>
      </c>
      <c r="K15" cm="1">
        <f t="array" ref="K15">MAX(LEN(K2:K13))</f>
        <v>5</v>
      </c>
      <c r="L15" cm="1">
        <f t="array" ref="L15">MAX(LEN(L2:L13))</f>
        <v>4</v>
      </c>
      <c r="M15" cm="1">
        <f t="array" ref="M15">MAX(LEN(M2:M13))</f>
        <v>2</v>
      </c>
      <c r="O15" s="1">
        <f>(A$15-LEN(A2)+2)</f>
        <v>2</v>
      </c>
      <c r="P15" s="1">
        <f t="shared" ref="P15:AA15" si="28">(B$15-LEN(B2)+2)</f>
        <v>3</v>
      </c>
      <c r="Q15" s="1">
        <f t="shared" si="28"/>
        <v>9</v>
      </c>
      <c r="R15" s="1">
        <f t="shared" si="28"/>
        <v>11</v>
      </c>
      <c r="S15" s="1">
        <f t="shared" si="28"/>
        <v>22</v>
      </c>
      <c r="T15" s="1">
        <f t="shared" si="28"/>
        <v>2</v>
      </c>
      <c r="U15" s="1">
        <f t="shared" si="28"/>
        <v>7</v>
      </c>
      <c r="V15" s="1">
        <f t="shared" si="28"/>
        <v>4</v>
      </c>
      <c r="W15" s="1">
        <f t="shared" si="28"/>
        <v>3</v>
      </c>
      <c r="X15" s="1">
        <f t="shared" si="28"/>
        <v>2</v>
      </c>
      <c r="Y15" s="1">
        <f t="shared" si="28"/>
        <v>2</v>
      </c>
      <c r="Z15" s="1">
        <f t="shared" si="28"/>
        <v>2</v>
      </c>
      <c r="AA15" s="1">
        <f t="shared" si="28"/>
        <v>2</v>
      </c>
    </row>
    <row r="16" spans="1:43" x14ac:dyDescent="0.3">
      <c r="O16" s="1">
        <f t="shared" ref="O16:AA16" si="29">(A$15-LEN(A3)+2)</f>
        <v>2</v>
      </c>
      <c r="P16" s="1">
        <f t="shared" si="29"/>
        <v>2</v>
      </c>
      <c r="Q16" s="1">
        <f t="shared" si="29"/>
        <v>4</v>
      </c>
      <c r="R16" s="1">
        <f t="shared" si="29"/>
        <v>11</v>
      </c>
      <c r="S16" s="1">
        <f t="shared" si="29"/>
        <v>24</v>
      </c>
      <c r="T16" s="1">
        <f t="shared" si="29"/>
        <v>2</v>
      </c>
      <c r="U16" s="1">
        <f t="shared" si="29"/>
        <v>8</v>
      </c>
      <c r="V16" s="1">
        <f t="shared" si="29"/>
        <v>6</v>
      </c>
      <c r="W16" s="1">
        <f t="shared" si="29"/>
        <v>2</v>
      </c>
      <c r="X16" s="1">
        <f t="shared" si="29"/>
        <v>2</v>
      </c>
      <c r="Y16" s="1">
        <f t="shared" si="29"/>
        <v>2</v>
      </c>
      <c r="Z16" s="1">
        <f t="shared" si="29"/>
        <v>2</v>
      </c>
      <c r="AA16" s="1">
        <f t="shared" si="29"/>
        <v>2</v>
      </c>
    </row>
    <row r="17" spans="1:43" x14ac:dyDescent="0.3">
      <c r="O17" s="1">
        <f t="shared" ref="O17:AA17" si="30">(A$15-LEN(A4)+2)</f>
        <v>2</v>
      </c>
      <c r="P17" s="1">
        <f t="shared" si="30"/>
        <v>9</v>
      </c>
      <c r="Q17" s="1">
        <f t="shared" si="30"/>
        <v>8</v>
      </c>
      <c r="R17" s="1">
        <f t="shared" si="30"/>
        <v>2</v>
      </c>
      <c r="S17" s="1">
        <f t="shared" si="30"/>
        <v>8</v>
      </c>
      <c r="T17" s="1">
        <f t="shared" si="30"/>
        <v>2</v>
      </c>
      <c r="U17" s="1">
        <f t="shared" si="30"/>
        <v>7</v>
      </c>
      <c r="V17" s="1">
        <f t="shared" si="30"/>
        <v>3</v>
      </c>
      <c r="W17" s="1">
        <f t="shared" si="30"/>
        <v>3</v>
      </c>
      <c r="X17" s="1">
        <f t="shared" si="30"/>
        <v>2</v>
      </c>
      <c r="Y17" s="1">
        <f t="shared" si="30"/>
        <v>2</v>
      </c>
      <c r="Z17" s="1">
        <f t="shared" si="30"/>
        <v>2</v>
      </c>
      <c r="AA17" s="1">
        <f t="shared" si="30"/>
        <v>2</v>
      </c>
      <c r="AF17" s="1" t="s">
        <v>954</v>
      </c>
    </row>
    <row r="18" spans="1:43" x14ac:dyDescent="0.3">
      <c r="O18" s="1">
        <f t="shared" ref="O18:AA18" si="31">(A$15-LEN(A5)+2)</f>
        <v>2</v>
      </c>
      <c r="P18" s="1">
        <f t="shared" si="31"/>
        <v>9</v>
      </c>
      <c r="Q18" s="1">
        <f t="shared" si="31"/>
        <v>3</v>
      </c>
      <c r="R18" s="1">
        <f t="shared" si="31"/>
        <v>2</v>
      </c>
      <c r="S18" s="1">
        <f t="shared" si="31"/>
        <v>3</v>
      </c>
      <c r="T18" s="1">
        <f t="shared" si="31"/>
        <v>2</v>
      </c>
      <c r="U18" s="1">
        <f t="shared" si="31"/>
        <v>2</v>
      </c>
      <c r="V18" s="1">
        <f t="shared" si="31"/>
        <v>3</v>
      </c>
      <c r="W18" s="1">
        <f t="shared" si="31"/>
        <v>3</v>
      </c>
      <c r="X18" s="1">
        <f t="shared" si="31"/>
        <v>2</v>
      </c>
      <c r="Y18" s="1">
        <f t="shared" si="31"/>
        <v>2</v>
      </c>
      <c r="Z18" s="1">
        <f t="shared" si="31"/>
        <v>2</v>
      </c>
      <c r="AA18" s="1">
        <f t="shared" si="31"/>
        <v>2</v>
      </c>
      <c r="AF18" s="1" t="s">
        <v>955</v>
      </c>
    </row>
    <row r="19" spans="1:43" x14ac:dyDescent="0.3">
      <c r="O19" s="1">
        <f t="shared" ref="O19:AA19" si="32">(A$15-LEN(A6)+2)</f>
        <v>2</v>
      </c>
      <c r="P19" s="1">
        <f t="shared" si="32"/>
        <v>8</v>
      </c>
      <c r="Q19" s="1">
        <f t="shared" si="32"/>
        <v>2</v>
      </c>
      <c r="R19" s="1">
        <f t="shared" si="32"/>
        <v>2</v>
      </c>
      <c r="S19" s="1">
        <f t="shared" si="32"/>
        <v>2</v>
      </c>
      <c r="T19" s="1">
        <f t="shared" si="32"/>
        <v>2</v>
      </c>
      <c r="U19" s="1">
        <f t="shared" si="32"/>
        <v>5</v>
      </c>
      <c r="V19" s="1">
        <f t="shared" si="32"/>
        <v>2</v>
      </c>
      <c r="W19" s="1">
        <f t="shared" si="32"/>
        <v>2</v>
      </c>
      <c r="X19" s="1">
        <f t="shared" si="32"/>
        <v>2</v>
      </c>
      <c r="Y19" s="1">
        <f t="shared" si="32"/>
        <v>2</v>
      </c>
      <c r="Z19" s="1">
        <f t="shared" si="32"/>
        <v>2</v>
      </c>
      <c r="AA19" s="1">
        <f t="shared" si="32"/>
        <v>2</v>
      </c>
    </row>
    <row r="20" spans="1:43" x14ac:dyDescent="0.3">
      <c r="O20" s="1">
        <f t="shared" ref="O20:AA20" si="33">(A$15-LEN(A7)+2)</f>
        <v>2</v>
      </c>
      <c r="P20" s="1">
        <f t="shared" si="33"/>
        <v>8</v>
      </c>
      <c r="Q20" s="1">
        <f t="shared" si="33"/>
        <v>6</v>
      </c>
      <c r="R20" s="1">
        <f t="shared" si="33"/>
        <v>2</v>
      </c>
      <c r="S20" s="1">
        <f t="shared" si="33"/>
        <v>6</v>
      </c>
      <c r="T20" s="1">
        <f t="shared" si="33"/>
        <v>2</v>
      </c>
      <c r="U20" s="1">
        <f t="shared" si="33"/>
        <v>10</v>
      </c>
      <c r="V20" s="1">
        <f t="shared" si="33"/>
        <v>2</v>
      </c>
      <c r="W20" s="1">
        <f t="shared" si="33"/>
        <v>2</v>
      </c>
      <c r="X20" s="1">
        <f t="shared" si="33"/>
        <v>2</v>
      </c>
      <c r="Y20" s="1">
        <f t="shared" si="33"/>
        <v>2</v>
      </c>
      <c r="Z20" s="1">
        <f t="shared" si="33"/>
        <v>2</v>
      </c>
      <c r="AA20" s="1">
        <f t="shared" si="33"/>
        <v>2</v>
      </c>
    </row>
    <row r="21" spans="1:43" x14ac:dyDescent="0.3">
      <c r="O21" s="1">
        <f t="shared" ref="O21:AA21" si="34">(A$15-LEN(A8)+2)</f>
        <v>2</v>
      </c>
      <c r="P21" s="1">
        <f t="shared" si="34"/>
        <v>9</v>
      </c>
      <c r="Q21" s="1">
        <f t="shared" si="34"/>
        <v>11</v>
      </c>
      <c r="R21" s="1">
        <f t="shared" si="34"/>
        <v>2</v>
      </c>
      <c r="S21" s="1">
        <f t="shared" si="34"/>
        <v>11</v>
      </c>
      <c r="T21" s="1">
        <f t="shared" si="34"/>
        <v>2</v>
      </c>
      <c r="U21" s="1">
        <f t="shared" si="34"/>
        <v>7</v>
      </c>
      <c r="V21" s="1">
        <f t="shared" si="34"/>
        <v>3</v>
      </c>
      <c r="W21" s="1">
        <f t="shared" si="34"/>
        <v>3</v>
      </c>
      <c r="X21" s="1">
        <f t="shared" si="34"/>
        <v>2</v>
      </c>
      <c r="Y21" s="1">
        <f t="shared" si="34"/>
        <v>2</v>
      </c>
      <c r="Z21" s="1">
        <f t="shared" si="34"/>
        <v>2</v>
      </c>
      <c r="AA21" s="1">
        <f t="shared" si="34"/>
        <v>2</v>
      </c>
    </row>
    <row r="22" spans="1:43" x14ac:dyDescent="0.3">
      <c r="O22" s="1">
        <f t="shared" ref="O22:AA22" si="35">(A$15-LEN(A9)+2)</f>
        <v>2</v>
      </c>
      <c r="P22" s="1">
        <f t="shared" si="35"/>
        <v>9</v>
      </c>
      <c r="Q22" s="1">
        <f t="shared" si="35"/>
        <v>6</v>
      </c>
      <c r="R22" s="1">
        <f t="shared" si="35"/>
        <v>2</v>
      </c>
      <c r="S22" s="1">
        <f t="shared" si="35"/>
        <v>6</v>
      </c>
      <c r="T22" s="1">
        <f t="shared" si="35"/>
        <v>2</v>
      </c>
      <c r="U22" s="1">
        <f t="shared" si="35"/>
        <v>2</v>
      </c>
      <c r="V22" s="1">
        <f t="shared" si="35"/>
        <v>3</v>
      </c>
      <c r="W22" s="1">
        <f t="shared" si="35"/>
        <v>3</v>
      </c>
      <c r="X22" s="1">
        <f t="shared" si="35"/>
        <v>2</v>
      </c>
      <c r="Y22" s="1">
        <f t="shared" si="35"/>
        <v>2</v>
      </c>
      <c r="Z22" s="1">
        <f t="shared" si="35"/>
        <v>2</v>
      </c>
      <c r="AA22" s="1">
        <f t="shared" si="35"/>
        <v>2</v>
      </c>
    </row>
    <row r="23" spans="1:43" x14ac:dyDescent="0.3">
      <c r="O23" s="1">
        <f t="shared" ref="O23:AA23" si="36">(A$15-LEN(A10)+2)</f>
        <v>2</v>
      </c>
      <c r="P23" s="1">
        <f t="shared" si="36"/>
        <v>8</v>
      </c>
      <c r="Q23" s="1">
        <f t="shared" si="36"/>
        <v>4</v>
      </c>
      <c r="R23" s="1">
        <f t="shared" si="36"/>
        <v>2</v>
      </c>
      <c r="S23" s="1">
        <f t="shared" si="36"/>
        <v>4</v>
      </c>
      <c r="T23" s="1">
        <f t="shared" si="36"/>
        <v>2</v>
      </c>
      <c r="U23" s="1">
        <f t="shared" si="36"/>
        <v>5</v>
      </c>
      <c r="V23" s="1">
        <f t="shared" si="36"/>
        <v>2</v>
      </c>
      <c r="W23" s="1">
        <f t="shared" si="36"/>
        <v>2</v>
      </c>
      <c r="X23" s="1">
        <f t="shared" si="36"/>
        <v>2</v>
      </c>
      <c r="Y23" s="1">
        <f t="shared" si="36"/>
        <v>2</v>
      </c>
      <c r="Z23" s="1">
        <f t="shared" si="36"/>
        <v>2</v>
      </c>
      <c r="AA23" s="1">
        <f t="shared" si="36"/>
        <v>2</v>
      </c>
    </row>
    <row r="24" spans="1:43" x14ac:dyDescent="0.3">
      <c r="O24" s="1">
        <f t="shared" ref="O24:AA24" si="37">(A$15-LEN(A11)+2)</f>
        <v>2</v>
      </c>
      <c r="P24" s="1">
        <f t="shared" si="37"/>
        <v>8</v>
      </c>
      <c r="Q24" s="1">
        <f t="shared" si="37"/>
        <v>9</v>
      </c>
      <c r="R24" s="1">
        <f t="shared" si="37"/>
        <v>2</v>
      </c>
      <c r="S24" s="1">
        <f t="shared" si="37"/>
        <v>9</v>
      </c>
      <c r="T24" s="1">
        <f t="shared" si="37"/>
        <v>2</v>
      </c>
      <c r="U24" s="1">
        <f t="shared" si="37"/>
        <v>10</v>
      </c>
      <c r="V24" s="1">
        <f t="shared" si="37"/>
        <v>2</v>
      </c>
      <c r="W24" s="1">
        <f t="shared" si="37"/>
        <v>2</v>
      </c>
      <c r="X24" s="1">
        <f t="shared" si="37"/>
        <v>2</v>
      </c>
      <c r="Y24" s="1">
        <f t="shared" si="37"/>
        <v>2</v>
      </c>
      <c r="Z24" s="1">
        <f t="shared" si="37"/>
        <v>2</v>
      </c>
      <c r="AA24" s="1">
        <f t="shared" si="37"/>
        <v>2</v>
      </c>
    </row>
    <row r="30" spans="1:43" x14ac:dyDescent="0.3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11</v>
      </c>
      <c r="M30" t="s">
        <v>12</v>
      </c>
    </row>
    <row r="31" spans="1:43" x14ac:dyDescent="0.3">
      <c r="A31" t="s">
        <v>861</v>
      </c>
      <c r="B31" t="s">
        <v>862</v>
      </c>
      <c r="C31" t="s">
        <v>863</v>
      </c>
      <c r="D31" t="s">
        <v>863</v>
      </c>
      <c r="E31" t="s">
        <v>147</v>
      </c>
      <c r="F31" t="s">
        <v>864</v>
      </c>
      <c r="G31" t="s">
        <v>148</v>
      </c>
      <c r="H31" t="s">
        <v>148</v>
      </c>
      <c r="I31" t="s">
        <v>149</v>
      </c>
      <c r="J31" t="s">
        <v>19</v>
      </c>
      <c r="K31" t="s">
        <v>601</v>
      </c>
      <c r="L31" t="s">
        <v>118</v>
      </c>
      <c r="M31" t="s">
        <v>22</v>
      </c>
      <c r="O31" s="1" t="str">
        <f>REPT(" ",(A$67-LEN(A31)+2))</f>
        <v xml:space="preserve">  </v>
      </c>
      <c r="P31" s="1" t="str">
        <f t="shared" ref="P31:P65" si="38">REPT(" ",(B$67-LEN(B31)+2))</f>
        <v xml:space="preserve">    </v>
      </c>
      <c r="Q31" s="1" t="str">
        <f t="shared" ref="Q31:Q65" si="39">REPT(" ",(C$67-LEN(C31)+2))</f>
        <v xml:space="preserve">        </v>
      </c>
      <c r="R31" s="1" t="str">
        <f t="shared" ref="R31:R65" si="40">REPT(" ",(D$67-LEN(D31)+2))</f>
        <v xml:space="preserve">        </v>
      </c>
      <c r="S31" s="1" t="str">
        <f t="shared" ref="S31:S65" si="41">REPT(" ",(E$67-LEN(E31)+2))</f>
        <v xml:space="preserve">                 </v>
      </c>
      <c r="T31" s="1" t="str">
        <f t="shared" ref="T31:T65" si="42">REPT(" ",(F$67-LEN(F31)+2))</f>
        <v xml:space="preserve">   </v>
      </c>
      <c r="U31" s="1" t="str">
        <f t="shared" ref="U31:U65" si="43">REPT(" ",(G$67-LEN(G31)+2))</f>
        <v xml:space="preserve">  </v>
      </c>
      <c r="V31" s="1" t="str">
        <f t="shared" ref="V31:V65" si="44">REPT(" ",(H$67-LEN(H31)+2))</f>
        <v xml:space="preserve">  </v>
      </c>
      <c r="W31" s="1" t="str">
        <f t="shared" ref="W31:W65" si="45">REPT(" ",(I$67-LEN(I31)+2))</f>
        <v xml:space="preserve">  </v>
      </c>
      <c r="X31" s="1" t="str">
        <f t="shared" ref="X31:X65" si="46">REPT(" ",(J$67-LEN(J31)+2))</f>
        <v xml:space="preserve">  </v>
      </c>
      <c r="Y31" s="1" t="str">
        <f t="shared" ref="Y31:Y65" si="47">REPT(" ",(K$67-LEN(K31)+2))</f>
        <v xml:space="preserve">  </v>
      </c>
      <c r="Z31" s="1" t="str">
        <f t="shared" ref="Z31:Z65" si="48">REPT(" ",(L$67-LEN(L31)+2))</f>
        <v xml:space="preserve">  </v>
      </c>
      <c r="AA31" s="1" t="str">
        <f t="shared" ref="AA31:AA65" si="49">REPT(" ",(M$67-LEN(M31)+2))</f>
        <v xml:space="preserve">  </v>
      </c>
      <c r="AC31" s="1" t="str">
        <f t="shared" ref="AC31:AC65" si="50">""""&amp;A$1&amp;""""&amp;": "&amp;""""&amp;A31&amp;""""&amp;O31</f>
        <v xml:space="preserve">"Data": "hs32"  </v>
      </c>
      <c r="AD31" s="1" t="str">
        <f t="shared" ref="AD31:AD65" si="51">""""&amp;B$1&amp;""""&amp;": "&amp;""""&amp;B31&amp;""""&amp;P31</f>
        <v xml:space="preserve">"ID": "BSPA.MAM2A4.P1"    </v>
      </c>
      <c r="AE31" s="1" t="str">
        <f t="shared" ref="AE31:AE65" si="52">""""&amp;C$1&amp;""""&amp;": "&amp;""""&amp;C31&amp;""""&amp;Q31</f>
        <v xml:space="preserve">"Name": "Owner occupier property use"        </v>
      </c>
      <c r="AF31" s="1" t="str">
        <f t="shared" ref="AF31:AF65" si="53">""""&amp;D$1&amp;""""&amp;": "&amp;""""&amp;D31&amp;""""&amp;R31</f>
        <v xml:space="preserve">"Class_1": "Owner occupier property use"        </v>
      </c>
      <c r="AG31" s="1" t="str">
        <f t="shared" ref="AG31:AG65" si="54">""""&amp;E$1&amp;""""&amp;": "&amp;""""&amp;E31&amp;""""&amp;S31</f>
        <v xml:space="preserve">"Class_2": "Total"                 </v>
      </c>
      <c r="AH31" s="1" t="str">
        <f t="shared" ref="AH31:AH65" si="55">""""&amp;F$1&amp;""""&amp;": "&amp;""""&amp;F31&amp;""""&amp;T31</f>
        <v xml:space="preserve">"Class_3": "Use"   </v>
      </c>
      <c r="AI31" s="1" t="str">
        <f t="shared" ref="AI31:AI65" si="56">""""&amp;G$1&amp;""""&amp;": "&amp;""""&amp;G31&amp;""""&amp;U31</f>
        <v xml:space="preserve">"Unit": "NZDm"  </v>
      </c>
      <c r="AJ31" s="1" t="str">
        <f t="shared" ref="AJ31:AJ65" si="57">""""&amp;H$1&amp;""""&amp;": "&amp;""""&amp;H31&amp;""""&amp;V31</f>
        <v xml:space="preserve">"Dim": "NZDm"  </v>
      </c>
      <c r="AK31" s="1" t="str">
        <f t="shared" ref="AK31:AK65" si="58">""""&amp;I$1&amp;""""&amp;": "&amp;""""&amp;I31&amp;""""&amp;W31</f>
        <v xml:space="preserve">"Tick": ",d"  </v>
      </c>
      <c r="AL31" s="1" t="str">
        <f t="shared" ref="AL31:AL65" si="59">""""&amp;J$1&amp;""""&amp;": "&amp;""""&amp;J31&amp;""""&amp;X31</f>
        <v xml:space="preserve">"Palette": "qual"  </v>
      </c>
      <c r="AM31" s="1" t="str">
        <f t="shared" ref="AM31:AM65" si="60">""""&amp;K$1&amp;""""&amp;": "&amp;""""&amp;K31&amp;""""&amp;Y31</f>
        <v xml:space="preserve">"ColourKey": "teal_dark"  </v>
      </c>
      <c r="AN31" s="1" t="str">
        <f t="shared" ref="AN31:AN65" si="61">""""&amp;L$1&amp;""""&amp;": "&amp;""""&amp;L31&amp;""""&amp;Z31</f>
        <v xml:space="preserve">"Style": "Fill"  </v>
      </c>
      <c r="AO31" s="1" t="str">
        <f t="shared" ref="AO31:AO65" si="62">""""&amp;M$1&amp;""""&amp;": "&amp;""""&amp;M31&amp;""""&amp;AA31</f>
        <v xml:space="preserve">"Prefix": "NA"  </v>
      </c>
      <c r="AQ31" s="1" t="str">
        <f t="shared" ref="AQ31:AQ65" si="63">"{ "&amp;_xlfn.TEXTJOIN(", ",FALSE,AC31:AO31)&amp;" },"</f>
        <v>{ "Data": "hs32"  , "ID": "BSPA.MAM2A4.P1"    , "Name": "Owner occupier property use"        , "Class_1": "Owner occupier property use"        , "Class_2": "Total"                 , "Class_3": "Use"   , "Unit": "NZDm"  , "Dim": "NZDm"  , "Tick": ",d"  , "Palette": "qual"  , "ColourKey": "teal_dark"  , "Style": "Fill"  , "Prefix": "NA"   },</v>
      </c>
    </row>
    <row r="32" spans="1:43" x14ac:dyDescent="0.3">
      <c r="A32" t="s">
        <v>861</v>
      </c>
      <c r="B32" t="s">
        <v>865</v>
      </c>
      <c r="C32" t="s">
        <v>866</v>
      </c>
      <c r="D32" t="s">
        <v>863</v>
      </c>
      <c r="E32" t="s">
        <v>866</v>
      </c>
      <c r="F32" t="s">
        <v>867</v>
      </c>
      <c r="G32" t="s">
        <v>148</v>
      </c>
      <c r="H32" t="s">
        <v>148</v>
      </c>
      <c r="I32" t="s">
        <v>149</v>
      </c>
      <c r="J32" t="s">
        <v>19</v>
      </c>
      <c r="K32" t="s">
        <v>601</v>
      </c>
      <c r="L32" t="s">
        <v>118</v>
      </c>
      <c r="M32" t="s">
        <v>22</v>
      </c>
      <c r="O32" s="1" t="str">
        <f t="shared" ref="O32:O65" si="64">REPT(" ",(A$67-LEN(A32)+2))</f>
        <v xml:space="preserve">  </v>
      </c>
      <c r="P32" s="1" t="str">
        <f t="shared" si="38"/>
        <v xml:space="preserve">  </v>
      </c>
      <c r="Q32" s="1" t="str">
        <f t="shared" si="39"/>
        <v xml:space="preserve">                      </v>
      </c>
      <c r="R32" s="1" t="str">
        <f t="shared" si="40"/>
        <v xml:space="preserve">        </v>
      </c>
      <c r="S32" s="1" t="str">
        <f t="shared" si="41"/>
        <v xml:space="preserve">         </v>
      </c>
      <c r="T32" s="1" t="str">
        <f t="shared" si="42"/>
        <v xml:space="preserve">  </v>
      </c>
      <c r="U32" s="1" t="str">
        <f t="shared" si="43"/>
        <v xml:space="preserve">  </v>
      </c>
      <c r="V32" s="1" t="str">
        <f t="shared" si="44"/>
        <v xml:space="preserve">  </v>
      </c>
      <c r="W32" s="1" t="str">
        <f t="shared" si="45"/>
        <v xml:space="preserve">  </v>
      </c>
      <c r="X32" s="1" t="str">
        <f t="shared" si="46"/>
        <v xml:space="preserve">  </v>
      </c>
      <c r="Y32" s="1" t="str">
        <f t="shared" si="47"/>
        <v xml:space="preserve">  </v>
      </c>
      <c r="Z32" s="1" t="str">
        <f t="shared" si="48"/>
        <v xml:space="preserve">  </v>
      </c>
      <c r="AA32" s="1" t="str">
        <f t="shared" si="49"/>
        <v xml:space="preserve">  </v>
      </c>
      <c r="AC32" s="1" t="str">
        <f t="shared" si="50"/>
        <v xml:space="preserve">"Data": "hs32"  </v>
      </c>
      <c r="AD32" s="1" t="str">
        <f t="shared" si="51"/>
        <v xml:space="preserve">"ID": "BSPA.MAM2A4.P1H1"  </v>
      </c>
      <c r="AE32" s="1" t="str">
        <f t="shared" si="52"/>
        <v xml:space="preserve">"Name": "Interest only"                      </v>
      </c>
      <c r="AF32" s="1" t="str">
        <f t="shared" si="53"/>
        <v xml:space="preserve">"Class_1": "Owner occupier property use"        </v>
      </c>
      <c r="AG32" s="1" t="str">
        <f t="shared" si="54"/>
        <v xml:space="preserve">"Class_2": "Interest only"         </v>
      </c>
      <c r="AH32" s="1" t="str">
        <f t="shared" si="55"/>
        <v xml:space="preserve">"Class_3": "Type"  </v>
      </c>
      <c r="AI32" s="1" t="str">
        <f t="shared" si="56"/>
        <v xml:space="preserve">"Unit": "NZDm"  </v>
      </c>
      <c r="AJ32" s="1" t="str">
        <f t="shared" si="57"/>
        <v xml:space="preserve">"Dim": "NZDm"  </v>
      </c>
      <c r="AK32" s="1" t="str">
        <f t="shared" si="58"/>
        <v xml:space="preserve">"Tick": ",d"  </v>
      </c>
      <c r="AL32" s="1" t="str">
        <f t="shared" si="59"/>
        <v xml:space="preserve">"Palette": "qual"  </v>
      </c>
      <c r="AM32" s="1" t="str">
        <f t="shared" si="60"/>
        <v xml:space="preserve">"ColourKey": "teal_dark"  </v>
      </c>
      <c r="AN32" s="1" t="str">
        <f t="shared" si="61"/>
        <v xml:space="preserve">"Style": "Fill"  </v>
      </c>
      <c r="AO32" s="1" t="str">
        <f t="shared" si="62"/>
        <v xml:space="preserve">"Prefix": "NA"  </v>
      </c>
      <c r="AQ32" s="1" t="str">
        <f t="shared" si="63"/>
        <v>{ "Data": "hs32"  , "ID": "BSPA.MAM2A4.P1H1"  , "Name": "Interest only"                      , "Class_1": "Owner occupier property use"        , "Class_2": "Interest only"         , "Class_3": "Type"  , "Unit": "NZDm"  , "Dim": "NZDm"  , "Tick": ",d"  , "Palette": "qual"  , "ColourKey": "teal_dark"  , "Style": "Fill"  , "Prefix": "NA"   },</v>
      </c>
    </row>
    <row r="33" spans="1:43" x14ac:dyDescent="0.3">
      <c r="A33" t="s">
        <v>861</v>
      </c>
      <c r="B33" t="s">
        <v>868</v>
      </c>
      <c r="C33" t="s">
        <v>869</v>
      </c>
      <c r="D33" t="s">
        <v>863</v>
      </c>
      <c r="E33" t="s">
        <v>869</v>
      </c>
      <c r="F33" t="s">
        <v>867</v>
      </c>
      <c r="G33" t="s">
        <v>148</v>
      </c>
      <c r="H33" t="s">
        <v>148</v>
      </c>
      <c r="I33" t="s">
        <v>149</v>
      </c>
      <c r="J33" t="s">
        <v>19</v>
      </c>
      <c r="K33" t="s">
        <v>601</v>
      </c>
      <c r="L33" t="s">
        <v>118</v>
      </c>
      <c r="M33" t="s">
        <v>22</v>
      </c>
      <c r="O33" s="1" t="str">
        <f t="shared" si="64"/>
        <v xml:space="preserve">  </v>
      </c>
      <c r="P33" s="1" t="str">
        <f t="shared" si="38"/>
        <v xml:space="preserve">  </v>
      </c>
      <c r="Q33" s="1" t="str">
        <f t="shared" si="39"/>
        <v xml:space="preserve">                   </v>
      </c>
      <c r="R33" s="1" t="str">
        <f t="shared" si="40"/>
        <v xml:space="preserve">        </v>
      </c>
      <c r="S33" s="1" t="str">
        <f t="shared" si="41"/>
        <v xml:space="preserve">      </v>
      </c>
      <c r="T33" s="1" t="str">
        <f t="shared" si="42"/>
        <v xml:space="preserve">  </v>
      </c>
      <c r="U33" s="1" t="str">
        <f t="shared" si="43"/>
        <v xml:space="preserve">  </v>
      </c>
      <c r="V33" s="1" t="str">
        <f t="shared" si="44"/>
        <v xml:space="preserve">  </v>
      </c>
      <c r="W33" s="1" t="str">
        <f t="shared" si="45"/>
        <v xml:space="preserve">  </v>
      </c>
      <c r="X33" s="1" t="str">
        <f t="shared" si="46"/>
        <v xml:space="preserve">  </v>
      </c>
      <c r="Y33" s="1" t="str">
        <f t="shared" si="47"/>
        <v xml:space="preserve">  </v>
      </c>
      <c r="Z33" s="1" t="str">
        <f t="shared" si="48"/>
        <v xml:space="preserve">  </v>
      </c>
      <c r="AA33" s="1" t="str">
        <f t="shared" si="49"/>
        <v xml:space="preserve">  </v>
      </c>
      <c r="AC33" s="1" t="str">
        <f t="shared" si="50"/>
        <v xml:space="preserve">"Data": "hs32"  </v>
      </c>
      <c r="AD33" s="1" t="str">
        <f t="shared" si="51"/>
        <v xml:space="preserve">"ID": "BSPA.MAM2A4.P1H2"  </v>
      </c>
      <c r="AE33" s="1" t="str">
        <f t="shared" si="52"/>
        <v xml:space="preserve">"Name": "Revolving credit"                   </v>
      </c>
      <c r="AF33" s="1" t="str">
        <f t="shared" si="53"/>
        <v xml:space="preserve">"Class_1": "Owner occupier property use"        </v>
      </c>
      <c r="AG33" s="1" t="str">
        <f t="shared" si="54"/>
        <v xml:space="preserve">"Class_2": "Revolving credit"      </v>
      </c>
      <c r="AH33" s="1" t="str">
        <f t="shared" si="55"/>
        <v xml:space="preserve">"Class_3": "Type"  </v>
      </c>
      <c r="AI33" s="1" t="str">
        <f t="shared" si="56"/>
        <v xml:space="preserve">"Unit": "NZDm"  </v>
      </c>
      <c r="AJ33" s="1" t="str">
        <f t="shared" si="57"/>
        <v xml:space="preserve">"Dim": "NZDm"  </v>
      </c>
      <c r="AK33" s="1" t="str">
        <f t="shared" si="58"/>
        <v xml:space="preserve">"Tick": ",d"  </v>
      </c>
      <c r="AL33" s="1" t="str">
        <f t="shared" si="59"/>
        <v xml:space="preserve">"Palette": "qual"  </v>
      </c>
      <c r="AM33" s="1" t="str">
        <f t="shared" si="60"/>
        <v xml:space="preserve">"ColourKey": "teal_dark"  </v>
      </c>
      <c r="AN33" s="1" t="str">
        <f t="shared" si="61"/>
        <v xml:space="preserve">"Style": "Fill"  </v>
      </c>
      <c r="AO33" s="1" t="str">
        <f t="shared" si="62"/>
        <v xml:space="preserve">"Prefix": "NA"  </v>
      </c>
      <c r="AQ33" s="1" t="str">
        <f t="shared" si="63"/>
        <v>{ "Data": "hs32"  , "ID": "BSPA.MAM2A4.P1H2"  , "Name": "Revolving credit"                   , "Class_1": "Owner occupier property use"        , "Class_2": "Revolving credit"      , "Class_3": "Type"  , "Unit": "NZDm"  , "Dim": "NZDm"  , "Tick": ",d"  , "Palette": "qual"  , "ColourKey": "teal_dark"  , "Style": "Fill"  , "Prefix": "NA"   },</v>
      </c>
    </row>
    <row r="34" spans="1:43" x14ac:dyDescent="0.3">
      <c r="A34" t="s">
        <v>861</v>
      </c>
      <c r="B34" t="s">
        <v>870</v>
      </c>
      <c r="C34" t="s">
        <v>871</v>
      </c>
      <c r="D34" t="s">
        <v>863</v>
      </c>
      <c r="E34" t="s">
        <v>871</v>
      </c>
      <c r="F34" t="s">
        <v>867</v>
      </c>
      <c r="G34" t="s">
        <v>148</v>
      </c>
      <c r="H34" t="s">
        <v>148</v>
      </c>
      <c r="I34" t="s">
        <v>149</v>
      </c>
      <c r="J34" t="s">
        <v>19</v>
      </c>
      <c r="K34" t="s">
        <v>601</v>
      </c>
      <c r="L34" t="s">
        <v>118</v>
      </c>
      <c r="M34" t="s">
        <v>22</v>
      </c>
      <c r="O34" s="1" t="str">
        <f t="shared" si="64"/>
        <v xml:space="preserve">  </v>
      </c>
      <c r="P34" s="1" t="str">
        <f t="shared" si="38"/>
        <v xml:space="preserve">  </v>
      </c>
      <c r="Q34" s="1" t="str">
        <f t="shared" si="39"/>
        <v xml:space="preserve">               </v>
      </c>
      <c r="R34" s="1" t="str">
        <f t="shared" si="40"/>
        <v xml:space="preserve">        </v>
      </c>
      <c r="S34" s="1" t="str">
        <f t="shared" si="41"/>
        <v xml:space="preserve">  </v>
      </c>
      <c r="T34" s="1" t="str">
        <f t="shared" si="42"/>
        <v xml:space="preserve">  </v>
      </c>
      <c r="U34" s="1" t="str">
        <f t="shared" si="43"/>
        <v xml:space="preserve">  </v>
      </c>
      <c r="V34" s="1" t="str">
        <f t="shared" si="44"/>
        <v xml:space="preserve">  </v>
      </c>
      <c r="W34" s="1" t="str">
        <f t="shared" si="45"/>
        <v xml:space="preserve">  </v>
      </c>
      <c r="X34" s="1" t="str">
        <f t="shared" si="46"/>
        <v xml:space="preserve">  </v>
      </c>
      <c r="Y34" s="1" t="str">
        <f t="shared" si="47"/>
        <v xml:space="preserve">  </v>
      </c>
      <c r="Z34" s="1" t="str">
        <f t="shared" si="48"/>
        <v xml:space="preserve">  </v>
      </c>
      <c r="AA34" s="1" t="str">
        <f t="shared" si="49"/>
        <v xml:space="preserve">  </v>
      </c>
      <c r="AC34" s="1" t="str">
        <f t="shared" si="50"/>
        <v xml:space="preserve">"Data": "hs32"  </v>
      </c>
      <c r="AD34" s="1" t="str">
        <f t="shared" si="51"/>
        <v xml:space="preserve">"ID": "BSPA.MAM2A4.P1H3"  </v>
      </c>
      <c r="AE34" s="1" t="str">
        <f t="shared" si="52"/>
        <v xml:space="preserve">"Name": "Principal &amp; interest"               </v>
      </c>
      <c r="AF34" s="1" t="str">
        <f t="shared" si="53"/>
        <v xml:space="preserve">"Class_1": "Owner occupier property use"        </v>
      </c>
      <c r="AG34" s="1" t="str">
        <f t="shared" si="54"/>
        <v xml:space="preserve">"Class_2": "Principal &amp; interest"  </v>
      </c>
      <c r="AH34" s="1" t="str">
        <f t="shared" si="55"/>
        <v xml:space="preserve">"Class_3": "Type"  </v>
      </c>
      <c r="AI34" s="1" t="str">
        <f t="shared" si="56"/>
        <v xml:space="preserve">"Unit": "NZDm"  </v>
      </c>
      <c r="AJ34" s="1" t="str">
        <f t="shared" si="57"/>
        <v xml:space="preserve">"Dim": "NZDm"  </v>
      </c>
      <c r="AK34" s="1" t="str">
        <f t="shared" si="58"/>
        <v xml:space="preserve">"Tick": ",d"  </v>
      </c>
      <c r="AL34" s="1" t="str">
        <f t="shared" si="59"/>
        <v xml:space="preserve">"Palette": "qual"  </v>
      </c>
      <c r="AM34" s="1" t="str">
        <f t="shared" si="60"/>
        <v xml:space="preserve">"ColourKey": "teal_dark"  </v>
      </c>
      <c r="AN34" s="1" t="str">
        <f t="shared" si="61"/>
        <v xml:space="preserve">"Style": "Fill"  </v>
      </c>
      <c r="AO34" s="1" t="str">
        <f t="shared" si="62"/>
        <v xml:space="preserve">"Prefix": "NA"  </v>
      </c>
      <c r="AQ34" s="1" t="str">
        <f t="shared" si="63"/>
        <v>{ "Data": "hs32"  , "ID": "BSPA.MAM2A4.P1H3"  , "Name": "Principal &amp; interest"               , "Class_1": "Owner occupier property use"        , "Class_2": "Principal &amp; interest"  , "Class_3": "Type"  , "Unit": "NZDm"  , "Dim": "NZDm"  , "Tick": ",d"  , "Palette": "qual"  , "ColourKey": "teal_dark"  , "Style": "Fill"  , "Prefix": "NA"   },</v>
      </c>
    </row>
    <row r="35" spans="1:43" x14ac:dyDescent="0.3">
      <c r="A35" t="s">
        <v>861</v>
      </c>
      <c r="B35" t="s">
        <v>872</v>
      </c>
      <c r="C35" t="s">
        <v>873</v>
      </c>
      <c r="D35" t="s">
        <v>863</v>
      </c>
      <c r="E35" t="s">
        <v>873</v>
      </c>
      <c r="F35" t="s">
        <v>867</v>
      </c>
      <c r="G35" t="s">
        <v>148</v>
      </c>
      <c r="H35" t="s">
        <v>148</v>
      </c>
      <c r="I35" t="s">
        <v>149</v>
      </c>
      <c r="J35" t="s">
        <v>19</v>
      </c>
      <c r="K35" t="s">
        <v>601</v>
      </c>
      <c r="L35" t="s">
        <v>118</v>
      </c>
      <c r="M35" t="s">
        <v>22</v>
      </c>
      <c r="O35" s="1" t="str">
        <f t="shared" si="64"/>
        <v xml:space="preserve">  </v>
      </c>
      <c r="P35" s="1" t="str">
        <f t="shared" si="38"/>
        <v xml:space="preserve">  </v>
      </c>
      <c r="Q35" s="1" t="str">
        <f t="shared" si="39"/>
        <v xml:space="preserve">                              </v>
      </c>
      <c r="R35" s="1" t="str">
        <f t="shared" si="40"/>
        <v xml:space="preserve">        </v>
      </c>
      <c r="S35" s="1" t="str">
        <f t="shared" si="41"/>
        <v xml:space="preserve">                 </v>
      </c>
      <c r="T35" s="1" t="str">
        <f t="shared" si="42"/>
        <v xml:space="preserve">  </v>
      </c>
      <c r="U35" s="1" t="str">
        <f t="shared" si="43"/>
        <v xml:space="preserve">  </v>
      </c>
      <c r="V35" s="1" t="str">
        <f t="shared" si="44"/>
        <v xml:space="preserve">  </v>
      </c>
      <c r="W35" s="1" t="str">
        <f t="shared" si="45"/>
        <v xml:space="preserve">  </v>
      </c>
      <c r="X35" s="1" t="str">
        <f t="shared" si="46"/>
        <v xml:space="preserve">  </v>
      </c>
      <c r="Y35" s="1" t="str">
        <f t="shared" si="47"/>
        <v xml:space="preserve">  </v>
      </c>
      <c r="Z35" s="1" t="str">
        <f t="shared" si="48"/>
        <v xml:space="preserve">  </v>
      </c>
      <c r="AA35" s="1" t="str">
        <f t="shared" si="49"/>
        <v xml:space="preserve">  </v>
      </c>
      <c r="AC35" s="1" t="str">
        <f t="shared" si="50"/>
        <v xml:space="preserve">"Data": "hs32"  </v>
      </c>
      <c r="AD35" s="1" t="str">
        <f t="shared" si="51"/>
        <v xml:space="preserve">"ID": "BSPA.MAM2A4.P1H6"  </v>
      </c>
      <c r="AE35" s="1" t="str">
        <f t="shared" si="52"/>
        <v xml:space="preserve">"Name": "Other"                              </v>
      </c>
      <c r="AF35" s="1" t="str">
        <f t="shared" si="53"/>
        <v xml:space="preserve">"Class_1": "Owner occupier property use"        </v>
      </c>
      <c r="AG35" s="1" t="str">
        <f t="shared" si="54"/>
        <v xml:space="preserve">"Class_2": "Other"                 </v>
      </c>
      <c r="AH35" s="1" t="str">
        <f t="shared" si="55"/>
        <v xml:space="preserve">"Class_3": "Type"  </v>
      </c>
      <c r="AI35" s="1" t="str">
        <f t="shared" si="56"/>
        <v xml:space="preserve">"Unit": "NZDm"  </v>
      </c>
      <c r="AJ35" s="1" t="str">
        <f t="shared" si="57"/>
        <v xml:space="preserve">"Dim": "NZDm"  </v>
      </c>
      <c r="AK35" s="1" t="str">
        <f t="shared" si="58"/>
        <v xml:space="preserve">"Tick": ",d"  </v>
      </c>
      <c r="AL35" s="1" t="str">
        <f t="shared" si="59"/>
        <v xml:space="preserve">"Palette": "qual"  </v>
      </c>
      <c r="AM35" s="1" t="str">
        <f t="shared" si="60"/>
        <v xml:space="preserve">"ColourKey": "teal_dark"  </v>
      </c>
      <c r="AN35" s="1" t="str">
        <f t="shared" si="61"/>
        <v xml:space="preserve">"Style": "Fill"  </v>
      </c>
      <c r="AO35" s="1" t="str">
        <f t="shared" si="62"/>
        <v xml:space="preserve">"Prefix": "NA"  </v>
      </c>
      <c r="AQ35" s="1" t="str">
        <f t="shared" si="63"/>
        <v>{ "Data": "hs32"  , "ID": "BSPA.MAM2A4.P1H6"  , "Name": "Other"                              , "Class_1": "Owner occupier property use"        , "Class_2": "Other"                 , "Class_3": "Type"  , "Unit": "NZDm"  , "Dim": "NZDm"  , "Tick": ",d"  , "Palette": "qual"  , "ColourKey": "teal_dark"  , "Style": "Fill"  , "Prefix": "NA"   },</v>
      </c>
    </row>
    <row r="36" spans="1:43" x14ac:dyDescent="0.3">
      <c r="A36" t="s">
        <v>861</v>
      </c>
      <c r="B36" t="s">
        <v>874</v>
      </c>
      <c r="C36" t="s">
        <v>875</v>
      </c>
      <c r="D36" t="s">
        <v>875</v>
      </c>
      <c r="E36" t="s">
        <v>147</v>
      </c>
      <c r="F36" t="s">
        <v>864</v>
      </c>
      <c r="G36" t="s">
        <v>148</v>
      </c>
      <c r="H36" t="s">
        <v>148</v>
      </c>
      <c r="I36" t="s">
        <v>149</v>
      </c>
      <c r="J36" t="s">
        <v>19</v>
      </c>
      <c r="K36" t="s">
        <v>601</v>
      </c>
      <c r="L36" t="s">
        <v>118</v>
      </c>
      <c r="M36" t="s">
        <v>22</v>
      </c>
      <c r="O36" s="1" t="str">
        <f t="shared" si="64"/>
        <v xml:space="preserve">  </v>
      </c>
      <c r="P36" s="1" t="str">
        <f t="shared" si="38"/>
        <v xml:space="preserve">    </v>
      </c>
      <c r="Q36" s="1" t="str">
        <f t="shared" si="39"/>
        <v xml:space="preserve">  </v>
      </c>
      <c r="R36" s="1" t="str">
        <f t="shared" si="40"/>
        <v xml:space="preserve">  </v>
      </c>
      <c r="S36" s="1" t="str">
        <f t="shared" si="41"/>
        <v xml:space="preserve">                 </v>
      </c>
      <c r="T36" s="1" t="str">
        <f t="shared" si="42"/>
        <v xml:space="preserve">   </v>
      </c>
      <c r="U36" s="1" t="str">
        <f t="shared" si="43"/>
        <v xml:space="preserve">  </v>
      </c>
      <c r="V36" s="1" t="str">
        <f t="shared" si="44"/>
        <v xml:space="preserve">  </v>
      </c>
      <c r="W36" s="1" t="str">
        <f t="shared" si="45"/>
        <v xml:space="preserve">  </v>
      </c>
      <c r="X36" s="1" t="str">
        <f t="shared" si="46"/>
        <v xml:space="preserve">  </v>
      </c>
      <c r="Y36" s="1" t="str">
        <f t="shared" si="47"/>
        <v xml:space="preserve">  </v>
      </c>
      <c r="Z36" s="1" t="str">
        <f t="shared" si="48"/>
        <v xml:space="preserve">  </v>
      </c>
      <c r="AA36" s="1" t="str">
        <f t="shared" si="49"/>
        <v xml:space="preserve">  </v>
      </c>
      <c r="AC36" s="1" t="str">
        <f t="shared" si="50"/>
        <v xml:space="preserve">"Data": "hs32"  </v>
      </c>
      <c r="AD36" s="1" t="str">
        <f t="shared" si="51"/>
        <v xml:space="preserve">"ID": "BSPA.MAM3A4.P1"    </v>
      </c>
      <c r="AE36" s="1" t="str">
        <f t="shared" si="52"/>
        <v xml:space="preserve">"Name": "Residential investor property use"  </v>
      </c>
      <c r="AF36" s="1" t="str">
        <f t="shared" si="53"/>
        <v xml:space="preserve">"Class_1": "Residential investor property use"  </v>
      </c>
      <c r="AG36" s="1" t="str">
        <f t="shared" si="54"/>
        <v xml:space="preserve">"Class_2": "Total"                 </v>
      </c>
      <c r="AH36" s="1" t="str">
        <f t="shared" si="55"/>
        <v xml:space="preserve">"Class_3": "Use"   </v>
      </c>
      <c r="AI36" s="1" t="str">
        <f t="shared" si="56"/>
        <v xml:space="preserve">"Unit": "NZDm"  </v>
      </c>
      <c r="AJ36" s="1" t="str">
        <f t="shared" si="57"/>
        <v xml:space="preserve">"Dim": "NZDm"  </v>
      </c>
      <c r="AK36" s="1" t="str">
        <f t="shared" si="58"/>
        <v xml:space="preserve">"Tick": ",d"  </v>
      </c>
      <c r="AL36" s="1" t="str">
        <f t="shared" si="59"/>
        <v xml:space="preserve">"Palette": "qual"  </v>
      </c>
      <c r="AM36" s="1" t="str">
        <f t="shared" si="60"/>
        <v xml:space="preserve">"ColourKey": "teal_dark"  </v>
      </c>
      <c r="AN36" s="1" t="str">
        <f t="shared" si="61"/>
        <v xml:space="preserve">"Style": "Fill"  </v>
      </c>
      <c r="AO36" s="1" t="str">
        <f t="shared" si="62"/>
        <v xml:space="preserve">"Prefix": "NA"  </v>
      </c>
      <c r="AQ36" s="1" t="str">
        <f t="shared" si="63"/>
        <v>{ "Data": "hs32"  , "ID": "BSPA.MAM3A4.P1"    , "Name": "Residential investor property use"  , "Class_1": "Residential investor property use"  , "Class_2": "Total"                 , "Class_3": "Use"   , "Unit": "NZDm"  , "Dim": "NZDm"  , "Tick": ",d"  , "Palette": "qual"  , "ColourKey": "teal_dark"  , "Style": "Fill"  , "Prefix": "NA"   },</v>
      </c>
    </row>
    <row r="37" spans="1:43" x14ac:dyDescent="0.3">
      <c r="A37" t="s">
        <v>861</v>
      </c>
      <c r="B37" t="s">
        <v>876</v>
      </c>
      <c r="C37" t="s">
        <v>866</v>
      </c>
      <c r="D37" t="s">
        <v>875</v>
      </c>
      <c r="E37" t="s">
        <v>866</v>
      </c>
      <c r="F37" t="s">
        <v>867</v>
      </c>
      <c r="G37" t="s">
        <v>148</v>
      </c>
      <c r="H37" t="s">
        <v>148</v>
      </c>
      <c r="I37" t="s">
        <v>149</v>
      </c>
      <c r="J37" t="s">
        <v>19</v>
      </c>
      <c r="K37" t="s">
        <v>601</v>
      </c>
      <c r="L37" t="s">
        <v>118</v>
      </c>
      <c r="M37" t="s">
        <v>22</v>
      </c>
      <c r="O37" s="1" t="str">
        <f t="shared" si="64"/>
        <v xml:space="preserve">  </v>
      </c>
      <c r="P37" s="1" t="str">
        <f t="shared" si="38"/>
        <v xml:space="preserve">  </v>
      </c>
      <c r="Q37" s="1" t="str">
        <f t="shared" si="39"/>
        <v xml:space="preserve">                      </v>
      </c>
      <c r="R37" s="1" t="str">
        <f t="shared" si="40"/>
        <v xml:space="preserve">  </v>
      </c>
      <c r="S37" s="1" t="str">
        <f t="shared" si="41"/>
        <v xml:space="preserve">         </v>
      </c>
      <c r="T37" s="1" t="str">
        <f t="shared" si="42"/>
        <v xml:space="preserve">  </v>
      </c>
      <c r="U37" s="1" t="str">
        <f t="shared" si="43"/>
        <v xml:space="preserve">  </v>
      </c>
      <c r="V37" s="1" t="str">
        <f t="shared" si="44"/>
        <v xml:space="preserve">  </v>
      </c>
      <c r="W37" s="1" t="str">
        <f t="shared" si="45"/>
        <v xml:space="preserve">  </v>
      </c>
      <c r="X37" s="1" t="str">
        <f t="shared" si="46"/>
        <v xml:space="preserve">  </v>
      </c>
      <c r="Y37" s="1" t="str">
        <f t="shared" si="47"/>
        <v xml:space="preserve">  </v>
      </c>
      <c r="Z37" s="1" t="str">
        <f t="shared" si="48"/>
        <v xml:space="preserve">  </v>
      </c>
      <c r="AA37" s="1" t="str">
        <f t="shared" si="49"/>
        <v xml:space="preserve">  </v>
      </c>
      <c r="AC37" s="1" t="str">
        <f t="shared" si="50"/>
        <v xml:space="preserve">"Data": "hs32"  </v>
      </c>
      <c r="AD37" s="1" t="str">
        <f t="shared" si="51"/>
        <v xml:space="preserve">"ID": "BSPA.MAM3A4.P1N1"  </v>
      </c>
      <c r="AE37" s="1" t="str">
        <f t="shared" si="52"/>
        <v xml:space="preserve">"Name": "Interest only"                      </v>
      </c>
      <c r="AF37" s="1" t="str">
        <f t="shared" si="53"/>
        <v xml:space="preserve">"Class_1": "Residential investor property use"  </v>
      </c>
      <c r="AG37" s="1" t="str">
        <f t="shared" si="54"/>
        <v xml:space="preserve">"Class_2": "Interest only"         </v>
      </c>
      <c r="AH37" s="1" t="str">
        <f t="shared" si="55"/>
        <v xml:space="preserve">"Class_3": "Type"  </v>
      </c>
      <c r="AI37" s="1" t="str">
        <f t="shared" si="56"/>
        <v xml:space="preserve">"Unit": "NZDm"  </v>
      </c>
      <c r="AJ37" s="1" t="str">
        <f t="shared" si="57"/>
        <v xml:space="preserve">"Dim": "NZDm"  </v>
      </c>
      <c r="AK37" s="1" t="str">
        <f t="shared" si="58"/>
        <v xml:space="preserve">"Tick": ",d"  </v>
      </c>
      <c r="AL37" s="1" t="str">
        <f t="shared" si="59"/>
        <v xml:space="preserve">"Palette": "qual"  </v>
      </c>
      <c r="AM37" s="1" t="str">
        <f t="shared" si="60"/>
        <v xml:space="preserve">"ColourKey": "teal_dark"  </v>
      </c>
      <c r="AN37" s="1" t="str">
        <f t="shared" si="61"/>
        <v xml:space="preserve">"Style": "Fill"  </v>
      </c>
      <c r="AO37" s="1" t="str">
        <f t="shared" si="62"/>
        <v xml:space="preserve">"Prefix": "NA"  </v>
      </c>
      <c r="AQ37" s="1" t="str">
        <f t="shared" si="63"/>
        <v>{ "Data": "hs32"  , "ID": "BSPA.MAM3A4.P1N1"  , "Name": "Interest only"                      , "Class_1": "Residential investor property use"  , "Class_2": "Interest only"         , "Class_3": "Type"  , "Unit": "NZDm"  , "Dim": "NZDm"  , "Tick": ",d"  , "Palette": "qual"  , "ColourKey": "teal_dark"  , "Style": "Fill"  , "Prefix": "NA"   },</v>
      </c>
    </row>
    <row r="38" spans="1:43" x14ac:dyDescent="0.3">
      <c r="A38" t="s">
        <v>861</v>
      </c>
      <c r="B38" t="s">
        <v>877</v>
      </c>
      <c r="C38" t="s">
        <v>869</v>
      </c>
      <c r="D38" t="s">
        <v>875</v>
      </c>
      <c r="E38" t="s">
        <v>869</v>
      </c>
      <c r="F38" t="s">
        <v>867</v>
      </c>
      <c r="G38" t="s">
        <v>148</v>
      </c>
      <c r="H38" t="s">
        <v>148</v>
      </c>
      <c r="I38" t="s">
        <v>149</v>
      </c>
      <c r="J38" t="s">
        <v>19</v>
      </c>
      <c r="K38" t="s">
        <v>601</v>
      </c>
      <c r="L38" t="s">
        <v>118</v>
      </c>
      <c r="M38" t="s">
        <v>22</v>
      </c>
      <c r="O38" s="1" t="str">
        <f t="shared" si="64"/>
        <v xml:space="preserve">  </v>
      </c>
      <c r="P38" s="1" t="str">
        <f t="shared" si="38"/>
        <v xml:space="preserve">  </v>
      </c>
      <c r="Q38" s="1" t="str">
        <f t="shared" si="39"/>
        <v xml:space="preserve">                   </v>
      </c>
      <c r="R38" s="1" t="str">
        <f t="shared" si="40"/>
        <v xml:space="preserve">  </v>
      </c>
      <c r="S38" s="1" t="str">
        <f t="shared" si="41"/>
        <v xml:space="preserve">      </v>
      </c>
      <c r="T38" s="1" t="str">
        <f t="shared" si="42"/>
        <v xml:space="preserve">  </v>
      </c>
      <c r="U38" s="1" t="str">
        <f t="shared" si="43"/>
        <v xml:space="preserve">  </v>
      </c>
      <c r="V38" s="1" t="str">
        <f t="shared" si="44"/>
        <v xml:space="preserve">  </v>
      </c>
      <c r="W38" s="1" t="str">
        <f t="shared" si="45"/>
        <v xml:space="preserve">  </v>
      </c>
      <c r="X38" s="1" t="str">
        <f t="shared" si="46"/>
        <v xml:space="preserve">  </v>
      </c>
      <c r="Y38" s="1" t="str">
        <f t="shared" si="47"/>
        <v xml:space="preserve">  </v>
      </c>
      <c r="Z38" s="1" t="str">
        <f t="shared" si="48"/>
        <v xml:space="preserve">  </v>
      </c>
      <c r="AA38" s="1" t="str">
        <f t="shared" si="49"/>
        <v xml:space="preserve">  </v>
      </c>
      <c r="AC38" s="1" t="str">
        <f t="shared" si="50"/>
        <v xml:space="preserve">"Data": "hs32"  </v>
      </c>
      <c r="AD38" s="1" t="str">
        <f t="shared" si="51"/>
        <v xml:space="preserve">"ID": "BSPA.MAM3A4.P1N2"  </v>
      </c>
      <c r="AE38" s="1" t="str">
        <f t="shared" si="52"/>
        <v xml:space="preserve">"Name": "Revolving credit"                   </v>
      </c>
      <c r="AF38" s="1" t="str">
        <f t="shared" si="53"/>
        <v xml:space="preserve">"Class_1": "Residential investor property use"  </v>
      </c>
      <c r="AG38" s="1" t="str">
        <f t="shared" si="54"/>
        <v xml:space="preserve">"Class_2": "Revolving credit"      </v>
      </c>
      <c r="AH38" s="1" t="str">
        <f t="shared" si="55"/>
        <v xml:space="preserve">"Class_3": "Type"  </v>
      </c>
      <c r="AI38" s="1" t="str">
        <f t="shared" si="56"/>
        <v xml:space="preserve">"Unit": "NZDm"  </v>
      </c>
      <c r="AJ38" s="1" t="str">
        <f t="shared" si="57"/>
        <v xml:space="preserve">"Dim": "NZDm"  </v>
      </c>
      <c r="AK38" s="1" t="str">
        <f t="shared" si="58"/>
        <v xml:space="preserve">"Tick": ",d"  </v>
      </c>
      <c r="AL38" s="1" t="str">
        <f t="shared" si="59"/>
        <v xml:space="preserve">"Palette": "qual"  </v>
      </c>
      <c r="AM38" s="1" t="str">
        <f t="shared" si="60"/>
        <v xml:space="preserve">"ColourKey": "teal_dark"  </v>
      </c>
      <c r="AN38" s="1" t="str">
        <f t="shared" si="61"/>
        <v xml:space="preserve">"Style": "Fill"  </v>
      </c>
      <c r="AO38" s="1" t="str">
        <f t="shared" si="62"/>
        <v xml:space="preserve">"Prefix": "NA"  </v>
      </c>
      <c r="AQ38" s="1" t="str">
        <f t="shared" si="63"/>
        <v>{ "Data": "hs32"  , "ID": "BSPA.MAM3A4.P1N2"  , "Name": "Revolving credit"                   , "Class_1": "Residential investor property use"  , "Class_2": "Revolving credit"      , "Class_3": "Type"  , "Unit": "NZDm"  , "Dim": "NZDm"  , "Tick": ",d"  , "Palette": "qual"  , "ColourKey": "teal_dark"  , "Style": "Fill"  , "Prefix": "NA"   },</v>
      </c>
    </row>
    <row r="39" spans="1:43" x14ac:dyDescent="0.3">
      <c r="A39" t="s">
        <v>861</v>
      </c>
      <c r="B39" t="s">
        <v>878</v>
      </c>
      <c r="C39" t="s">
        <v>871</v>
      </c>
      <c r="D39" t="s">
        <v>875</v>
      </c>
      <c r="E39" t="s">
        <v>871</v>
      </c>
      <c r="F39" t="s">
        <v>867</v>
      </c>
      <c r="G39" t="s">
        <v>148</v>
      </c>
      <c r="H39" t="s">
        <v>148</v>
      </c>
      <c r="I39" t="s">
        <v>149</v>
      </c>
      <c r="J39" t="s">
        <v>19</v>
      </c>
      <c r="K39" t="s">
        <v>601</v>
      </c>
      <c r="L39" t="s">
        <v>118</v>
      </c>
      <c r="M39" t="s">
        <v>22</v>
      </c>
      <c r="O39" s="1" t="str">
        <f t="shared" si="64"/>
        <v xml:space="preserve">  </v>
      </c>
      <c r="P39" s="1" t="str">
        <f t="shared" si="38"/>
        <v xml:space="preserve">  </v>
      </c>
      <c r="Q39" s="1" t="str">
        <f t="shared" si="39"/>
        <v xml:space="preserve">               </v>
      </c>
      <c r="R39" s="1" t="str">
        <f t="shared" si="40"/>
        <v xml:space="preserve">  </v>
      </c>
      <c r="S39" s="1" t="str">
        <f t="shared" si="41"/>
        <v xml:space="preserve">  </v>
      </c>
      <c r="T39" s="1" t="str">
        <f t="shared" si="42"/>
        <v xml:space="preserve">  </v>
      </c>
      <c r="U39" s="1" t="str">
        <f t="shared" si="43"/>
        <v xml:space="preserve">  </v>
      </c>
      <c r="V39" s="1" t="str">
        <f t="shared" si="44"/>
        <v xml:space="preserve">  </v>
      </c>
      <c r="W39" s="1" t="str">
        <f t="shared" si="45"/>
        <v xml:space="preserve">  </v>
      </c>
      <c r="X39" s="1" t="str">
        <f t="shared" si="46"/>
        <v xml:space="preserve">  </v>
      </c>
      <c r="Y39" s="1" t="str">
        <f t="shared" si="47"/>
        <v xml:space="preserve">  </v>
      </c>
      <c r="Z39" s="1" t="str">
        <f t="shared" si="48"/>
        <v xml:space="preserve">  </v>
      </c>
      <c r="AA39" s="1" t="str">
        <f t="shared" si="49"/>
        <v xml:space="preserve">  </v>
      </c>
      <c r="AC39" s="1" t="str">
        <f t="shared" si="50"/>
        <v xml:space="preserve">"Data": "hs32"  </v>
      </c>
      <c r="AD39" s="1" t="str">
        <f t="shared" si="51"/>
        <v xml:space="preserve">"ID": "BSPA.MAM3A4.P1N3"  </v>
      </c>
      <c r="AE39" s="1" t="str">
        <f t="shared" si="52"/>
        <v xml:space="preserve">"Name": "Principal &amp; interest"               </v>
      </c>
      <c r="AF39" s="1" t="str">
        <f t="shared" si="53"/>
        <v xml:space="preserve">"Class_1": "Residential investor property use"  </v>
      </c>
      <c r="AG39" s="1" t="str">
        <f t="shared" si="54"/>
        <v xml:space="preserve">"Class_2": "Principal &amp; interest"  </v>
      </c>
      <c r="AH39" s="1" t="str">
        <f t="shared" si="55"/>
        <v xml:space="preserve">"Class_3": "Type"  </v>
      </c>
      <c r="AI39" s="1" t="str">
        <f t="shared" si="56"/>
        <v xml:space="preserve">"Unit": "NZDm"  </v>
      </c>
      <c r="AJ39" s="1" t="str">
        <f t="shared" si="57"/>
        <v xml:space="preserve">"Dim": "NZDm"  </v>
      </c>
      <c r="AK39" s="1" t="str">
        <f t="shared" si="58"/>
        <v xml:space="preserve">"Tick": ",d"  </v>
      </c>
      <c r="AL39" s="1" t="str">
        <f t="shared" si="59"/>
        <v xml:space="preserve">"Palette": "qual"  </v>
      </c>
      <c r="AM39" s="1" t="str">
        <f t="shared" si="60"/>
        <v xml:space="preserve">"ColourKey": "teal_dark"  </v>
      </c>
      <c r="AN39" s="1" t="str">
        <f t="shared" si="61"/>
        <v xml:space="preserve">"Style": "Fill"  </v>
      </c>
      <c r="AO39" s="1" t="str">
        <f t="shared" si="62"/>
        <v xml:space="preserve">"Prefix": "NA"  </v>
      </c>
      <c r="AQ39" s="1" t="str">
        <f t="shared" si="63"/>
        <v>{ "Data": "hs32"  , "ID": "BSPA.MAM3A4.P1N3"  , "Name": "Principal &amp; interest"               , "Class_1": "Residential investor property use"  , "Class_2": "Principal &amp; interest"  , "Class_3": "Type"  , "Unit": "NZDm"  , "Dim": "NZDm"  , "Tick": ",d"  , "Palette": "qual"  , "ColourKey": "teal_dark"  , "Style": "Fill"  , "Prefix": "NA"   },</v>
      </c>
    </row>
    <row r="40" spans="1:43" x14ac:dyDescent="0.3">
      <c r="A40" t="s">
        <v>861</v>
      </c>
      <c r="B40" t="s">
        <v>879</v>
      </c>
      <c r="C40" t="s">
        <v>873</v>
      </c>
      <c r="D40" t="s">
        <v>875</v>
      </c>
      <c r="E40" t="s">
        <v>873</v>
      </c>
      <c r="F40" t="s">
        <v>867</v>
      </c>
      <c r="G40" t="s">
        <v>148</v>
      </c>
      <c r="H40" t="s">
        <v>148</v>
      </c>
      <c r="I40" t="s">
        <v>149</v>
      </c>
      <c r="J40" t="s">
        <v>19</v>
      </c>
      <c r="K40" t="s">
        <v>601</v>
      </c>
      <c r="L40" t="s">
        <v>118</v>
      </c>
      <c r="M40" t="s">
        <v>22</v>
      </c>
      <c r="O40" s="1" t="str">
        <f t="shared" si="64"/>
        <v xml:space="preserve">  </v>
      </c>
      <c r="P40" s="1" t="str">
        <f t="shared" si="38"/>
        <v xml:space="preserve">  </v>
      </c>
      <c r="Q40" s="1" t="str">
        <f t="shared" si="39"/>
        <v xml:space="preserve">                              </v>
      </c>
      <c r="R40" s="1" t="str">
        <f t="shared" si="40"/>
        <v xml:space="preserve">  </v>
      </c>
      <c r="S40" s="1" t="str">
        <f t="shared" si="41"/>
        <v xml:space="preserve">                 </v>
      </c>
      <c r="T40" s="1" t="str">
        <f t="shared" si="42"/>
        <v xml:space="preserve">  </v>
      </c>
      <c r="U40" s="1" t="str">
        <f t="shared" si="43"/>
        <v xml:space="preserve">  </v>
      </c>
      <c r="V40" s="1" t="str">
        <f t="shared" si="44"/>
        <v xml:space="preserve">  </v>
      </c>
      <c r="W40" s="1" t="str">
        <f t="shared" si="45"/>
        <v xml:space="preserve">  </v>
      </c>
      <c r="X40" s="1" t="str">
        <f t="shared" si="46"/>
        <v xml:space="preserve">  </v>
      </c>
      <c r="Y40" s="1" t="str">
        <f t="shared" si="47"/>
        <v xml:space="preserve">  </v>
      </c>
      <c r="Z40" s="1" t="str">
        <f t="shared" si="48"/>
        <v xml:space="preserve">  </v>
      </c>
      <c r="AA40" s="1" t="str">
        <f t="shared" si="49"/>
        <v xml:space="preserve">  </v>
      </c>
      <c r="AC40" s="1" t="str">
        <f t="shared" si="50"/>
        <v xml:space="preserve">"Data": "hs32"  </v>
      </c>
      <c r="AD40" s="1" t="str">
        <f t="shared" si="51"/>
        <v xml:space="preserve">"ID": "BSPA.MAM3A4.P1N9"  </v>
      </c>
      <c r="AE40" s="1" t="str">
        <f t="shared" si="52"/>
        <v xml:space="preserve">"Name": "Other"                              </v>
      </c>
      <c r="AF40" s="1" t="str">
        <f t="shared" si="53"/>
        <v xml:space="preserve">"Class_1": "Residential investor property use"  </v>
      </c>
      <c r="AG40" s="1" t="str">
        <f t="shared" si="54"/>
        <v xml:space="preserve">"Class_2": "Other"                 </v>
      </c>
      <c r="AH40" s="1" t="str">
        <f t="shared" si="55"/>
        <v xml:space="preserve">"Class_3": "Type"  </v>
      </c>
      <c r="AI40" s="1" t="str">
        <f t="shared" si="56"/>
        <v xml:space="preserve">"Unit": "NZDm"  </v>
      </c>
      <c r="AJ40" s="1" t="str">
        <f t="shared" si="57"/>
        <v xml:space="preserve">"Dim": "NZDm"  </v>
      </c>
      <c r="AK40" s="1" t="str">
        <f t="shared" si="58"/>
        <v xml:space="preserve">"Tick": ",d"  </v>
      </c>
      <c r="AL40" s="1" t="str">
        <f t="shared" si="59"/>
        <v xml:space="preserve">"Palette": "qual"  </v>
      </c>
      <c r="AM40" s="1" t="str">
        <f t="shared" si="60"/>
        <v xml:space="preserve">"ColourKey": "teal_dark"  </v>
      </c>
      <c r="AN40" s="1" t="str">
        <f t="shared" si="61"/>
        <v xml:space="preserve">"Style": "Fill"  </v>
      </c>
      <c r="AO40" s="1" t="str">
        <f t="shared" si="62"/>
        <v xml:space="preserve">"Prefix": "NA"  </v>
      </c>
      <c r="AQ40" s="1" t="str">
        <f t="shared" si="63"/>
        <v>{ "Data": "hs32"  , "ID": "BSPA.MAM3A4.P1N9"  , "Name": "Other"                              , "Class_1": "Residential investor property use"  , "Class_2": "Other"                 , "Class_3": "Type"  , "Unit": "NZDm"  , "Dim": "NZDm"  , "Tick": ",d"  , "Palette": "qual"  , "ColourKey": "teal_dark"  , "Style": "Fill"  , "Prefix": "NA"   },</v>
      </c>
    </row>
    <row r="41" spans="1:43" x14ac:dyDescent="0.3">
      <c r="A41" t="s">
        <v>861</v>
      </c>
      <c r="B41" t="s">
        <v>880</v>
      </c>
      <c r="C41" t="s">
        <v>881</v>
      </c>
      <c r="D41" t="s">
        <v>881</v>
      </c>
      <c r="E41" t="s">
        <v>147</v>
      </c>
      <c r="F41" t="s">
        <v>864</v>
      </c>
      <c r="G41" t="s">
        <v>148</v>
      </c>
      <c r="H41" t="s">
        <v>148</v>
      </c>
      <c r="I41" t="s">
        <v>149</v>
      </c>
      <c r="J41" t="s">
        <v>19</v>
      </c>
      <c r="K41" t="s">
        <v>601</v>
      </c>
      <c r="L41" t="s">
        <v>118</v>
      </c>
      <c r="M41" t="s">
        <v>22</v>
      </c>
      <c r="O41" s="1" t="str">
        <f t="shared" si="64"/>
        <v xml:space="preserve">  </v>
      </c>
      <c r="P41" s="1" t="str">
        <f t="shared" si="38"/>
        <v xml:space="preserve">   </v>
      </c>
      <c r="Q41" s="1" t="str">
        <f t="shared" si="39"/>
        <v xml:space="preserve">            </v>
      </c>
      <c r="R41" s="1" t="str">
        <f t="shared" si="40"/>
        <v xml:space="preserve">            </v>
      </c>
      <c r="S41" s="1" t="str">
        <f t="shared" si="41"/>
        <v xml:space="preserve">                 </v>
      </c>
      <c r="T41" s="1" t="str">
        <f t="shared" si="42"/>
        <v xml:space="preserve">   </v>
      </c>
      <c r="U41" s="1" t="str">
        <f t="shared" si="43"/>
        <v xml:space="preserve">  </v>
      </c>
      <c r="V41" s="1" t="str">
        <f t="shared" si="44"/>
        <v xml:space="preserve">  </v>
      </c>
      <c r="W41" s="1" t="str">
        <f t="shared" si="45"/>
        <v xml:space="preserve">  </v>
      </c>
      <c r="X41" s="1" t="str">
        <f t="shared" si="46"/>
        <v xml:space="preserve">  </v>
      </c>
      <c r="Y41" s="1" t="str">
        <f t="shared" si="47"/>
        <v xml:space="preserve">  </v>
      </c>
      <c r="Z41" s="1" t="str">
        <f t="shared" si="48"/>
        <v xml:space="preserve">  </v>
      </c>
      <c r="AA41" s="1" t="str">
        <f t="shared" si="49"/>
        <v xml:space="preserve">  </v>
      </c>
      <c r="AC41" s="1" t="str">
        <f t="shared" si="50"/>
        <v xml:space="preserve">"Data": "hs32"  </v>
      </c>
      <c r="AD41" s="1" t="str">
        <f t="shared" si="51"/>
        <v xml:space="preserve">"ID": "BSPAS.MAN1A4.P2"   </v>
      </c>
      <c r="AE41" s="1" t="str">
        <f t="shared" si="52"/>
        <v xml:space="preserve">"Name": "Personal consumer loans"            </v>
      </c>
      <c r="AF41" s="1" t="str">
        <f t="shared" si="53"/>
        <v xml:space="preserve">"Class_1": "Personal consumer loans"            </v>
      </c>
      <c r="AG41" s="1" t="str">
        <f t="shared" si="54"/>
        <v xml:space="preserve">"Class_2": "Total"                 </v>
      </c>
      <c r="AH41" s="1" t="str">
        <f t="shared" si="55"/>
        <v xml:space="preserve">"Class_3": "Use"   </v>
      </c>
      <c r="AI41" s="1" t="str">
        <f t="shared" si="56"/>
        <v xml:space="preserve">"Unit": "NZDm"  </v>
      </c>
      <c r="AJ41" s="1" t="str">
        <f t="shared" si="57"/>
        <v xml:space="preserve">"Dim": "NZDm"  </v>
      </c>
      <c r="AK41" s="1" t="str">
        <f t="shared" si="58"/>
        <v xml:space="preserve">"Tick": ",d"  </v>
      </c>
      <c r="AL41" s="1" t="str">
        <f t="shared" si="59"/>
        <v xml:space="preserve">"Palette": "qual"  </v>
      </c>
      <c r="AM41" s="1" t="str">
        <f t="shared" si="60"/>
        <v xml:space="preserve">"ColourKey": "teal_dark"  </v>
      </c>
      <c r="AN41" s="1" t="str">
        <f t="shared" si="61"/>
        <v xml:space="preserve">"Style": "Fill"  </v>
      </c>
      <c r="AO41" s="1" t="str">
        <f t="shared" si="62"/>
        <v xml:space="preserve">"Prefix": "NA"  </v>
      </c>
      <c r="AQ41" s="1" t="str">
        <f t="shared" si="63"/>
        <v>{ "Data": "hs32"  , "ID": "BSPAS.MAN1A4.P2"   , "Name": "Personal consumer loans"            , "Class_1": "Personal consumer loans"            , "Class_2": "Total"                 , "Class_3": "Use"   , "Unit": "NZDm"  , "Dim": "NZDm"  , "Tick": ",d"  , "Palette": "qual"  , "ColourKey": "teal_dark"  , "Style": "Fill"  , "Prefix": "NA"   },</v>
      </c>
    </row>
    <row r="42" spans="1:43" x14ac:dyDescent="0.3">
      <c r="A42" t="s">
        <v>861</v>
      </c>
      <c r="B42" t="s">
        <v>882</v>
      </c>
      <c r="C42" t="s">
        <v>866</v>
      </c>
      <c r="D42" t="s">
        <v>881</v>
      </c>
      <c r="E42" t="s">
        <v>883</v>
      </c>
      <c r="F42" t="s">
        <v>867</v>
      </c>
      <c r="G42" t="s">
        <v>148</v>
      </c>
      <c r="H42" t="s">
        <v>148</v>
      </c>
      <c r="I42" t="s">
        <v>149</v>
      </c>
      <c r="J42" t="s">
        <v>19</v>
      </c>
      <c r="K42" t="s">
        <v>601</v>
      </c>
      <c r="L42" t="s">
        <v>118</v>
      </c>
      <c r="M42" t="s">
        <v>22</v>
      </c>
      <c r="O42" s="1" t="str">
        <f t="shared" si="64"/>
        <v xml:space="preserve">  </v>
      </c>
      <c r="P42" s="1" t="str">
        <f t="shared" si="38"/>
        <v xml:space="preserve">  </v>
      </c>
      <c r="Q42" s="1" t="str">
        <f t="shared" si="39"/>
        <v xml:space="preserve">                      </v>
      </c>
      <c r="R42" s="1" t="str">
        <f t="shared" si="40"/>
        <v xml:space="preserve">            </v>
      </c>
      <c r="S42" s="1" t="str">
        <f t="shared" si="41"/>
        <v xml:space="preserve">            </v>
      </c>
      <c r="T42" s="1" t="str">
        <f t="shared" si="42"/>
        <v xml:space="preserve">  </v>
      </c>
      <c r="U42" s="1" t="str">
        <f t="shared" si="43"/>
        <v xml:space="preserve">  </v>
      </c>
      <c r="V42" s="1" t="str">
        <f t="shared" si="44"/>
        <v xml:space="preserve">  </v>
      </c>
      <c r="W42" s="1" t="str">
        <f t="shared" si="45"/>
        <v xml:space="preserve">  </v>
      </c>
      <c r="X42" s="1" t="str">
        <f t="shared" si="46"/>
        <v xml:space="preserve">  </v>
      </c>
      <c r="Y42" s="1" t="str">
        <f t="shared" si="47"/>
        <v xml:space="preserve">  </v>
      </c>
      <c r="Z42" s="1" t="str">
        <f t="shared" si="48"/>
        <v xml:space="preserve">  </v>
      </c>
      <c r="AA42" s="1" t="str">
        <f t="shared" si="49"/>
        <v xml:space="preserve">  </v>
      </c>
      <c r="AC42" s="1" t="str">
        <f t="shared" si="50"/>
        <v xml:space="preserve">"Data": "hs32"  </v>
      </c>
      <c r="AD42" s="1" t="str">
        <f t="shared" si="51"/>
        <v xml:space="preserve">"ID": "BSPA.MAN1A4.P2C1"  </v>
      </c>
      <c r="AE42" s="1" t="str">
        <f t="shared" si="52"/>
        <v xml:space="preserve">"Name": "Interest only"                      </v>
      </c>
      <c r="AF42" s="1" t="str">
        <f t="shared" si="53"/>
        <v xml:space="preserve">"Class_1": "Personal consumer loans"            </v>
      </c>
      <c r="AG42" s="1" t="str">
        <f t="shared" si="54"/>
        <v xml:space="preserve">"Class_2": "Overdrafts"            </v>
      </c>
      <c r="AH42" s="1" t="str">
        <f t="shared" si="55"/>
        <v xml:space="preserve">"Class_3": "Type"  </v>
      </c>
      <c r="AI42" s="1" t="str">
        <f t="shared" si="56"/>
        <v xml:space="preserve">"Unit": "NZDm"  </v>
      </c>
      <c r="AJ42" s="1" t="str">
        <f t="shared" si="57"/>
        <v xml:space="preserve">"Dim": "NZDm"  </v>
      </c>
      <c r="AK42" s="1" t="str">
        <f t="shared" si="58"/>
        <v xml:space="preserve">"Tick": ",d"  </v>
      </c>
      <c r="AL42" s="1" t="str">
        <f t="shared" si="59"/>
        <v xml:space="preserve">"Palette": "qual"  </v>
      </c>
      <c r="AM42" s="1" t="str">
        <f t="shared" si="60"/>
        <v xml:space="preserve">"ColourKey": "teal_dark"  </v>
      </c>
      <c r="AN42" s="1" t="str">
        <f t="shared" si="61"/>
        <v xml:space="preserve">"Style": "Fill"  </v>
      </c>
      <c r="AO42" s="1" t="str">
        <f t="shared" si="62"/>
        <v xml:space="preserve">"Prefix": "NA"  </v>
      </c>
      <c r="AQ42" s="1" t="str">
        <f t="shared" si="63"/>
        <v>{ "Data": "hs32"  , "ID": "BSPA.MAN1A4.P2C1"  , "Name": "Interest only"                      , "Class_1": "Personal consumer loans"            , "Class_2": "Overdrafts"            , "Class_3": "Type"  , "Unit": "NZDm"  , "Dim": "NZDm"  , "Tick": ",d"  , "Palette": "qual"  , "ColourKey": "teal_dark"  , "Style": "Fill"  , "Prefix": "NA"   },</v>
      </c>
    </row>
    <row r="43" spans="1:43" x14ac:dyDescent="0.3">
      <c r="A43" t="s">
        <v>861</v>
      </c>
      <c r="B43" t="s">
        <v>884</v>
      </c>
      <c r="C43" t="s">
        <v>869</v>
      </c>
      <c r="D43" t="s">
        <v>881</v>
      </c>
      <c r="E43" t="s">
        <v>885</v>
      </c>
      <c r="F43" t="s">
        <v>867</v>
      </c>
      <c r="G43" t="s">
        <v>148</v>
      </c>
      <c r="H43" t="s">
        <v>148</v>
      </c>
      <c r="I43" t="s">
        <v>149</v>
      </c>
      <c r="J43" t="s">
        <v>19</v>
      </c>
      <c r="K43" t="s">
        <v>601</v>
      </c>
      <c r="L43" t="s">
        <v>118</v>
      </c>
      <c r="M43" t="s">
        <v>22</v>
      </c>
      <c r="O43" s="1" t="str">
        <f t="shared" si="64"/>
        <v xml:space="preserve">  </v>
      </c>
      <c r="P43" s="1" t="str">
        <f t="shared" si="38"/>
        <v xml:space="preserve">  </v>
      </c>
      <c r="Q43" s="1" t="str">
        <f t="shared" si="39"/>
        <v xml:space="preserve">                   </v>
      </c>
      <c r="R43" s="1" t="str">
        <f t="shared" si="40"/>
        <v xml:space="preserve">            </v>
      </c>
      <c r="S43" s="1" t="str">
        <f t="shared" si="41"/>
        <v xml:space="preserve">          </v>
      </c>
      <c r="T43" s="1" t="str">
        <f t="shared" si="42"/>
        <v xml:space="preserve">  </v>
      </c>
      <c r="U43" s="1" t="str">
        <f t="shared" si="43"/>
        <v xml:space="preserve">  </v>
      </c>
      <c r="V43" s="1" t="str">
        <f t="shared" si="44"/>
        <v xml:space="preserve">  </v>
      </c>
      <c r="W43" s="1" t="str">
        <f t="shared" si="45"/>
        <v xml:space="preserve">  </v>
      </c>
      <c r="X43" s="1" t="str">
        <f t="shared" si="46"/>
        <v xml:space="preserve">  </v>
      </c>
      <c r="Y43" s="1" t="str">
        <f t="shared" si="47"/>
        <v xml:space="preserve">  </v>
      </c>
      <c r="Z43" s="1" t="str">
        <f t="shared" si="48"/>
        <v xml:space="preserve">  </v>
      </c>
      <c r="AA43" s="1" t="str">
        <f t="shared" si="49"/>
        <v xml:space="preserve">  </v>
      </c>
      <c r="AC43" s="1" t="str">
        <f t="shared" si="50"/>
        <v xml:space="preserve">"Data": "hs32"  </v>
      </c>
      <c r="AD43" s="1" t="str">
        <f t="shared" si="51"/>
        <v xml:space="preserve">"ID": "BSPA.MAN1A4.P2C2"  </v>
      </c>
      <c r="AE43" s="1" t="str">
        <f t="shared" si="52"/>
        <v xml:space="preserve">"Name": "Revolving credit"                   </v>
      </c>
      <c r="AF43" s="1" t="str">
        <f t="shared" si="53"/>
        <v xml:space="preserve">"Class_1": "Personal consumer loans"            </v>
      </c>
      <c r="AG43" s="1" t="str">
        <f t="shared" si="54"/>
        <v xml:space="preserve">"Class_2": "Credit cards"          </v>
      </c>
      <c r="AH43" s="1" t="str">
        <f t="shared" si="55"/>
        <v xml:space="preserve">"Class_3": "Type"  </v>
      </c>
      <c r="AI43" s="1" t="str">
        <f t="shared" si="56"/>
        <v xml:space="preserve">"Unit": "NZDm"  </v>
      </c>
      <c r="AJ43" s="1" t="str">
        <f t="shared" si="57"/>
        <v xml:space="preserve">"Dim": "NZDm"  </v>
      </c>
      <c r="AK43" s="1" t="str">
        <f t="shared" si="58"/>
        <v xml:space="preserve">"Tick": ",d"  </v>
      </c>
      <c r="AL43" s="1" t="str">
        <f t="shared" si="59"/>
        <v xml:space="preserve">"Palette": "qual"  </v>
      </c>
      <c r="AM43" s="1" t="str">
        <f t="shared" si="60"/>
        <v xml:space="preserve">"ColourKey": "teal_dark"  </v>
      </c>
      <c r="AN43" s="1" t="str">
        <f t="shared" si="61"/>
        <v xml:space="preserve">"Style": "Fill"  </v>
      </c>
      <c r="AO43" s="1" t="str">
        <f t="shared" si="62"/>
        <v xml:space="preserve">"Prefix": "NA"  </v>
      </c>
      <c r="AQ43" s="1" t="str">
        <f t="shared" si="63"/>
        <v>{ "Data": "hs32"  , "ID": "BSPA.MAN1A4.P2C2"  , "Name": "Revolving credit"                   , "Class_1": "Personal consumer loans"            , "Class_2": "Credit cards"          , "Class_3": "Type"  , "Unit": "NZDm"  , "Dim": "NZDm"  , "Tick": ",d"  , "Palette": "qual"  , "ColourKey": "teal_dark"  , "Style": "Fill"  , "Prefix": "NA"   },</v>
      </c>
    </row>
    <row r="44" spans="1:43" x14ac:dyDescent="0.3">
      <c r="A44" t="s">
        <v>861</v>
      </c>
      <c r="B44" t="s">
        <v>886</v>
      </c>
      <c r="C44" t="s">
        <v>871</v>
      </c>
      <c r="D44" t="s">
        <v>881</v>
      </c>
      <c r="E44" t="s">
        <v>887</v>
      </c>
      <c r="F44" t="s">
        <v>867</v>
      </c>
      <c r="G44" t="s">
        <v>148</v>
      </c>
      <c r="H44" t="s">
        <v>148</v>
      </c>
      <c r="I44" t="s">
        <v>149</v>
      </c>
      <c r="J44" t="s">
        <v>19</v>
      </c>
      <c r="K44" t="s">
        <v>601</v>
      </c>
      <c r="L44" t="s">
        <v>118</v>
      </c>
      <c r="M44" t="s">
        <v>22</v>
      </c>
      <c r="O44" s="1" t="str">
        <f t="shared" si="64"/>
        <v xml:space="preserve">  </v>
      </c>
      <c r="P44" s="1" t="str">
        <f t="shared" si="38"/>
        <v xml:space="preserve">  </v>
      </c>
      <c r="Q44" s="1" t="str">
        <f t="shared" si="39"/>
        <v xml:space="preserve">               </v>
      </c>
      <c r="R44" s="1" t="str">
        <f t="shared" si="40"/>
        <v xml:space="preserve">            </v>
      </c>
      <c r="S44" s="1" t="str">
        <f t="shared" si="41"/>
        <v xml:space="preserve">            </v>
      </c>
      <c r="T44" s="1" t="str">
        <f t="shared" si="42"/>
        <v xml:space="preserve">  </v>
      </c>
      <c r="U44" s="1" t="str">
        <f t="shared" si="43"/>
        <v xml:space="preserve">  </v>
      </c>
      <c r="V44" s="1" t="str">
        <f t="shared" si="44"/>
        <v xml:space="preserve">  </v>
      </c>
      <c r="W44" s="1" t="str">
        <f t="shared" si="45"/>
        <v xml:space="preserve">  </v>
      </c>
      <c r="X44" s="1" t="str">
        <f t="shared" si="46"/>
        <v xml:space="preserve">  </v>
      </c>
      <c r="Y44" s="1" t="str">
        <f t="shared" si="47"/>
        <v xml:space="preserve">  </v>
      </c>
      <c r="Z44" s="1" t="str">
        <f t="shared" si="48"/>
        <v xml:space="preserve">  </v>
      </c>
      <c r="AA44" s="1" t="str">
        <f t="shared" si="49"/>
        <v xml:space="preserve">  </v>
      </c>
      <c r="AC44" s="1" t="str">
        <f t="shared" si="50"/>
        <v xml:space="preserve">"Data": "hs32"  </v>
      </c>
      <c r="AD44" s="1" t="str">
        <f t="shared" si="51"/>
        <v xml:space="preserve">"ID": "BSPA.MAN1A4.P2C3"  </v>
      </c>
      <c r="AE44" s="1" t="str">
        <f t="shared" si="52"/>
        <v xml:space="preserve">"Name": "Principal &amp; interest"               </v>
      </c>
      <c r="AF44" s="1" t="str">
        <f t="shared" si="53"/>
        <v xml:space="preserve">"Class_1": "Personal consumer loans"            </v>
      </c>
      <c r="AG44" s="1" t="str">
        <f t="shared" si="54"/>
        <v xml:space="preserve">"Class_2": "Term loans"            </v>
      </c>
      <c r="AH44" s="1" t="str">
        <f t="shared" si="55"/>
        <v xml:space="preserve">"Class_3": "Type"  </v>
      </c>
      <c r="AI44" s="1" t="str">
        <f t="shared" si="56"/>
        <v xml:space="preserve">"Unit": "NZDm"  </v>
      </c>
      <c r="AJ44" s="1" t="str">
        <f t="shared" si="57"/>
        <v xml:space="preserve">"Dim": "NZDm"  </v>
      </c>
      <c r="AK44" s="1" t="str">
        <f t="shared" si="58"/>
        <v xml:space="preserve">"Tick": ",d"  </v>
      </c>
      <c r="AL44" s="1" t="str">
        <f t="shared" si="59"/>
        <v xml:space="preserve">"Palette": "qual"  </v>
      </c>
      <c r="AM44" s="1" t="str">
        <f t="shared" si="60"/>
        <v xml:space="preserve">"ColourKey": "teal_dark"  </v>
      </c>
      <c r="AN44" s="1" t="str">
        <f t="shared" si="61"/>
        <v xml:space="preserve">"Style": "Fill"  </v>
      </c>
      <c r="AO44" s="1" t="str">
        <f t="shared" si="62"/>
        <v xml:space="preserve">"Prefix": "NA"  </v>
      </c>
      <c r="AQ44" s="1" t="str">
        <f t="shared" si="63"/>
        <v>{ "Data": "hs32"  , "ID": "BSPA.MAN1A4.P2C3"  , "Name": "Principal &amp; interest"               , "Class_1": "Personal consumer loans"            , "Class_2": "Term loans"            , "Class_3": "Type"  , "Unit": "NZDm"  , "Dim": "NZDm"  , "Tick": ",d"  , "Palette": "qual"  , "ColourKey": "teal_dark"  , "Style": "Fill"  , "Prefix": "NA"   },</v>
      </c>
    </row>
    <row r="45" spans="1:43" x14ac:dyDescent="0.3">
      <c r="A45" t="s">
        <v>861</v>
      </c>
      <c r="B45" t="s">
        <v>888</v>
      </c>
      <c r="C45" t="s">
        <v>873</v>
      </c>
      <c r="D45" t="s">
        <v>881</v>
      </c>
      <c r="E45" t="s">
        <v>873</v>
      </c>
      <c r="F45" t="s">
        <v>867</v>
      </c>
      <c r="G45" t="s">
        <v>148</v>
      </c>
      <c r="H45" t="s">
        <v>148</v>
      </c>
      <c r="I45" t="s">
        <v>149</v>
      </c>
      <c r="J45" t="s">
        <v>19</v>
      </c>
      <c r="K45" t="s">
        <v>601</v>
      </c>
      <c r="L45" t="s">
        <v>118</v>
      </c>
      <c r="M45" t="s">
        <v>22</v>
      </c>
      <c r="O45" s="1" t="str">
        <f t="shared" si="64"/>
        <v xml:space="preserve">  </v>
      </c>
      <c r="P45" s="1" t="str">
        <f t="shared" si="38"/>
        <v xml:space="preserve">  </v>
      </c>
      <c r="Q45" s="1" t="str">
        <f t="shared" si="39"/>
        <v xml:space="preserve">                              </v>
      </c>
      <c r="R45" s="1" t="str">
        <f t="shared" si="40"/>
        <v xml:space="preserve">            </v>
      </c>
      <c r="S45" s="1" t="str">
        <f t="shared" si="41"/>
        <v xml:space="preserve">                 </v>
      </c>
      <c r="T45" s="1" t="str">
        <f t="shared" si="42"/>
        <v xml:space="preserve">  </v>
      </c>
      <c r="U45" s="1" t="str">
        <f t="shared" si="43"/>
        <v xml:space="preserve">  </v>
      </c>
      <c r="V45" s="1" t="str">
        <f t="shared" si="44"/>
        <v xml:space="preserve">  </v>
      </c>
      <c r="W45" s="1" t="str">
        <f t="shared" si="45"/>
        <v xml:space="preserve">  </v>
      </c>
      <c r="X45" s="1" t="str">
        <f t="shared" si="46"/>
        <v xml:space="preserve">  </v>
      </c>
      <c r="Y45" s="1" t="str">
        <f t="shared" si="47"/>
        <v xml:space="preserve">  </v>
      </c>
      <c r="Z45" s="1" t="str">
        <f t="shared" si="48"/>
        <v xml:space="preserve">  </v>
      </c>
      <c r="AA45" s="1" t="str">
        <f t="shared" si="49"/>
        <v xml:space="preserve">  </v>
      </c>
      <c r="AC45" s="1" t="str">
        <f t="shared" si="50"/>
        <v xml:space="preserve">"Data": "hs32"  </v>
      </c>
      <c r="AD45" s="1" t="str">
        <f t="shared" si="51"/>
        <v xml:space="preserve">"ID": "BSPA.MAN1A4.P2C9"  </v>
      </c>
      <c r="AE45" s="1" t="str">
        <f t="shared" si="52"/>
        <v xml:space="preserve">"Name": "Other"                              </v>
      </c>
      <c r="AF45" s="1" t="str">
        <f t="shared" si="53"/>
        <v xml:space="preserve">"Class_1": "Personal consumer loans"            </v>
      </c>
      <c r="AG45" s="1" t="str">
        <f t="shared" si="54"/>
        <v xml:space="preserve">"Class_2": "Other"                 </v>
      </c>
      <c r="AH45" s="1" t="str">
        <f t="shared" si="55"/>
        <v xml:space="preserve">"Class_3": "Type"  </v>
      </c>
      <c r="AI45" s="1" t="str">
        <f t="shared" si="56"/>
        <v xml:space="preserve">"Unit": "NZDm"  </v>
      </c>
      <c r="AJ45" s="1" t="str">
        <f t="shared" si="57"/>
        <v xml:space="preserve">"Dim": "NZDm"  </v>
      </c>
      <c r="AK45" s="1" t="str">
        <f t="shared" si="58"/>
        <v xml:space="preserve">"Tick": ",d"  </v>
      </c>
      <c r="AL45" s="1" t="str">
        <f t="shared" si="59"/>
        <v xml:space="preserve">"Palette": "qual"  </v>
      </c>
      <c r="AM45" s="1" t="str">
        <f t="shared" si="60"/>
        <v xml:space="preserve">"ColourKey": "teal_dark"  </v>
      </c>
      <c r="AN45" s="1" t="str">
        <f t="shared" si="61"/>
        <v xml:space="preserve">"Style": "Fill"  </v>
      </c>
      <c r="AO45" s="1" t="str">
        <f t="shared" si="62"/>
        <v xml:space="preserve">"Prefix": "NA"  </v>
      </c>
      <c r="AQ45" s="1" t="str">
        <f t="shared" si="63"/>
        <v>{ "Data": "hs32"  , "ID": "BSPA.MAN1A4.P2C9"  , "Name": "Other"                              , "Class_1": "Personal consumer loans"            , "Class_2": "Other"                 , "Class_3": "Type"  , "Unit": "NZDm"  , "Dim": "NZDm"  , "Tick": ",d"  , "Palette": "qual"  , "ColourKey": "teal_dark"  , "Style": "Fill"  , "Prefix": "NA"   },</v>
      </c>
    </row>
    <row r="46" spans="1:43" x14ac:dyDescent="0.3">
      <c r="A46" t="s">
        <v>861</v>
      </c>
      <c r="B46" t="s">
        <v>889</v>
      </c>
      <c r="C46" t="s">
        <v>890</v>
      </c>
      <c r="D46" t="s">
        <v>890</v>
      </c>
      <c r="E46" t="s">
        <v>147</v>
      </c>
      <c r="F46" t="s">
        <v>864</v>
      </c>
      <c r="G46" t="s">
        <v>148</v>
      </c>
      <c r="H46" t="s">
        <v>148</v>
      </c>
      <c r="I46" t="s">
        <v>149</v>
      </c>
      <c r="J46" t="s">
        <v>19</v>
      </c>
      <c r="K46" t="s">
        <v>601</v>
      </c>
      <c r="L46" t="s">
        <v>118</v>
      </c>
      <c r="M46" t="s">
        <v>22</v>
      </c>
      <c r="O46" s="1" t="str">
        <f t="shared" si="64"/>
        <v xml:space="preserve">  </v>
      </c>
      <c r="P46" s="1" t="str">
        <f t="shared" si="38"/>
        <v xml:space="preserve">    </v>
      </c>
      <c r="Q46" s="1" t="str">
        <f t="shared" si="39"/>
        <v xml:space="preserve">                     </v>
      </c>
      <c r="R46" s="1" t="str">
        <f t="shared" si="40"/>
        <v xml:space="preserve">                     </v>
      </c>
      <c r="S46" s="1" t="str">
        <f t="shared" si="41"/>
        <v xml:space="preserve">                 </v>
      </c>
      <c r="T46" s="1" t="str">
        <f t="shared" si="42"/>
        <v xml:space="preserve">   </v>
      </c>
      <c r="U46" s="1" t="str">
        <f t="shared" si="43"/>
        <v xml:space="preserve">  </v>
      </c>
      <c r="V46" s="1" t="str">
        <f t="shared" si="44"/>
        <v xml:space="preserve">  </v>
      </c>
      <c r="W46" s="1" t="str">
        <f t="shared" si="45"/>
        <v xml:space="preserve">  </v>
      </c>
      <c r="X46" s="1" t="str">
        <f t="shared" si="46"/>
        <v xml:space="preserve">  </v>
      </c>
      <c r="Y46" s="1" t="str">
        <f t="shared" si="47"/>
        <v xml:space="preserve">  </v>
      </c>
      <c r="Z46" s="1" t="str">
        <f t="shared" si="48"/>
        <v xml:space="preserve">  </v>
      </c>
      <c r="AA46" s="1" t="str">
        <f t="shared" si="49"/>
        <v xml:space="preserve">  </v>
      </c>
      <c r="AC46" s="1" t="str">
        <f t="shared" si="50"/>
        <v xml:space="preserve">"Data": "hs32"  </v>
      </c>
      <c r="AD46" s="1" t="str">
        <f t="shared" si="51"/>
        <v xml:space="preserve">"ID": "BSPAS.MALA4.P3"    </v>
      </c>
      <c r="AE46" s="1" t="str">
        <f t="shared" si="52"/>
        <v xml:space="preserve">"Name": "Business loans"                     </v>
      </c>
      <c r="AF46" s="1" t="str">
        <f t="shared" si="53"/>
        <v xml:space="preserve">"Class_1": "Business loans"                     </v>
      </c>
      <c r="AG46" s="1" t="str">
        <f t="shared" si="54"/>
        <v xml:space="preserve">"Class_2": "Total"                 </v>
      </c>
      <c r="AH46" s="1" t="str">
        <f t="shared" si="55"/>
        <v xml:space="preserve">"Class_3": "Use"   </v>
      </c>
      <c r="AI46" s="1" t="str">
        <f t="shared" si="56"/>
        <v xml:space="preserve">"Unit": "NZDm"  </v>
      </c>
      <c r="AJ46" s="1" t="str">
        <f t="shared" si="57"/>
        <v xml:space="preserve">"Dim": "NZDm"  </v>
      </c>
      <c r="AK46" s="1" t="str">
        <f t="shared" si="58"/>
        <v xml:space="preserve">"Tick": ",d"  </v>
      </c>
      <c r="AL46" s="1" t="str">
        <f t="shared" si="59"/>
        <v xml:space="preserve">"Palette": "qual"  </v>
      </c>
      <c r="AM46" s="1" t="str">
        <f t="shared" si="60"/>
        <v xml:space="preserve">"ColourKey": "teal_dark"  </v>
      </c>
      <c r="AN46" s="1" t="str">
        <f t="shared" si="61"/>
        <v xml:space="preserve">"Style": "Fill"  </v>
      </c>
      <c r="AO46" s="1" t="str">
        <f t="shared" si="62"/>
        <v xml:space="preserve">"Prefix": "NA"  </v>
      </c>
      <c r="AQ46" s="1" t="str">
        <f t="shared" si="63"/>
        <v>{ "Data": "hs32"  , "ID": "BSPAS.MALA4.P3"    , "Name": "Business loans"                     , "Class_1": "Business loans"                     , "Class_2": "Total"                 , "Class_3": "Use"   , "Unit": "NZDm"  , "Dim": "NZDm"  , "Tick": ",d"  , "Palette": "qual"  , "ColourKey": "teal_dark"  , "Style": "Fill"  , "Prefix": "NA"   },</v>
      </c>
    </row>
    <row r="47" spans="1:43" x14ac:dyDescent="0.3">
      <c r="A47" t="s">
        <v>861</v>
      </c>
      <c r="B47" t="s">
        <v>891</v>
      </c>
      <c r="C47" t="s">
        <v>866</v>
      </c>
      <c r="D47" t="s">
        <v>890</v>
      </c>
      <c r="E47" t="s">
        <v>866</v>
      </c>
      <c r="F47" t="s">
        <v>867</v>
      </c>
      <c r="G47" t="s">
        <v>148</v>
      </c>
      <c r="H47" t="s">
        <v>148</v>
      </c>
      <c r="I47" t="s">
        <v>149</v>
      </c>
      <c r="J47" t="s">
        <v>19</v>
      </c>
      <c r="K47" t="s">
        <v>601</v>
      </c>
      <c r="L47" t="s">
        <v>118</v>
      </c>
      <c r="M47" t="s">
        <v>22</v>
      </c>
      <c r="O47" s="1" t="str">
        <f t="shared" si="64"/>
        <v xml:space="preserve">  </v>
      </c>
      <c r="P47" s="1" t="str">
        <f t="shared" si="38"/>
        <v xml:space="preserve">   </v>
      </c>
      <c r="Q47" s="1" t="str">
        <f t="shared" si="39"/>
        <v xml:space="preserve">                      </v>
      </c>
      <c r="R47" s="1" t="str">
        <f t="shared" si="40"/>
        <v xml:space="preserve">                     </v>
      </c>
      <c r="S47" s="1" t="str">
        <f t="shared" si="41"/>
        <v xml:space="preserve">         </v>
      </c>
      <c r="T47" s="1" t="str">
        <f t="shared" si="42"/>
        <v xml:space="preserve">  </v>
      </c>
      <c r="U47" s="1" t="str">
        <f t="shared" si="43"/>
        <v xml:space="preserve">  </v>
      </c>
      <c r="V47" s="1" t="str">
        <f t="shared" si="44"/>
        <v xml:space="preserve">  </v>
      </c>
      <c r="W47" s="1" t="str">
        <f t="shared" si="45"/>
        <v xml:space="preserve">  </v>
      </c>
      <c r="X47" s="1" t="str">
        <f t="shared" si="46"/>
        <v xml:space="preserve">  </v>
      </c>
      <c r="Y47" s="1" t="str">
        <f t="shared" si="47"/>
        <v xml:space="preserve">  </v>
      </c>
      <c r="Z47" s="1" t="str">
        <f t="shared" si="48"/>
        <v xml:space="preserve">  </v>
      </c>
      <c r="AA47" s="1" t="str">
        <f t="shared" si="49"/>
        <v xml:space="preserve">  </v>
      </c>
      <c r="AC47" s="1" t="str">
        <f t="shared" si="50"/>
        <v xml:space="preserve">"Data": "hs32"  </v>
      </c>
      <c r="AD47" s="1" t="str">
        <f t="shared" si="51"/>
        <v xml:space="preserve">"ID": "BSPA.MALA4.P3N1"   </v>
      </c>
      <c r="AE47" s="1" t="str">
        <f t="shared" si="52"/>
        <v xml:space="preserve">"Name": "Interest only"                      </v>
      </c>
      <c r="AF47" s="1" t="str">
        <f t="shared" si="53"/>
        <v xml:space="preserve">"Class_1": "Business loans"                     </v>
      </c>
      <c r="AG47" s="1" t="str">
        <f t="shared" si="54"/>
        <v xml:space="preserve">"Class_2": "Interest only"         </v>
      </c>
      <c r="AH47" s="1" t="str">
        <f t="shared" si="55"/>
        <v xml:space="preserve">"Class_3": "Type"  </v>
      </c>
      <c r="AI47" s="1" t="str">
        <f t="shared" si="56"/>
        <v xml:space="preserve">"Unit": "NZDm"  </v>
      </c>
      <c r="AJ47" s="1" t="str">
        <f t="shared" si="57"/>
        <v xml:space="preserve">"Dim": "NZDm"  </v>
      </c>
      <c r="AK47" s="1" t="str">
        <f t="shared" si="58"/>
        <v xml:space="preserve">"Tick": ",d"  </v>
      </c>
      <c r="AL47" s="1" t="str">
        <f t="shared" si="59"/>
        <v xml:space="preserve">"Palette": "qual"  </v>
      </c>
      <c r="AM47" s="1" t="str">
        <f t="shared" si="60"/>
        <v xml:space="preserve">"ColourKey": "teal_dark"  </v>
      </c>
      <c r="AN47" s="1" t="str">
        <f t="shared" si="61"/>
        <v xml:space="preserve">"Style": "Fill"  </v>
      </c>
      <c r="AO47" s="1" t="str">
        <f t="shared" si="62"/>
        <v xml:space="preserve">"Prefix": "NA"  </v>
      </c>
      <c r="AQ47" s="1" t="str">
        <f t="shared" si="63"/>
        <v>{ "Data": "hs32"  , "ID": "BSPA.MALA4.P3N1"   , "Name": "Interest only"                      , "Class_1": "Business loans"                     , "Class_2": "Interest only"         , "Class_3": "Type"  , "Unit": "NZDm"  , "Dim": "NZDm"  , "Tick": ",d"  , "Palette": "qual"  , "ColourKey": "teal_dark"  , "Style": "Fill"  , "Prefix": "NA"   },</v>
      </c>
    </row>
    <row r="48" spans="1:43" x14ac:dyDescent="0.3">
      <c r="A48" t="s">
        <v>861</v>
      </c>
      <c r="B48" t="s">
        <v>892</v>
      </c>
      <c r="C48" t="s">
        <v>869</v>
      </c>
      <c r="D48" t="s">
        <v>890</v>
      </c>
      <c r="E48" t="s">
        <v>869</v>
      </c>
      <c r="F48" t="s">
        <v>867</v>
      </c>
      <c r="G48" t="s">
        <v>148</v>
      </c>
      <c r="H48" t="s">
        <v>148</v>
      </c>
      <c r="I48" t="s">
        <v>149</v>
      </c>
      <c r="J48" t="s">
        <v>19</v>
      </c>
      <c r="K48" t="s">
        <v>601</v>
      </c>
      <c r="L48" t="s">
        <v>118</v>
      </c>
      <c r="M48" t="s">
        <v>22</v>
      </c>
      <c r="O48" s="1" t="str">
        <f t="shared" si="64"/>
        <v xml:space="preserve">  </v>
      </c>
      <c r="P48" s="1" t="str">
        <f t="shared" si="38"/>
        <v xml:space="preserve">   </v>
      </c>
      <c r="Q48" s="1" t="str">
        <f t="shared" si="39"/>
        <v xml:space="preserve">                   </v>
      </c>
      <c r="R48" s="1" t="str">
        <f t="shared" si="40"/>
        <v xml:space="preserve">                     </v>
      </c>
      <c r="S48" s="1" t="str">
        <f t="shared" si="41"/>
        <v xml:space="preserve">      </v>
      </c>
      <c r="T48" s="1" t="str">
        <f t="shared" si="42"/>
        <v xml:space="preserve">  </v>
      </c>
      <c r="U48" s="1" t="str">
        <f t="shared" si="43"/>
        <v xml:space="preserve">  </v>
      </c>
      <c r="V48" s="1" t="str">
        <f t="shared" si="44"/>
        <v xml:space="preserve">  </v>
      </c>
      <c r="W48" s="1" t="str">
        <f t="shared" si="45"/>
        <v xml:space="preserve">  </v>
      </c>
      <c r="X48" s="1" t="str">
        <f t="shared" si="46"/>
        <v xml:space="preserve">  </v>
      </c>
      <c r="Y48" s="1" t="str">
        <f t="shared" si="47"/>
        <v xml:space="preserve">  </v>
      </c>
      <c r="Z48" s="1" t="str">
        <f t="shared" si="48"/>
        <v xml:space="preserve">  </v>
      </c>
      <c r="AA48" s="1" t="str">
        <f t="shared" si="49"/>
        <v xml:space="preserve">  </v>
      </c>
      <c r="AC48" s="1" t="str">
        <f t="shared" si="50"/>
        <v xml:space="preserve">"Data": "hs32"  </v>
      </c>
      <c r="AD48" s="1" t="str">
        <f t="shared" si="51"/>
        <v xml:space="preserve">"ID": "BSPA.MALA4.P3N2"   </v>
      </c>
      <c r="AE48" s="1" t="str">
        <f t="shared" si="52"/>
        <v xml:space="preserve">"Name": "Revolving credit"                   </v>
      </c>
      <c r="AF48" s="1" t="str">
        <f t="shared" si="53"/>
        <v xml:space="preserve">"Class_1": "Business loans"                     </v>
      </c>
      <c r="AG48" s="1" t="str">
        <f t="shared" si="54"/>
        <v xml:space="preserve">"Class_2": "Revolving credit"      </v>
      </c>
      <c r="AH48" s="1" t="str">
        <f t="shared" si="55"/>
        <v xml:space="preserve">"Class_3": "Type"  </v>
      </c>
      <c r="AI48" s="1" t="str">
        <f t="shared" si="56"/>
        <v xml:space="preserve">"Unit": "NZDm"  </v>
      </c>
      <c r="AJ48" s="1" t="str">
        <f t="shared" si="57"/>
        <v xml:space="preserve">"Dim": "NZDm"  </v>
      </c>
      <c r="AK48" s="1" t="str">
        <f t="shared" si="58"/>
        <v xml:space="preserve">"Tick": ",d"  </v>
      </c>
      <c r="AL48" s="1" t="str">
        <f t="shared" si="59"/>
        <v xml:space="preserve">"Palette": "qual"  </v>
      </c>
      <c r="AM48" s="1" t="str">
        <f t="shared" si="60"/>
        <v xml:space="preserve">"ColourKey": "teal_dark"  </v>
      </c>
      <c r="AN48" s="1" t="str">
        <f t="shared" si="61"/>
        <v xml:space="preserve">"Style": "Fill"  </v>
      </c>
      <c r="AO48" s="1" t="str">
        <f t="shared" si="62"/>
        <v xml:space="preserve">"Prefix": "NA"  </v>
      </c>
      <c r="AQ48" s="1" t="str">
        <f t="shared" si="63"/>
        <v>{ "Data": "hs32"  , "ID": "BSPA.MALA4.P3N2"   , "Name": "Revolving credit"                   , "Class_1": "Business loans"                     , "Class_2": "Revolving credit"      , "Class_3": "Type"  , "Unit": "NZDm"  , "Dim": "NZDm"  , "Tick": ",d"  , "Palette": "qual"  , "ColourKey": "teal_dark"  , "Style": "Fill"  , "Prefix": "NA"   },</v>
      </c>
    </row>
    <row r="49" spans="1:43" x14ac:dyDescent="0.3">
      <c r="A49" t="s">
        <v>861</v>
      </c>
      <c r="B49" t="s">
        <v>893</v>
      </c>
      <c r="C49" t="s">
        <v>871</v>
      </c>
      <c r="D49" t="s">
        <v>890</v>
      </c>
      <c r="E49" t="s">
        <v>871</v>
      </c>
      <c r="F49" t="s">
        <v>867</v>
      </c>
      <c r="G49" t="s">
        <v>148</v>
      </c>
      <c r="H49" t="s">
        <v>148</v>
      </c>
      <c r="I49" t="s">
        <v>149</v>
      </c>
      <c r="J49" t="s">
        <v>19</v>
      </c>
      <c r="K49" t="s">
        <v>601</v>
      </c>
      <c r="L49" t="s">
        <v>118</v>
      </c>
      <c r="M49" t="s">
        <v>22</v>
      </c>
      <c r="O49" s="1" t="str">
        <f t="shared" si="64"/>
        <v xml:space="preserve">  </v>
      </c>
      <c r="P49" s="1" t="str">
        <f t="shared" si="38"/>
        <v xml:space="preserve">   </v>
      </c>
      <c r="Q49" s="1" t="str">
        <f t="shared" si="39"/>
        <v xml:space="preserve">               </v>
      </c>
      <c r="R49" s="1" t="str">
        <f t="shared" si="40"/>
        <v xml:space="preserve">                     </v>
      </c>
      <c r="S49" s="1" t="str">
        <f t="shared" si="41"/>
        <v xml:space="preserve">  </v>
      </c>
      <c r="T49" s="1" t="str">
        <f t="shared" si="42"/>
        <v xml:space="preserve">  </v>
      </c>
      <c r="U49" s="1" t="str">
        <f t="shared" si="43"/>
        <v xml:space="preserve">  </v>
      </c>
      <c r="V49" s="1" t="str">
        <f t="shared" si="44"/>
        <v xml:space="preserve">  </v>
      </c>
      <c r="W49" s="1" t="str">
        <f t="shared" si="45"/>
        <v xml:space="preserve">  </v>
      </c>
      <c r="X49" s="1" t="str">
        <f t="shared" si="46"/>
        <v xml:space="preserve">  </v>
      </c>
      <c r="Y49" s="1" t="str">
        <f t="shared" si="47"/>
        <v xml:space="preserve">  </v>
      </c>
      <c r="Z49" s="1" t="str">
        <f t="shared" si="48"/>
        <v xml:space="preserve">  </v>
      </c>
      <c r="AA49" s="1" t="str">
        <f t="shared" si="49"/>
        <v xml:space="preserve">  </v>
      </c>
      <c r="AC49" s="1" t="str">
        <f t="shared" si="50"/>
        <v xml:space="preserve">"Data": "hs32"  </v>
      </c>
      <c r="AD49" s="1" t="str">
        <f t="shared" si="51"/>
        <v xml:space="preserve">"ID": "BSPA.MALA4.P3N3"   </v>
      </c>
      <c r="AE49" s="1" t="str">
        <f t="shared" si="52"/>
        <v xml:space="preserve">"Name": "Principal &amp; interest"               </v>
      </c>
      <c r="AF49" s="1" t="str">
        <f t="shared" si="53"/>
        <v xml:space="preserve">"Class_1": "Business loans"                     </v>
      </c>
      <c r="AG49" s="1" t="str">
        <f t="shared" si="54"/>
        <v xml:space="preserve">"Class_2": "Principal &amp; interest"  </v>
      </c>
      <c r="AH49" s="1" t="str">
        <f t="shared" si="55"/>
        <v xml:space="preserve">"Class_3": "Type"  </v>
      </c>
      <c r="AI49" s="1" t="str">
        <f t="shared" si="56"/>
        <v xml:space="preserve">"Unit": "NZDm"  </v>
      </c>
      <c r="AJ49" s="1" t="str">
        <f t="shared" si="57"/>
        <v xml:space="preserve">"Dim": "NZDm"  </v>
      </c>
      <c r="AK49" s="1" t="str">
        <f t="shared" si="58"/>
        <v xml:space="preserve">"Tick": ",d"  </v>
      </c>
      <c r="AL49" s="1" t="str">
        <f t="shared" si="59"/>
        <v xml:space="preserve">"Palette": "qual"  </v>
      </c>
      <c r="AM49" s="1" t="str">
        <f t="shared" si="60"/>
        <v xml:space="preserve">"ColourKey": "teal_dark"  </v>
      </c>
      <c r="AN49" s="1" t="str">
        <f t="shared" si="61"/>
        <v xml:space="preserve">"Style": "Fill"  </v>
      </c>
      <c r="AO49" s="1" t="str">
        <f t="shared" si="62"/>
        <v xml:space="preserve">"Prefix": "NA"  </v>
      </c>
      <c r="AQ49" s="1" t="str">
        <f t="shared" si="63"/>
        <v>{ "Data": "hs32"  , "ID": "BSPA.MALA4.P3N3"   , "Name": "Principal &amp; interest"               , "Class_1": "Business loans"                     , "Class_2": "Principal &amp; interest"  , "Class_3": "Type"  , "Unit": "NZDm"  , "Dim": "NZDm"  , "Tick": ",d"  , "Palette": "qual"  , "ColourKey": "teal_dark"  , "Style": "Fill"  , "Prefix": "NA"   },</v>
      </c>
    </row>
    <row r="50" spans="1:43" x14ac:dyDescent="0.3">
      <c r="A50" t="s">
        <v>861</v>
      </c>
      <c r="B50" t="s">
        <v>894</v>
      </c>
      <c r="C50" t="s">
        <v>873</v>
      </c>
      <c r="D50" t="s">
        <v>890</v>
      </c>
      <c r="E50" t="s">
        <v>873</v>
      </c>
      <c r="F50" t="s">
        <v>867</v>
      </c>
      <c r="G50" t="s">
        <v>148</v>
      </c>
      <c r="H50" t="s">
        <v>148</v>
      </c>
      <c r="I50" t="s">
        <v>149</v>
      </c>
      <c r="J50" t="s">
        <v>19</v>
      </c>
      <c r="K50" t="s">
        <v>601</v>
      </c>
      <c r="L50" t="s">
        <v>118</v>
      </c>
      <c r="M50" t="s">
        <v>22</v>
      </c>
      <c r="O50" s="1" t="str">
        <f t="shared" si="64"/>
        <v xml:space="preserve">  </v>
      </c>
      <c r="P50" s="1" t="str">
        <f t="shared" si="38"/>
        <v xml:space="preserve">   </v>
      </c>
      <c r="Q50" s="1" t="str">
        <f t="shared" si="39"/>
        <v xml:space="preserve">                              </v>
      </c>
      <c r="R50" s="1" t="str">
        <f t="shared" si="40"/>
        <v xml:space="preserve">                     </v>
      </c>
      <c r="S50" s="1" t="str">
        <f t="shared" si="41"/>
        <v xml:space="preserve">                 </v>
      </c>
      <c r="T50" s="1" t="str">
        <f t="shared" si="42"/>
        <v xml:space="preserve">  </v>
      </c>
      <c r="U50" s="1" t="str">
        <f t="shared" si="43"/>
        <v xml:space="preserve">  </v>
      </c>
      <c r="V50" s="1" t="str">
        <f t="shared" si="44"/>
        <v xml:space="preserve">  </v>
      </c>
      <c r="W50" s="1" t="str">
        <f t="shared" si="45"/>
        <v xml:space="preserve">  </v>
      </c>
      <c r="X50" s="1" t="str">
        <f t="shared" si="46"/>
        <v xml:space="preserve">  </v>
      </c>
      <c r="Y50" s="1" t="str">
        <f t="shared" si="47"/>
        <v xml:space="preserve">  </v>
      </c>
      <c r="Z50" s="1" t="str">
        <f t="shared" si="48"/>
        <v xml:space="preserve">  </v>
      </c>
      <c r="AA50" s="1" t="str">
        <f t="shared" si="49"/>
        <v xml:space="preserve">  </v>
      </c>
      <c r="AC50" s="1" t="str">
        <f t="shared" si="50"/>
        <v xml:space="preserve">"Data": "hs32"  </v>
      </c>
      <c r="AD50" s="1" t="str">
        <f t="shared" si="51"/>
        <v xml:space="preserve">"ID": "BSPA.MALA4.P3N6"   </v>
      </c>
      <c r="AE50" s="1" t="str">
        <f t="shared" si="52"/>
        <v xml:space="preserve">"Name": "Other"                              </v>
      </c>
      <c r="AF50" s="1" t="str">
        <f t="shared" si="53"/>
        <v xml:space="preserve">"Class_1": "Business loans"                     </v>
      </c>
      <c r="AG50" s="1" t="str">
        <f t="shared" si="54"/>
        <v xml:space="preserve">"Class_2": "Other"                 </v>
      </c>
      <c r="AH50" s="1" t="str">
        <f t="shared" si="55"/>
        <v xml:space="preserve">"Class_3": "Type"  </v>
      </c>
      <c r="AI50" s="1" t="str">
        <f t="shared" si="56"/>
        <v xml:space="preserve">"Unit": "NZDm"  </v>
      </c>
      <c r="AJ50" s="1" t="str">
        <f t="shared" si="57"/>
        <v xml:space="preserve">"Dim": "NZDm"  </v>
      </c>
      <c r="AK50" s="1" t="str">
        <f t="shared" si="58"/>
        <v xml:space="preserve">"Tick": ",d"  </v>
      </c>
      <c r="AL50" s="1" t="str">
        <f t="shared" si="59"/>
        <v xml:space="preserve">"Palette": "qual"  </v>
      </c>
      <c r="AM50" s="1" t="str">
        <f t="shared" si="60"/>
        <v xml:space="preserve">"ColourKey": "teal_dark"  </v>
      </c>
      <c r="AN50" s="1" t="str">
        <f t="shared" si="61"/>
        <v xml:space="preserve">"Style": "Fill"  </v>
      </c>
      <c r="AO50" s="1" t="str">
        <f t="shared" si="62"/>
        <v xml:space="preserve">"Prefix": "NA"  </v>
      </c>
      <c r="AQ50" s="1" t="str">
        <f t="shared" si="63"/>
        <v>{ "Data": "hs32"  , "ID": "BSPA.MALA4.P3N6"   , "Name": "Other"                              , "Class_1": "Business loans"                     , "Class_2": "Other"                 , "Class_3": "Type"  , "Unit": "NZDm"  , "Dim": "NZDm"  , "Tick": ",d"  , "Palette": "qual"  , "ColourKey": "teal_dark"  , "Style": "Fill"  , "Prefix": "NA"   },</v>
      </c>
    </row>
    <row r="51" spans="1:43" x14ac:dyDescent="0.3">
      <c r="A51" t="s">
        <v>861</v>
      </c>
      <c r="B51" t="s">
        <v>895</v>
      </c>
      <c r="C51" t="s">
        <v>896</v>
      </c>
      <c r="D51" t="s">
        <v>896</v>
      </c>
      <c r="E51" t="s">
        <v>147</v>
      </c>
      <c r="F51" t="s">
        <v>864</v>
      </c>
      <c r="G51" t="s">
        <v>148</v>
      </c>
      <c r="H51" t="s">
        <v>148</v>
      </c>
      <c r="I51" t="s">
        <v>149</v>
      </c>
      <c r="J51" t="s">
        <v>19</v>
      </c>
      <c r="K51" t="s">
        <v>601</v>
      </c>
      <c r="L51" t="s">
        <v>118</v>
      </c>
      <c r="M51" t="s">
        <v>22</v>
      </c>
      <c r="O51" s="1" t="str">
        <f t="shared" si="64"/>
        <v xml:space="preserve">  </v>
      </c>
      <c r="P51" s="1" t="str">
        <f t="shared" si="38"/>
        <v xml:space="preserve">  </v>
      </c>
      <c r="Q51" s="1" t="str">
        <f t="shared" si="39"/>
        <v xml:space="preserve">                  </v>
      </c>
      <c r="R51" s="1" t="str">
        <f t="shared" si="40"/>
        <v xml:space="preserve">                  </v>
      </c>
      <c r="S51" s="1" t="str">
        <f t="shared" si="41"/>
        <v xml:space="preserve">                 </v>
      </c>
      <c r="T51" s="1" t="str">
        <f t="shared" si="42"/>
        <v xml:space="preserve">   </v>
      </c>
      <c r="U51" s="1" t="str">
        <f t="shared" si="43"/>
        <v xml:space="preserve">  </v>
      </c>
      <c r="V51" s="1" t="str">
        <f t="shared" si="44"/>
        <v xml:space="preserve">  </v>
      </c>
      <c r="W51" s="1" t="str">
        <f t="shared" si="45"/>
        <v xml:space="preserve">  </v>
      </c>
      <c r="X51" s="1" t="str">
        <f t="shared" si="46"/>
        <v xml:space="preserve">  </v>
      </c>
      <c r="Y51" s="1" t="str">
        <f t="shared" si="47"/>
        <v xml:space="preserve">  </v>
      </c>
      <c r="Z51" s="1" t="str">
        <f t="shared" si="48"/>
        <v xml:space="preserve">  </v>
      </c>
      <c r="AA51" s="1" t="str">
        <f t="shared" si="49"/>
        <v xml:space="preserve">  </v>
      </c>
      <c r="AC51" s="1" t="str">
        <f t="shared" si="50"/>
        <v xml:space="preserve">"Data": "hs32"  </v>
      </c>
      <c r="AD51" s="1" t="str">
        <f t="shared" si="51"/>
        <v xml:space="preserve">"ID": "BSPAS.MALA4.P4ZA"  </v>
      </c>
      <c r="AE51" s="1" t="str">
        <f t="shared" si="52"/>
        <v xml:space="preserve">"Name": "Agriculture loans"                  </v>
      </c>
      <c r="AF51" s="1" t="str">
        <f t="shared" si="53"/>
        <v xml:space="preserve">"Class_1": "Agriculture loans"                  </v>
      </c>
      <c r="AG51" s="1" t="str">
        <f t="shared" si="54"/>
        <v xml:space="preserve">"Class_2": "Total"                 </v>
      </c>
      <c r="AH51" s="1" t="str">
        <f t="shared" si="55"/>
        <v xml:space="preserve">"Class_3": "Use"   </v>
      </c>
      <c r="AI51" s="1" t="str">
        <f t="shared" si="56"/>
        <v xml:space="preserve">"Unit": "NZDm"  </v>
      </c>
      <c r="AJ51" s="1" t="str">
        <f t="shared" si="57"/>
        <v xml:space="preserve">"Dim": "NZDm"  </v>
      </c>
      <c r="AK51" s="1" t="str">
        <f t="shared" si="58"/>
        <v xml:space="preserve">"Tick": ",d"  </v>
      </c>
      <c r="AL51" s="1" t="str">
        <f t="shared" si="59"/>
        <v xml:space="preserve">"Palette": "qual"  </v>
      </c>
      <c r="AM51" s="1" t="str">
        <f t="shared" si="60"/>
        <v xml:space="preserve">"ColourKey": "teal_dark"  </v>
      </c>
      <c r="AN51" s="1" t="str">
        <f t="shared" si="61"/>
        <v xml:space="preserve">"Style": "Fill"  </v>
      </c>
      <c r="AO51" s="1" t="str">
        <f t="shared" si="62"/>
        <v xml:space="preserve">"Prefix": "NA"  </v>
      </c>
      <c r="AQ51" s="1" t="str">
        <f t="shared" si="63"/>
        <v>{ "Data": "hs32"  , "ID": "BSPAS.MALA4.P4ZA"  , "Name": "Agriculture loans"                  , "Class_1": "Agriculture loans"                  , "Class_2": "Total"                 , "Class_3": "Use"   , "Unit": "NZDm"  , "Dim": "NZDm"  , "Tick": ",d"  , "Palette": "qual"  , "ColourKey": "teal_dark"  , "Style": "Fill"  , "Prefix": "NA"   },</v>
      </c>
    </row>
    <row r="52" spans="1:43" x14ac:dyDescent="0.3">
      <c r="A52" t="s">
        <v>861</v>
      </c>
      <c r="B52" t="s">
        <v>897</v>
      </c>
      <c r="C52" t="s">
        <v>866</v>
      </c>
      <c r="D52" t="s">
        <v>896</v>
      </c>
      <c r="E52" t="s">
        <v>866</v>
      </c>
      <c r="F52" t="s">
        <v>867</v>
      </c>
      <c r="G52" t="s">
        <v>148</v>
      </c>
      <c r="H52" t="s">
        <v>148</v>
      </c>
      <c r="I52" t="s">
        <v>149</v>
      </c>
      <c r="J52" t="s">
        <v>19</v>
      </c>
      <c r="K52" t="s">
        <v>601</v>
      </c>
      <c r="L52" t="s">
        <v>118</v>
      </c>
      <c r="M52" t="s">
        <v>22</v>
      </c>
      <c r="O52" s="1" t="str">
        <f t="shared" si="64"/>
        <v xml:space="preserve">  </v>
      </c>
      <c r="P52" s="1" t="str">
        <f t="shared" si="38"/>
        <v xml:space="preserve">  </v>
      </c>
      <c r="Q52" s="1" t="str">
        <f t="shared" si="39"/>
        <v xml:space="preserve">                      </v>
      </c>
      <c r="R52" s="1" t="str">
        <f t="shared" si="40"/>
        <v xml:space="preserve">                  </v>
      </c>
      <c r="S52" s="1" t="str">
        <f t="shared" si="41"/>
        <v xml:space="preserve">         </v>
      </c>
      <c r="T52" s="1" t="str">
        <f t="shared" si="42"/>
        <v xml:space="preserve">  </v>
      </c>
      <c r="U52" s="1" t="str">
        <f t="shared" si="43"/>
        <v xml:space="preserve">  </v>
      </c>
      <c r="V52" s="1" t="str">
        <f t="shared" si="44"/>
        <v xml:space="preserve">  </v>
      </c>
      <c r="W52" s="1" t="str">
        <f t="shared" si="45"/>
        <v xml:space="preserve">  </v>
      </c>
      <c r="X52" s="1" t="str">
        <f t="shared" si="46"/>
        <v xml:space="preserve">  </v>
      </c>
      <c r="Y52" s="1" t="str">
        <f t="shared" si="47"/>
        <v xml:space="preserve">  </v>
      </c>
      <c r="Z52" s="1" t="str">
        <f t="shared" si="48"/>
        <v xml:space="preserve">  </v>
      </c>
      <c r="AA52" s="1" t="str">
        <f t="shared" si="49"/>
        <v xml:space="preserve">  </v>
      </c>
      <c r="AC52" s="1" t="str">
        <f t="shared" si="50"/>
        <v xml:space="preserve">"Data": "hs32"  </v>
      </c>
      <c r="AD52" s="1" t="str">
        <f t="shared" si="51"/>
        <v xml:space="preserve">"ID": "BSPA.MALA4.P4N1A"  </v>
      </c>
      <c r="AE52" s="1" t="str">
        <f t="shared" si="52"/>
        <v xml:space="preserve">"Name": "Interest only"                      </v>
      </c>
      <c r="AF52" s="1" t="str">
        <f t="shared" si="53"/>
        <v xml:space="preserve">"Class_1": "Agriculture loans"                  </v>
      </c>
      <c r="AG52" s="1" t="str">
        <f t="shared" si="54"/>
        <v xml:space="preserve">"Class_2": "Interest only"         </v>
      </c>
      <c r="AH52" s="1" t="str">
        <f t="shared" si="55"/>
        <v xml:space="preserve">"Class_3": "Type"  </v>
      </c>
      <c r="AI52" s="1" t="str">
        <f t="shared" si="56"/>
        <v xml:space="preserve">"Unit": "NZDm"  </v>
      </c>
      <c r="AJ52" s="1" t="str">
        <f t="shared" si="57"/>
        <v xml:space="preserve">"Dim": "NZDm"  </v>
      </c>
      <c r="AK52" s="1" t="str">
        <f t="shared" si="58"/>
        <v xml:space="preserve">"Tick": ",d"  </v>
      </c>
      <c r="AL52" s="1" t="str">
        <f t="shared" si="59"/>
        <v xml:space="preserve">"Palette": "qual"  </v>
      </c>
      <c r="AM52" s="1" t="str">
        <f t="shared" si="60"/>
        <v xml:space="preserve">"ColourKey": "teal_dark"  </v>
      </c>
      <c r="AN52" s="1" t="str">
        <f t="shared" si="61"/>
        <v xml:space="preserve">"Style": "Fill"  </v>
      </c>
      <c r="AO52" s="1" t="str">
        <f t="shared" si="62"/>
        <v xml:space="preserve">"Prefix": "NA"  </v>
      </c>
      <c r="AQ52" s="1" t="str">
        <f t="shared" si="63"/>
        <v>{ "Data": "hs32"  , "ID": "BSPA.MALA4.P4N1A"  , "Name": "Interest only"                      , "Class_1": "Agriculture loans"                  , "Class_2": "Interest only"         , "Class_3": "Type"  , "Unit": "NZDm"  , "Dim": "NZDm"  , "Tick": ",d"  , "Palette": "qual"  , "ColourKey": "teal_dark"  , "Style": "Fill"  , "Prefix": "NA"   },</v>
      </c>
    </row>
    <row r="53" spans="1:43" x14ac:dyDescent="0.3">
      <c r="A53" t="s">
        <v>861</v>
      </c>
      <c r="B53" t="s">
        <v>898</v>
      </c>
      <c r="C53" t="s">
        <v>869</v>
      </c>
      <c r="D53" t="s">
        <v>896</v>
      </c>
      <c r="E53" t="s">
        <v>869</v>
      </c>
      <c r="F53" t="s">
        <v>867</v>
      </c>
      <c r="G53" t="s">
        <v>148</v>
      </c>
      <c r="H53" t="s">
        <v>148</v>
      </c>
      <c r="I53" t="s">
        <v>149</v>
      </c>
      <c r="J53" t="s">
        <v>19</v>
      </c>
      <c r="K53" t="s">
        <v>601</v>
      </c>
      <c r="L53" t="s">
        <v>118</v>
      </c>
      <c r="M53" t="s">
        <v>22</v>
      </c>
      <c r="O53" s="1" t="str">
        <f t="shared" si="64"/>
        <v xml:space="preserve">  </v>
      </c>
      <c r="P53" s="1" t="str">
        <f t="shared" si="38"/>
        <v xml:space="preserve">  </v>
      </c>
      <c r="Q53" s="1" t="str">
        <f t="shared" si="39"/>
        <v xml:space="preserve">                   </v>
      </c>
      <c r="R53" s="1" t="str">
        <f t="shared" si="40"/>
        <v xml:space="preserve">                  </v>
      </c>
      <c r="S53" s="1" t="str">
        <f t="shared" si="41"/>
        <v xml:space="preserve">      </v>
      </c>
      <c r="T53" s="1" t="str">
        <f t="shared" si="42"/>
        <v xml:space="preserve">  </v>
      </c>
      <c r="U53" s="1" t="str">
        <f t="shared" si="43"/>
        <v xml:space="preserve">  </v>
      </c>
      <c r="V53" s="1" t="str">
        <f t="shared" si="44"/>
        <v xml:space="preserve">  </v>
      </c>
      <c r="W53" s="1" t="str">
        <f t="shared" si="45"/>
        <v xml:space="preserve">  </v>
      </c>
      <c r="X53" s="1" t="str">
        <f t="shared" si="46"/>
        <v xml:space="preserve">  </v>
      </c>
      <c r="Y53" s="1" t="str">
        <f t="shared" si="47"/>
        <v xml:space="preserve">  </v>
      </c>
      <c r="Z53" s="1" t="str">
        <f t="shared" si="48"/>
        <v xml:space="preserve">  </v>
      </c>
      <c r="AA53" s="1" t="str">
        <f t="shared" si="49"/>
        <v xml:space="preserve">  </v>
      </c>
      <c r="AC53" s="1" t="str">
        <f t="shared" si="50"/>
        <v xml:space="preserve">"Data": "hs32"  </v>
      </c>
      <c r="AD53" s="1" t="str">
        <f t="shared" si="51"/>
        <v xml:space="preserve">"ID": "BSPA.MALA4.P4N2A"  </v>
      </c>
      <c r="AE53" s="1" t="str">
        <f t="shared" si="52"/>
        <v xml:space="preserve">"Name": "Revolving credit"                   </v>
      </c>
      <c r="AF53" s="1" t="str">
        <f t="shared" si="53"/>
        <v xml:space="preserve">"Class_1": "Agriculture loans"                  </v>
      </c>
      <c r="AG53" s="1" t="str">
        <f t="shared" si="54"/>
        <v xml:space="preserve">"Class_2": "Revolving credit"      </v>
      </c>
      <c r="AH53" s="1" t="str">
        <f t="shared" si="55"/>
        <v xml:space="preserve">"Class_3": "Type"  </v>
      </c>
      <c r="AI53" s="1" t="str">
        <f t="shared" si="56"/>
        <v xml:space="preserve">"Unit": "NZDm"  </v>
      </c>
      <c r="AJ53" s="1" t="str">
        <f t="shared" si="57"/>
        <v xml:space="preserve">"Dim": "NZDm"  </v>
      </c>
      <c r="AK53" s="1" t="str">
        <f t="shared" si="58"/>
        <v xml:space="preserve">"Tick": ",d"  </v>
      </c>
      <c r="AL53" s="1" t="str">
        <f t="shared" si="59"/>
        <v xml:space="preserve">"Palette": "qual"  </v>
      </c>
      <c r="AM53" s="1" t="str">
        <f t="shared" si="60"/>
        <v xml:space="preserve">"ColourKey": "teal_dark"  </v>
      </c>
      <c r="AN53" s="1" t="str">
        <f t="shared" si="61"/>
        <v xml:space="preserve">"Style": "Fill"  </v>
      </c>
      <c r="AO53" s="1" t="str">
        <f t="shared" si="62"/>
        <v xml:space="preserve">"Prefix": "NA"  </v>
      </c>
      <c r="AQ53" s="1" t="str">
        <f t="shared" si="63"/>
        <v>{ "Data": "hs32"  , "ID": "BSPA.MALA4.P4N2A"  , "Name": "Revolving credit"                   , "Class_1": "Agriculture loans"                  , "Class_2": "Revolving credit"      , "Class_3": "Type"  , "Unit": "NZDm"  , "Dim": "NZDm"  , "Tick": ",d"  , "Palette": "qual"  , "ColourKey": "teal_dark"  , "Style": "Fill"  , "Prefix": "NA"   },</v>
      </c>
    </row>
    <row r="54" spans="1:43" x14ac:dyDescent="0.3">
      <c r="A54" t="s">
        <v>861</v>
      </c>
      <c r="B54" t="s">
        <v>899</v>
      </c>
      <c r="C54" t="s">
        <v>871</v>
      </c>
      <c r="D54" t="s">
        <v>896</v>
      </c>
      <c r="E54" t="s">
        <v>871</v>
      </c>
      <c r="F54" t="s">
        <v>867</v>
      </c>
      <c r="G54" t="s">
        <v>148</v>
      </c>
      <c r="H54" t="s">
        <v>148</v>
      </c>
      <c r="I54" t="s">
        <v>149</v>
      </c>
      <c r="J54" t="s">
        <v>19</v>
      </c>
      <c r="K54" t="s">
        <v>601</v>
      </c>
      <c r="L54" t="s">
        <v>118</v>
      </c>
      <c r="M54" t="s">
        <v>22</v>
      </c>
      <c r="O54" s="1" t="str">
        <f t="shared" si="64"/>
        <v xml:space="preserve">  </v>
      </c>
      <c r="P54" s="1" t="str">
        <f t="shared" si="38"/>
        <v xml:space="preserve">  </v>
      </c>
      <c r="Q54" s="1" t="str">
        <f t="shared" si="39"/>
        <v xml:space="preserve">               </v>
      </c>
      <c r="R54" s="1" t="str">
        <f t="shared" si="40"/>
        <v xml:space="preserve">                  </v>
      </c>
      <c r="S54" s="1" t="str">
        <f t="shared" si="41"/>
        <v xml:space="preserve">  </v>
      </c>
      <c r="T54" s="1" t="str">
        <f t="shared" si="42"/>
        <v xml:space="preserve">  </v>
      </c>
      <c r="U54" s="1" t="str">
        <f t="shared" si="43"/>
        <v xml:space="preserve">  </v>
      </c>
      <c r="V54" s="1" t="str">
        <f t="shared" si="44"/>
        <v xml:space="preserve">  </v>
      </c>
      <c r="W54" s="1" t="str">
        <f t="shared" si="45"/>
        <v xml:space="preserve">  </v>
      </c>
      <c r="X54" s="1" t="str">
        <f t="shared" si="46"/>
        <v xml:space="preserve">  </v>
      </c>
      <c r="Y54" s="1" t="str">
        <f t="shared" si="47"/>
        <v xml:space="preserve">  </v>
      </c>
      <c r="Z54" s="1" t="str">
        <f t="shared" si="48"/>
        <v xml:space="preserve">  </v>
      </c>
      <c r="AA54" s="1" t="str">
        <f t="shared" si="49"/>
        <v xml:space="preserve">  </v>
      </c>
      <c r="AC54" s="1" t="str">
        <f t="shared" si="50"/>
        <v xml:space="preserve">"Data": "hs32"  </v>
      </c>
      <c r="AD54" s="1" t="str">
        <f t="shared" si="51"/>
        <v xml:space="preserve">"ID": "BSPA.MALA4.P4N3A"  </v>
      </c>
      <c r="AE54" s="1" t="str">
        <f t="shared" si="52"/>
        <v xml:space="preserve">"Name": "Principal &amp; interest"               </v>
      </c>
      <c r="AF54" s="1" t="str">
        <f t="shared" si="53"/>
        <v xml:space="preserve">"Class_1": "Agriculture loans"                  </v>
      </c>
      <c r="AG54" s="1" t="str">
        <f t="shared" si="54"/>
        <v xml:space="preserve">"Class_2": "Principal &amp; interest"  </v>
      </c>
      <c r="AH54" s="1" t="str">
        <f t="shared" si="55"/>
        <v xml:space="preserve">"Class_3": "Type"  </v>
      </c>
      <c r="AI54" s="1" t="str">
        <f t="shared" si="56"/>
        <v xml:space="preserve">"Unit": "NZDm"  </v>
      </c>
      <c r="AJ54" s="1" t="str">
        <f t="shared" si="57"/>
        <v xml:space="preserve">"Dim": "NZDm"  </v>
      </c>
      <c r="AK54" s="1" t="str">
        <f t="shared" si="58"/>
        <v xml:space="preserve">"Tick": ",d"  </v>
      </c>
      <c r="AL54" s="1" t="str">
        <f t="shared" si="59"/>
        <v xml:space="preserve">"Palette": "qual"  </v>
      </c>
      <c r="AM54" s="1" t="str">
        <f t="shared" si="60"/>
        <v xml:space="preserve">"ColourKey": "teal_dark"  </v>
      </c>
      <c r="AN54" s="1" t="str">
        <f t="shared" si="61"/>
        <v xml:space="preserve">"Style": "Fill"  </v>
      </c>
      <c r="AO54" s="1" t="str">
        <f t="shared" si="62"/>
        <v xml:space="preserve">"Prefix": "NA"  </v>
      </c>
      <c r="AQ54" s="1" t="str">
        <f t="shared" si="63"/>
        <v>{ "Data": "hs32"  , "ID": "BSPA.MALA4.P4N3A"  , "Name": "Principal &amp; interest"               , "Class_1": "Agriculture loans"                  , "Class_2": "Principal &amp; interest"  , "Class_3": "Type"  , "Unit": "NZDm"  , "Dim": "NZDm"  , "Tick": ",d"  , "Palette": "qual"  , "ColourKey": "teal_dark"  , "Style": "Fill"  , "Prefix": "NA"   },</v>
      </c>
    </row>
    <row r="55" spans="1:43" x14ac:dyDescent="0.3">
      <c r="A55" t="s">
        <v>861</v>
      </c>
      <c r="B55" t="s">
        <v>900</v>
      </c>
      <c r="C55" t="s">
        <v>873</v>
      </c>
      <c r="D55" t="s">
        <v>896</v>
      </c>
      <c r="E55" t="s">
        <v>873</v>
      </c>
      <c r="F55" t="s">
        <v>867</v>
      </c>
      <c r="G55" t="s">
        <v>148</v>
      </c>
      <c r="H55" t="s">
        <v>148</v>
      </c>
      <c r="I55" t="s">
        <v>149</v>
      </c>
      <c r="J55" t="s">
        <v>19</v>
      </c>
      <c r="K55" t="s">
        <v>601</v>
      </c>
      <c r="L55" t="s">
        <v>118</v>
      </c>
      <c r="M55" t="s">
        <v>22</v>
      </c>
      <c r="O55" s="1" t="str">
        <f t="shared" si="64"/>
        <v xml:space="preserve">  </v>
      </c>
      <c r="P55" s="1" t="str">
        <f t="shared" si="38"/>
        <v xml:space="preserve">  </v>
      </c>
      <c r="Q55" s="1" t="str">
        <f t="shared" si="39"/>
        <v xml:space="preserve">                              </v>
      </c>
      <c r="R55" s="1" t="str">
        <f t="shared" si="40"/>
        <v xml:space="preserve">                  </v>
      </c>
      <c r="S55" s="1" t="str">
        <f t="shared" si="41"/>
        <v xml:space="preserve">                 </v>
      </c>
      <c r="T55" s="1" t="str">
        <f t="shared" si="42"/>
        <v xml:space="preserve">  </v>
      </c>
      <c r="U55" s="1" t="str">
        <f t="shared" si="43"/>
        <v xml:space="preserve">  </v>
      </c>
      <c r="V55" s="1" t="str">
        <f t="shared" si="44"/>
        <v xml:space="preserve">  </v>
      </c>
      <c r="W55" s="1" t="str">
        <f t="shared" si="45"/>
        <v xml:space="preserve">  </v>
      </c>
      <c r="X55" s="1" t="str">
        <f t="shared" si="46"/>
        <v xml:space="preserve">  </v>
      </c>
      <c r="Y55" s="1" t="str">
        <f t="shared" si="47"/>
        <v xml:space="preserve">  </v>
      </c>
      <c r="Z55" s="1" t="str">
        <f t="shared" si="48"/>
        <v xml:space="preserve">  </v>
      </c>
      <c r="AA55" s="1" t="str">
        <f t="shared" si="49"/>
        <v xml:space="preserve">  </v>
      </c>
      <c r="AC55" s="1" t="str">
        <f t="shared" si="50"/>
        <v xml:space="preserve">"Data": "hs32"  </v>
      </c>
      <c r="AD55" s="1" t="str">
        <f t="shared" si="51"/>
        <v xml:space="preserve">"ID": "BSPA.MALA4.P4N6A"  </v>
      </c>
      <c r="AE55" s="1" t="str">
        <f t="shared" si="52"/>
        <v xml:space="preserve">"Name": "Other"                              </v>
      </c>
      <c r="AF55" s="1" t="str">
        <f t="shared" si="53"/>
        <v xml:space="preserve">"Class_1": "Agriculture loans"                  </v>
      </c>
      <c r="AG55" s="1" t="str">
        <f t="shared" si="54"/>
        <v xml:space="preserve">"Class_2": "Other"                 </v>
      </c>
      <c r="AH55" s="1" t="str">
        <f t="shared" si="55"/>
        <v xml:space="preserve">"Class_3": "Type"  </v>
      </c>
      <c r="AI55" s="1" t="str">
        <f t="shared" si="56"/>
        <v xml:space="preserve">"Unit": "NZDm"  </v>
      </c>
      <c r="AJ55" s="1" t="str">
        <f t="shared" si="57"/>
        <v xml:space="preserve">"Dim": "NZDm"  </v>
      </c>
      <c r="AK55" s="1" t="str">
        <f t="shared" si="58"/>
        <v xml:space="preserve">"Tick": ",d"  </v>
      </c>
      <c r="AL55" s="1" t="str">
        <f t="shared" si="59"/>
        <v xml:space="preserve">"Palette": "qual"  </v>
      </c>
      <c r="AM55" s="1" t="str">
        <f t="shared" si="60"/>
        <v xml:space="preserve">"ColourKey": "teal_dark"  </v>
      </c>
      <c r="AN55" s="1" t="str">
        <f t="shared" si="61"/>
        <v xml:space="preserve">"Style": "Fill"  </v>
      </c>
      <c r="AO55" s="1" t="str">
        <f t="shared" si="62"/>
        <v xml:space="preserve">"Prefix": "NA"  </v>
      </c>
      <c r="AQ55" s="1" t="str">
        <f t="shared" si="63"/>
        <v>{ "Data": "hs32"  , "ID": "BSPA.MALA4.P4N6A"  , "Name": "Other"                              , "Class_1": "Agriculture loans"                  , "Class_2": "Other"                 , "Class_3": "Type"  , "Unit": "NZDm"  , "Dim": "NZDm"  , "Tick": ",d"  , "Palette": "qual"  , "ColourKey": "teal_dark"  , "Style": "Fill"  , "Prefix": "NA"   },</v>
      </c>
    </row>
    <row r="56" spans="1:43" x14ac:dyDescent="0.3">
      <c r="A56" t="s">
        <v>861</v>
      </c>
      <c r="B56" t="s">
        <v>901</v>
      </c>
      <c r="C56" t="s">
        <v>902</v>
      </c>
      <c r="D56" t="s">
        <v>902</v>
      </c>
      <c r="E56" t="s">
        <v>147</v>
      </c>
      <c r="F56" t="s">
        <v>864</v>
      </c>
      <c r="G56" t="s">
        <v>148</v>
      </c>
      <c r="H56" t="s">
        <v>148</v>
      </c>
      <c r="I56" t="s">
        <v>149</v>
      </c>
      <c r="J56" t="s">
        <v>19</v>
      </c>
      <c r="K56" t="s">
        <v>601</v>
      </c>
      <c r="L56" t="s">
        <v>118</v>
      </c>
      <c r="M56" t="s">
        <v>22</v>
      </c>
      <c r="O56" s="1" t="str">
        <f t="shared" si="64"/>
        <v xml:space="preserve">  </v>
      </c>
      <c r="P56" s="1" t="str">
        <f t="shared" si="38"/>
        <v xml:space="preserve">     </v>
      </c>
      <c r="Q56" s="1" t="str">
        <f t="shared" si="39"/>
        <v xml:space="preserve">       </v>
      </c>
      <c r="R56" s="1" t="str">
        <f t="shared" si="40"/>
        <v xml:space="preserve">       </v>
      </c>
      <c r="S56" s="1" t="str">
        <f t="shared" si="41"/>
        <v xml:space="preserve">                 </v>
      </c>
      <c r="T56" s="1" t="str">
        <f t="shared" si="42"/>
        <v xml:space="preserve">   </v>
      </c>
      <c r="U56" s="1" t="str">
        <f t="shared" si="43"/>
        <v xml:space="preserve">  </v>
      </c>
      <c r="V56" s="1" t="str">
        <f t="shared" si="44"/>
        <v xml:space="preserve">  </v>
      </c>
      <c r="W56" s="1" t="str">
        <f t="shared" si="45"/>
        <v xml:space="preserve">  </v>
      </c>
      <c r="X56" s="1" t="str">
        <f t="shared" si="46"/>
        <v xml:space="preserve">  </v>
      </c>
      <c r="Y56" s="1" t="str">
        <f t="shared" si="47"/>
        <v xml:space="preserve">  </v>
      </c>
      <c r="Z56" s="1" t="str">
        <f t="shared" si="48"/>
        <v xml:space="preserve">  </v>
      </c>
      <c r="AA56" s="1" t="str">
        <f t="shared" si="49"/>
        <v xml:space="preserve">  </v>
      </c>
      <c r="AC56" s="1" t="str">
        <f t="shared" si="50"/>
        <v xml:space="preserve">"Data": "hs32"  </v>
      </c>
      <c r="AD56" s="1" t="str">
        <f t="shared" si="51"/>
        <v xml:space="preserve">"ID": "BSPA.MALA4.P5"     </v>
      </c>
      <c r="AE56" s="1" t="str">
        <f t="shared" si="52"/>
        <v xml:space="preserve">"Name": "Financial institutions loans"       </v>
      </c>
      <c r="AF56" s="1" t="str">
        <f t="shared" si="53"/>
        <v xml:space="preserve">"Class_1": "Financial institutions loans"       </v>
      </c>
      <c r="AG56" s="1" t="str">
        <f t="shared" si="54"/>
        <v xml:space="preserve">"Class_2": "Total"                 </v>
      </c>
      <c r="AH56" s="1" t="str">
        <f t="shared" si="55"/>
        <v xml:space="preserve">"Class_3": "Use"   </v>
      </c>
      <c r="AI56" s="1" t="str">
        <f t="shared" si="56"/>
        <v xml:space="preserve">"Unit": "NZDm"  </v>
      </c>
      <c r="AJ56" s="1" t="str">
        <f t="shared" si="57"/>
        <v xml:space="preserve">"Dim": "NZDm"  </v>
      </c>
      <c r="AK56" s="1" t="str">
        <f t="shared" si="58"/>
        <v xml:space="preserve">"Tick": ",d"  </v>
      </c>
      <c r="AL56" s="1" t="str">
        <f t="shared" si="59"/>
        <v xml:space="preserve">"Palette": "qual"  </v>
      </c>
      <c r="AM56" s="1" t="str">
        <f t="shared" si="60"/>
        <v xml:space="preserve">"ColourKey": "teal_dark"  </v>
      </c>
      <c r="AN56" s="1" t="str">
        <f t="shared" si="61"/>
        <v xml:space="preserve">"Style": "Fill"  </v>
      </c>
      <c r="AO56" s="1" t="str">
        <f t="shared" si="62"/>
        <v xml:space="preserve">"Prefix": "NA"  </v>
      </c>
      <c r="AQ56" s="1" t="str">
        <f t="shared" si="63"/>
        <v>{ "Data": "hs32"  , "ID": "BSPA.MALA4.P5"     , "Name": "Financial institutions loans"       , "Class_1": "Financial institutions loans"       , "Class_2": "Total"                 , "Class_3": "Use"   , "Unit": "NZDm"  , "Dim": "NZDm"  , "Tick": ",d"  , "Palette": "qual"  , "ColourKey": "teal_dark"  , "Style": "Fill"  , "Prefix": "NA"   },</v>
      </c>
    </row>
    <row r="57" spans="1:43" x14ac:dyDescent="0.3">
      <c r="A57" t="s">
        <v>861</v>
      </c>
      <c r="B57" t="s">
        <v>903</v>
      </c>
      <c r="C57" t="s">
        <v>866</v>
      </c>
      <c r="D57" t="s">
        <v>902</v>
      </c>
      <c r="E57" t="s">
        <v>866</v>
      </c>
      <c r="F57" t="s">
        <v>867</v>
      </c>
      <c r="G57" t="s">
        <v>148</v>
      </c>
      <c r="H57" t="s">
        <v>148</v>
      </c>
      <c r="I57" t="s">
        <v>149</v>
      </c>
      <c r="J57" t="s">
        <v>19</v>
      </c>
      <c r="K57" t="s">
        <v>601</v>
      </c>
      <c r="L57" t="s">
        <v>118</v>
      </c>
      <c r="M57" t="s">
        <v>22</v>
      </c>
      <c r="O57" s="1" t="str">
        <f t="shared" si="64"/>
        <v xml:space="preserve">  </v>
      </c>
      <c r="P57" s="1" t="str">
        <f t="shared" si="38"/>
        <v xml:space="preserve">   </v>
      </c>
      <c r="Q57" s="1" t="str">
        <f t="shared" si="39"/>
        <v xml:space="preserve">                      </v>
      </c>
      <c r="R57" s="1" t="str">
        <f t="shared" si="40"/>
        <v xml:space="preserve">       </v>
      </c>
      <c r="S57" s="1" t="str">
        <f t="shared" si="41"/>
        <v xml:space="preserve">         </v>
      </c>
      <c r="T57" s="1" t="str">
        <f t="shared" si="42"/>
        <v xml:space="preserve">  </v>
      </c>
      <c r="U57" s="1" t="str">
        <f t="shared" si="43"/>
        <v xml:space="preserve">  </v>
      </c>
      <c r="V57" s="1" t="str">
        <f t="shared" si="44"/>
        <v xml:space="preserve">  </v>
      </c>
      <c r="W57" s="1" t="str">
        <f t="shared" si="45"/>
        <v xml:space="preserve">  </v>
      </c>
      <c r="X57" s="1" t="str">
        <f t="shared" si="46"/>
        <v xml:space="preserve">  </v>
      </c>
      <c r="Y57" s="1" t="str">
        <f t="shared" si="47"/>
        <v xml:space="preserve">  </v>
      </c>
      <c r="Z57" s="1" t="str">
        <f t="shared" si="48"/>
        <v xml:space="preserve">  </v>
      </c>
      <c r="AA57" s="1" t="str">
        <f t="shared" si="49"/>
        <v xml:space="preserve">  </v>
      </c>
      <c r="AC57" s="1" t="str">
        <f t="shared" si="50"/>
        <v xml:space="preserve">"Data": "hs32"  </v>
      </c>
      <c r="AD57" s="1" t="str">
        <f t="shared" si="51"/>
        <v xml:space="preserve">"ID": "BSPA.MALA4.P5N1"   </v>
      </c>
      <c r="AE57" s="1" t="str">
        <f t="shared" si="52"/>
        <v xml:space="preserve">"Name": "Interest only"                      </v>
      </c>
      <c r="AF57" s="1" t="str">
        <f t="shared" si="53"/>
        <v xml:space="preserve">"Class_1": "Financial institutions loans"       </v>
      </c>
      <c r="AG57" s="1" t="str">
        <f t="shared" si="54"/>
        <v xml:space="preserve">"Class_2": "Interest only"         </v>
      </c>
      <c r="AH57" s="1" t="str">
        <f t="shared" si="55"/>
        <v xml:space="preserve">"Class_3": "Type"  </v>
      </c>
      <c r="AI57" s="1" t="str">
        <f t="shared" si="56"/>
        <v xml:space="preserve">"Unit": "NZDm"  </v>
      </c>
      <c r="AJ57" s="1" t="str">
        <f t="shared" si="57"/>
        <v xml:space="preserve">"Dim": "NZDm"  </v>
      </c>
      <c r="AK57" s="1" t="str">
        <f t="shared" si="58"/>
        <v xml:space="preserve">"Tick": ",d"  </v>
      </c>
      <c r="AL57" s="1" t="str">
        <f t="shared" si="59"/>
        <v xml:space="preserve">"Palette": "qual"  </v>
      </c>
      <c r="AM57" s="1" t="str">
        <f t="shared" si="60"/>
        <v xml:space="preserve">"ColourKey": "teal_dark"  </v>
      </c>
      <c r="AN57" s="1" t="str">
        <f t="shared" si="61"/>
        <v xml:space="preserve">"Style": "Fill"  </v>
      </c>
      <c r="AO57" s="1" t="str">
        <f t="shared" si="62"/>
        <v xml:space="preserve">"Prefix": "NA"  </v>
      </c>
      <c r="AQ57" s="1" t="str">
        <f t="shared" si="63"/>
        <v>{ "Data": "hs32"  , "ID": "BSPA.MALA4.P5N1"   , "Name": "Interest only"                      , "Class_1": "Financial institutions loans"       , "Class_2": "Interest only"         , "Class_3": "Type"  , "Unit": "NZDm"  , "Dim": "NZDm"  , "Tick": ",d"  , "Palette": "qual"  , "ColourKey": "teal_dark"  , "Style": "Fill"  , "Prefix": "NA"   },</v>
      </c>
    </row>
    <row r="58" spans="1:43" x14ac:dyDescent="0.3">
      <c r="A58" t="s">
        <v>861</v>
      </c>
      <c r="B58" t="s">
        <v>904</v>
      </c>
      <c r="C58" t="s">
        <v>869</v>
      </c>
      <c r="D58" t="s">
        <v>902</v>
      </c>
      <c r="E58" t="s">
        <v>869</v>
      </c>
      <c r="F58" t="s">
        <v>867</v>
      </c>
      <c r="G58" t="s">
        <v>148</v>
      </c>
      <c r="H58" t="s">
        <v>148</v>
      </c>
      <c r="I58" t="s">
        <v>149</v>
      </c>
      <c r="J58" t="s">
        <v>19</v>
      </c>
      <c r="K58" t="s">
        <v>601</v>
      </c>
      <c r="L58" t="s">
        <v>118</v>
      </c>
      <c r="M58" t="s">
        <v>22</v>
      </c>
      <c r="O58" s="1" t="str">
        <f t="shared" si="64"/>
        <v xml:space="preserve">  </v>
      </c>
      <c r="P58" s="1" t="str">
        <f t="shared" si="38"/>
        <v xml:space="preserve">   </v>
      </c>
      <c r="Q58" s="1" t="str">
        <f t="shared" si="39"/>
        <v xml:space="preserve">                   </v>
      </c>
      <c r="R58" s="1" t="str">
        <f t="shared" si="40"/>
        <v xml:space="preserve">       </v>
      </c>
      <c r="S58" s="1" t="str">
        <f t="shared" si="41"/>
        <v xml:space="preserve">      </v>
      </c>
      <c r="T58" s="1" t="str">
        <f t="shared" si="42"/>
        <v xml:space="preserve">  </v>
      </c>
      <c r="U58" s="1" t="str">
        <f t="shared" si="43"/>
        <v xml:space="preserve">  </v>
      </c>
      <c r="V58" s="1" t="str">
        <f t="shared" si="44"/>
        <v xml:space="preserve">  </v>
      </c>
      <c r="W58" s="1" t="str">
        <f t="shared" si="45"/>
        <v xml:space="preserve">  </v>
      </c>
      <c r="X58" s="1" t="str">
        <f t="shared" si="46"/>
        <v xml:space="preserve">  </v>
      </c>
      <c r="Y58" s="1" t="str">
        <f t="shared" si="47"/>
        <v xml:space="preserve">  </v>
      </c>
      <c r="Z58" s="1" t="str">
        <f t="shared" si="48"/>
        <v xml:space="preserve">  </v>
      </c>
      <c r="AA58" s="1" t="str">
        <f t="shared" si="49"/>
        <v xml:space="preserve">  </v>
      </c>
      <c r="AC58" s="1" t="str">
        <f t="shared" si="50"/>
        <v xml:space="preserve">"Data": "hs32"  </v>
      </c>
      <c r="AD58" s="1" t="str">
        <f t="shared" si="51"/>
        <v xml:space="preserve">"ID": "BSPA.MALA4.P5N2"   </v>
      </c>
      <c r="AE58" s="1" t="str">
        <f t="shared" si="52"/>
        <v xml:space="preserve">"Name": "Revolving credit"                   </v>
      </c>
      <c r="AF58" s="1" t="str">
        <f t="shared" si="53"/>
        <v xml:space="preserve">"Class_1": "Financial institutions loans"       </v>
      </c>
      <c r="AG58" s="1" t="str">
        <f t="shared" si="54"/>
        <v xml:space="preserve">"Class_2": "Revolving credit"      </v>
      </c>
      <c r="AH58" s="1" t="str">
        <f t="shared" si="55"/>
        <v xml:space="preserve">"Class_3": "Type"  </v>
      </c>
      <c r="AI58" s="1" t="str">
        <f t="shared" si="56"/>
        <v xml:space="preserve">"Unit": "NZDm"  </v>
      </c>
      <c r="AJ58" s="1" t="str">
        <f t="shared" si="57"/>
        <v xml:space="preserve">"Dim": "NZDm"  </v>
      </c>
      <c r="AK58" s="1" t="str">
        <f t="shared" si="58"/>
        <v xml:space="preserve">"Tick": ",d"  </v>
      </c>
      <c r="AL58" s="1" t="str">
        <f t="shared" si="59"/>
        <v xml:space="preserve">"Palette": "qual"  </v>
      </c>
      <c r="AM58" s="1" t="str">
        <f t="shared" si="60"/>
        <v xml:space="preserve">"ColourKey": "teal_dark"  </v>
      </c>
      <c r="AN58" s="1" t="str">
        <f t="shared" si="61"/>
        <v xml:space="preserve">"Style": "Fill"  </v>
      </c>
      <c r="AO58" s="1" t="str">
        <f t="shared" si="62"/>
        <v xml:space="preserve">"Prefix": "NA"  </v>
      </c>
      <c r="AQ58" s="1" t="str">
        <f t="shared" si="63"/>
        <v>{ "Data": "hs32"  , "ID": "BSPA.MALA4.P5N2"   , "Name": "Revolving credit"                   , "Class_1": "Financial institutions loans"       , "Class_2": "Revolving credit"      , "Class_3": "Type"  , "Unit": "NZDm"  , "Dim": "NZDm"  , "Tick": ",d"  , "Palette": "qual"  , "ColourKey": "teal_dark"  , "Style": "Fill"  , "Prefix": "NA"   },</v>
      </c>
    </row>
    <row r="59" spans="1:43" x14ac:dyDescent="0.3">
      <c r="A59" t="s">
        <v>861</v>
      </c>
      <c r="B59" t="s">
        <v>905</v>
      </c>
      <c r="C59" t="s">
        <v>871</v>
      </c>
      <c r="D59" t="s">
        <v>902</v>
      </c>
      <c r="E59" t="s">
        <v>871</v>
      </c>
      <c r="F59" t="s">
        <v>867</v>
      </c>
      <c r="G59" t="s">
        <v>148</v>
      </c>
      <c r="H59" t="s">
        <v>148</v>
      </c>
      <c r="I59" t="s">
        <v>149</v>
      </c>
      <c r="J59" t="s">
        <v>19</v>
      </c>
      <c r="K59" t="s">
        <v>601</v>
      </c>
      <c r="L59" t="s">
        <v>118</v>
      </c>
      <c r="M59" t="s">
        <v>22</v>
      </c>
      <c r="O59" s="1" t="str">
        <f t="shared" si="64"/>
        <v xml:space="preserve">  </v>
      </c>
      <c r="P59" s="1" t="str">
        <f t="shared" si="38"/>
        <v xml:space="preserve">   </v>
      </c>
      <c r="Q59" s="1" t="str">
        <f t="shared" si="39"/>
        <v xml:space="preserve">               </v>
      </c>
      <c r="R59" s="1" t="str">
        <f t="shared" si="40"/>
        <v xml:space="preserve">       </v>
      </c>
      <c r="S59" s="1" t="str">
        <f t="shared" si="41"/>
        <v xml:space="preserve">  </v>
      </c>
      <c r="T59" s="1" t="str">
        <f t="shared" si="42"/>
        <v xml:space="preserve">  </v>
      </c>
      <c r="U59" s="1" t="str">
        <f t="shared" si="43"/>
        <v xml:space="preserve">  </v>
      </c>
      <c r="V59" s="1" t="str">
        <f t="shared" si="44"/>
        <v xml:space="preserve">  </v>
      </c>
      <c r="W59" s="1" t="str">
        <f t="shared" si="45"/>
        <v xml:space="preserve">  </v>
      </c>
      <c r="X59" s="1" t="str">
        <f t="shared" si="46"/>
        <v xml:space="preserve">  </v>
      </c>
      <c r="Y59" s="1" t="str">
        <f t="shared" si="47"/>
        <v xml:space="preserve">  </v>
      </c>
      <c r="Z59" s="1" t="str">
        <f t="shared" si="48"/>
        <v xml:space="preserve">  </v>
      </c>
      <c r="AA59" s="1" t="str">
        <f t="shared" si="49"/>
        <v xml:space="preserve">  </v>
      </c>
      <c r="AC59" s="1" t="str">
        <f t="shared" si="50"/>
        <v xml:space="preserve">"Data": "hs32"  </v>
      </c>
      <c r="AD59" s="1" t="str">
        <f t="shared" si="51"/>
        <v xml:space="preserve">"ID": "BSPA.MALA4.P5N3"   </v>
      </c>
      <c r="AE59" s="1" t="str">
        <f t="shared" si="52"/>
        <v xml:space="preserve">"Name": "Principal &amp; interest"               </v>
      </c>
      <c r="AF59" s="1" t="str">
        <f t="shared" si="53"/>
        <v xml:space="preserve">"Class_1": "Financial institutions loans"       </v>
      </c>
      <c r="AG59" s="1" t="str">
        <f t="shared" si="54"/>
        <v xml:space="preserve">"Class_2": "Principal &amp; interest"  </v>
      </c>
      <c r="AH59" s="1" t="str">
        <f t="shared" si="55"/>
        <v xml:space="preserve">"Class_3": "Type"  </v>
      </c>
      <c r="AI59" s="1" t="str">
        <f t="shared" si="56"/>
        <v xml:space="preserve">"Unit": "NZDm"  </v>
      </c>
      <c r="AJ59" s="1" t="str">
        <f t="shared" si="57"/>
        <v xml:space="preserve">"Dim": "NZDm"  </v>
      </c>
      <c r="AK59" s="1" t="str">
        <f t="shared" si="58"/>
        <v xml:space="preserve">"Tick": ",d"  </v>
      </c>
      <c r="AL59" s="1" t="str">
        <f t="shared" si="59"/>
        <v xml:space="preserve">"Palette": "qual"  </v>
      </c>
      <c r="AM59" s="1" t="str">
        <f t="shared" si="60"/>
        <v xml:space="preserve">"ColourKey": "teal_dark"  </v>
      </c>
      <c r="AN59" s="1" t="str">
        <f t="shared" si="61"/>
        <v xml:space="preserve">"Style": "Fill"  </v>
      </c>
      <c r="AO59" s="1" t="str">
        <f t="shared" si="62"/>
        <v xml:space="preserve">"Prefix": "NA"  </v>
      </c>
      <c r="AQ59" s="1" t="str">
        <f t="shared" si="63"/>
        <v>{ "Data": "hs32"  , "ID": "BSPA.MALA4.P5N3"   , "Name": "Principal &amp; interest"               , "Class_1": "Financial institutions loans"       , "Class_2": "Principal &amp; interest"  , "Class_3": "Type"  , "Unit": "NZDm"  , "Dim": "NZDm"  , "Tick": ",d"  , "Palette": "qual"  , "ColourKey": "teal_dark"  , "Style": "Fill"  , "Prefix": "NA"   },</v>
      </c>
    </row>
    <row r="60" spans="1:43" x14ac:dyDescent="0.3">
      <c r="A60" t="s">
        <v>861</v>
      </c>
      <c r="B60" t="s">
        <v>906</v>
      </c>
      <c r="C60" t="s">
        <v>873</v>
      </c>
      <c r="D60" t="s">
        <v>902</v>
      </c>
      <c r="E60" t="s">
        <v>873</v>
      </c>
      <c r="F60" t="s">
        <v>867</v>
      </c>
      <c r="G60" t="s">
        <v>148</v>
      </c>
      <c r="H60" t="s">
        <v>148</v>
      </c>
      <c r="I60" t="s">
        <v>149</v>
      </c>
      <c r="J60" t="s">
        <v>19</v>
      </c>
      <c r="K60" t="s">
        <v>601</v>
      </c>
      <c r="L60" t="s">
        <v>118</v>
      </c>
      <c r="M60" t="s">
        <v>22</v>
      </c>
      <c r="O60" s="1" t="str">
        <f t="shared" si="64"/>
        <v xml:space="preserve">  </v>
      </c>
      <c r="P60" s="1" t="str">
        <f t="shared" si="38"/>
        <v xml:space="preserve">   </v>
      </c>
      <c r="Q60" s="1" t="str">
        <f t="shared" si="39"/>
        <v xml:space="preserve">                              </v>
      </c>
      <c r="R60" s="1" t="str">
        <f t="shared" si="40"/>
        <v xml:space="preserve">       </v>
      </c>
      <c r="S60" s="1" t="str">
        <f t="shared" si="41"/>
        <v xml:space="preserve">                 </v>
      </c>
      <c r="T60" s="1" t="str">
        <f t="shared" si="42"/>
        <v xml:space="preserve">  </v>
      </c>
      <c r="U60" s="1" t="str">
        <f t="shared" si="43"/>
        <v xml:space="preserve">  </v>
      </c>
      <c r="V60" s="1" t="str">
        <f t="shared" si="44"/>
        <v xml:space="preserve">  </v>
      </c>
      <c r="W60" s="1" t="str">
        <f t="shared" si="45"/>
        <v xml:space="preserve">  </v>
      </c>
      <c r="X60" s="1" t="str">
        <f t="shared" si="46"/>
        <v xml:space="preserve">  </v>
      </c>
      <c r="Y60" s="1" t="str">
        <f t="shared" si="47"/>
        <v xml:space="preserve">  </v>
      </c>
      <c r="Z60" s="1" t="str">
        <f t="shared" si="48"/>
        <v xml:space="preserve">  </v>
      </c>
      <c r="AA60" s="1" t="str">
        <f t="shared" si="49"/>
        <v xml:space="preserve">  </v>
      </c>
      <c r="AC60" s="1" t="str">
        <f t="shared" si="50"/>
        <v xml:space="preserve">"Data": "hs32"  </v>
      </c>
      <c r="AD60" s="1" t="str">
        <f t="shared" si="51"/>
        <v xml:space="preserve">"ID": "BSPA.MALA4.P5N6"   </v>
      </c>
      <c r="AE60" s="1" t="str">
        <f t="shared" si="52"/>
        <v xml:space="preserve">"Name": "Other"                              </v>
      </c>
      <c r="AF60" s="1" t="str">
        <f t="shared" si="53"/>
        <v xml:space="preserve">"Class_1": "Financial institutions loans"       </v>
      </c>
      <c r="AG60" s="1" t="str">
        <f t="shared" si="54"/>
        <v xml:space="preserve">"Class_2": "Other"                 </v>
      </c>
      <c r="AH60" s="1" t="str">
        <f t="shared" si="55"/>
        <v xml:space="preserve">"Class_3": "Type"  </v>
      </c>
      <c r="AI60" s="1" t="str">
        <f t="shared" si="56"/>
        <v xml:space="preserve">"Unit": "NZDm"  </v>
      </c>
      <c r="AJ60" s="1" t="str">
        <f t="shared" si="57"/>
        <v xml:space="preserve">"Dim": "NZDm"  </v>
      </c>
      <c r="AK60" s="1" t="str">
        <f t="shared" si="58"/>
        <v xml:space="preserve">"Tick": ",d"  </v>
      </c>
      <c r="AL60" s="1" t="str">
        <f t="shared" si="59"/>
        <v xml:space="preserve">"Palette": "qual"  </v>
      </c>
      <c r="AM60" s="1" t="str">
        <f t="shared" si="60"/>
        <v xml:space="preserve">"ColourKey": "teal_dark"  </v>
      </c>
      <c r="AN60" s="1" t="str">
        <f t="shared" si="61"/>
        <v xml:space="preserve">"Style": "Fill"  </v>
      </c>
      <c r="AO60" s="1" t="str">
        <f t="shared" si="62"/>
        <v xml:space="preserve">"Prefix": "NA"  </v>
      </c>
      <c r="AQ60" s="1" t="str">
        <f t="shared" si="63"/>
        <v>{ "Data": "hs32"  , "ID": "BSPA.MALA4.P5N6"   , "Name": "Other"                              , "Class_1": "Financial institutions loans"       , "Class_2": "Other"                 , "Class_3": "Type"  , "Unit": "NZDm"  , "Dim": "NZDm"  , "Tick": ",d"  , "Palette": "qual"  , "ColourKey": "teal_dark"  , "Style": "Fill"  , "Prefix": "NA"   },</v>
      </c>
    </row>
    <row r="61" spans="1:43" x14ac:dyDescent="0.3">
      <c r="A61" t="s">
        <v>861</v>
      </c>
      <c r="B61" t="s">
        <v>907</v>
      </c>
      <c r="C61" t="s">
        <v>908</v>
      </c>
      <c r="D61" t="s">
        <v>908</v>
      </c>
      <c r="E61" t="s">
        <v>147</v>
      </c>
      <c r="F61" t="s">
        <v>864</v>
      </c>
      <c r="G61" t="s">
        <v>148</v>
      </c>
      <c r="H61" t="s">
        <v>148</v>
      </c>
      <c r="I61" t="s">
        <v>149</v>
      </c>
      <c r="J61" t="s">
        <v>19</v>
      </c>
      <c r="K61" t="s">
        <v>601</v>
      </c>
      <c r="L61" t="s">
        <v>118</v>
      </c>
      <c r="M61" t="s">
        <v>22</v>
      </c>
      <c r="O61" s="1" t="str">
        <f t="shared" si="64"/>
        <v xml:space="preserve">  </v>
      </c>
      <c r="P61" s="1" t="str">
        <f t="shared" si="38"/>
        <v xml:space="preserve">     </v>
      </c>
      <c r="Q61" s="1" t="str">
        <f t="shared" si="39"/>
        <v xml:space="preserve">                        </v>
      </c>
      <c r="R61" s="1" t="str">
        <f t="shared" si="40"/>
        <v xml:space="preserve">                        </v>
      </c>
      <c r="S61" s="1" t="str">
        <f t="shared" si="41"/>
        <v xml:space="preserve">                 </v>
      </c>
      <c r="T61" s="1" t="str">
        <f t="shared" si="42"/>
        <v xml:space="preserve">   </v>
      </c>
      <c r="U61" s="1" t="str">
        <f t="shared" si="43"/>
        <v xml:space="preserve">  </v>
      </c>
      <c r="V61" s="1" t="str">
        <f t="shared" si="44"/>
        <v xml:space="preserve">  </v>
      </c>
      <c r="W61" s="1" t="str">
        <f t="shared" si="45"/>
        <v xml:space="preserve">  </v>
      </c>
      <c r="X61" s="1" t="str">
        <f t="shared" si="46"/>
        <v xml:space="preserve">  </v>
      </c>
      <c r="Y61" s="1" t="str">
        <f t="shared" si="47"/>
        <v xml:space="preserve">  </v>
      </c>
      <c r="Z61" s="1" t="str">
        <f t="shared" si="48"/>
        <v xml:space="preserve">  </v>
      </c>
      <c r="AA61" s="1" t="str">
        <f t="shared" si="49"/>
        <v xml:space="preserve">  </v>
      </c>
      <c r="AC61" s="1" t="str">
        <f t="shared" si="50"/>
        <v xml:space="preserve">"Data": "hs32"  </v>
      </c>
      <c r="AD61" s="1" t="str">
        <f t="shared" si="51"/>
        <v xml:space="preserve">"ID": "BSPA.MALA4.P9"     </v>
      </c>
      <c r="AE61" s="1" t="str">
        <f t="shared" si="52"/>
        <v xml:space="preserve">"Name": "Other loans"                        </v>
      </c>
      <c r="AF61" s="1" t="str">
        <f t="shared" si="53"/>
        <v xml:space="preserve">"Class_1": "Other loans"                        </v>
      </c>
      <c r="AG61" s="1" t="str">
        <f t="shared" si="54"/>
        <v xml:space="preserve">"Class_2": "Total"                 </v>
      </c>
      <c r="AH61" s="1" t="str">
        <f t="shared" si="55"/>
        <v xml:space="preserve">"Class_3": "Use"   </v>
      </c>
      <c r="AI61" s="1" t="str">
        <f t="shared" si="56"/>
        <v xml:space="preserve">"Unit": "NZDm"  </v>
      </c>
      <c r="AJ61" s="1" t="str">
        <f t="shared" si="57"/>
        <v xml:space="preserve">"Dim": "NZDm"  </v>
      </c>
      <c r="AK61" s="1" t="str">
        <f t="shared" si="58"/>
        <v xml:space="preserve">"Tick": ",d"  </v>
      </c>
      <c r="AL61" s="1" t="str">
        <f t="shared" si="59"/>
        <v xml:space="preserve">"Palette": "qual"  </v>
      </c>
      <c r="AM61" s="1" t="str">
        <f t="shared" si="60"/>
        <v xml:space="preserve">"ColourKey": "teal_dark"  </v>
      </c>
      <c r="AN61" s="1" t="str">
        <f t="shared" si="61"/>
        <v xml:space="preserve">"Style": "Fill"  </v>
      </c>
      <c r="AO61" s="1" t="str">
        <f t="shared" si="62"/>
        <v xml:space="preserve">"Prefix": "NA"  </v>
      </c>
      <c r="AQ61" s="1" t="str">
        <f t="shared" si="63"/>
        <v>{ "Data": "hs32"  , "ID": "BSPA.MALA4.P9"     , "Name": "Other loans"                        , "Class_1": "Other loans"                        , "Class_2": "Total"                 , "Class_3": "Use"   , "Unit": "NZDm"  , "Dim": "NZDm"  , "Tick": ",d"  , "Palette": "qual"  , "ColourKey": "teal_dark"  , "Style": "Fill"  , "Prefix": "NA"   },</v>
      </c>
    </row>
    <row r="62" spans="1:43" x14ac:dyDescent="0.3">
      <c r="A62" t="s">
        <v>861</v>
      </c>
      <c r="B62" t="s">
        <v>909</v>
      </c>
      <c r="C62" t="s">
        <v>866</v>
      </c>
      <c r="D62" t="s">
        <v>908</v>
      </c>
      <c r="E62" t="s">
        <v>866</v>
      </c>
      <c r="F62" t="s">
        <v>867</v>
      </c>
      <c r="G62" t="s">
        <v>148</v>
      </c>
      <c r="H62" t="s">
        <v>148</v>
      </c>
      <c r="I62" t="s">
        <v>149</v>
      </c>
      <c r="J62" t="s">
        <v>19</v>
      </c>
      <c r="K62" t="s">
        <v>601</v>
      </c>
      <c r="L62" t="s">
        <v>118</v>
      </c>
      <c r="M62" t="s">
        <v>22</v>
      </c>
      <c r="O62" s="1" t="str">
        <f t="shared" si="64"/>
        <v xml:space="preserve">  </v>
      </c>
      <c r="P62" s="1" t="str">
        <f t="shared" si="38"/>
        <v xml:space="preserve">   </v>
      </c>
      <c r="Q62" s="1" t="str">
        <f t="shared" si="39"/>
        <v xml:space="preserve">                      </v>
      </c>
      <c r="R62" s="1" t="str">
        <f t="shared" si="40"/>
        <v xml:space="preserve">                        </v>
      </c>
      <c r="S62" s="1" t="str">
        <f t="shared" si="41"/>
        <v xml:space="preserve">         </v>
      </c>
      <c r="T62" s="1" t="str">
        <f t="shared" si="42"/>
        <v xml:space="preserve">  </v>
      </c>
      <c r="U62" s="1" t="str">
        <f t="shared" si="43"/>
        <v xml:space="preserve">  </v>
      </c>
      <c r="V62" s="1" t="str">
        <f t="shared" si="44"/>
        <v xml:space="preserve">  </v>
      </c>
      <c r="W62" s="1" t="str">
        <f t="shared" si="45"/>
        <v xml:space="preserve">  </v>
      </c>
      <c r="X62" s="1" t="str">
        <f t="shared" si="46"/>
        <v xml:space="preserve">  </v>
      </c>
      <c r="Y62" s="1" t="str">
        <f t="shared" si="47"/>
        <v xml:space="preserve">  </v>
      </c>
      <c r="Z62" s="1" t="str">
        <f t="shared" si="48"/>
        <v xml:space="preserve">  </v>
      </c>
      <c r="AA62" s="1" t="str">
        <f t="shared" si="49"/>
        <v xml:space="preserve">  </v>
      </c>
      <c r="AC62" s="1" t="str">
        <f t="shared" si="50"/>
        <v xml:space="preserve">"Data": "hs32"  </v>
      </c>
      <c r="AD62" s="1" t="str">
        <f t="shared" si="51"/>
        <v xml:space="preserve">"ID": "BSPA.MALA4.P9N1"   </v>
      </c>
      <c r="AE62" s="1" t="str">
        <f t="shared" si="52"/>
        <v xml:space="preserve">"Name": "Interest only"                      </v>
      </c>
      <c r="AF62" s="1" t="str">
        <f t="shared" si="53"/>
        <v xml:space="preserve">"Class_1": "Other loans"                        </v>
      </c>
      <c r="AG62" s="1" t="str">
        <f t="shared" si="54"/>
        <v xml:space="preserve">"Class_2": "Interest only"         </v>
      </c>
      <c r="AH62" s="1" t="str">
        <f t="shared" si="55"/>
        <v xml:space="preserve">"Class_3": "Type"  </v>
      </c>
      <c r="AI62" s="1" t="str">
        <f t="shared" si="56"/>
        <v xml:space="preserve">"Unit": "NZDm"  </v>
      </c>
      <c r="AJ62" s="1" t="str">
        <f t="shared" si="57"/>
        <v xml:space="preserve">"Dim": "NZDm"  </v>
      </c>
      <c r="AK62" s="1" t="str">
        <f t="shared" si="58"/>
        <v xml:space="preserve">"Tick": ",d"  </v>
      </c>
      <c r="AL62" s="1" t="str">
        <f t="shared" si="59"/>
        <v xml:space="preserve">"Palette": "qual"  </v>
      </c>
      <c r="AM62" s="1" t="str">
        <f t="shared" si="60"/>
        <v xml:space="preserve">"ColourKey": "teal_dark"  </v>
      </c>
      <c r="AN62" s="1" t="str">
        <f t="shared" si="61"/>
        <v xml:space="preserve">"Style": "Fill"  </v>
      </c>
      <c r="AO62" s="1" t="str">
        <f t="shared" si="62"/>
        <v xml:space="preserve">"Prefix": "NA"  </v>
      </c>
      <c r="AQ62" s="1" t="str">
        <f t="shared" si="63"/>
        <v>{ "Data": "hs32"  , "ID": "BSPA.MALA4.P9N1"   , "Name": "Interest only"                      , "Class_1": "Other loans"                        , "Class_2": "Interest only"         , "Class_3": "Type"  , "Unit": "NZDm"  , "Dim": "NZDm"  , "Tick": ",d"  , "Palette": "qual"  , "ColourKey": "teal_dark"  , "Style": "Fill"  , "Prefix": "NA"   },</v>
      </c>
    </row>
    <row r="63" spans="1:43" x14ac:dyDescent="0.3">
      <c r="A63" t="s">
        <v>861</v>
      </c>
      <c r="B63" t="s">
        <v>910</v>
      </c>
      <c r="C63" t="s">
        <v>869</v>
      </c>
      <c r="D63" t="s">
        <v>908</v>
      </c>
      <c r="E63" t="s">
        <v>869</v>
      </c>
      <c r="F63" t="s">
        <v>867</v>
      </c>
      <c r="G63" t="s">
        <v>148</v>
      </c>
      <c r="H63" t="s">
        <v>148</v>
      </c>
      <c r="I63" t="s">
        <v>149</v>
      </c>
      <c r="J63" t="s">
        <v>19</v>
      </c>
      <c r="K63" t="s">
        <v>601</v>
      </c>
      <c r="L63" t="s">
        <v>118</v>
      </c>
      <c r="M63" t="s">
        <v>22</v>
      </c>
      <c r="O63" s="1" t="str">
        <f t="shared" si="64"/>
        <v xml:space="preserve">  </v>
      </c>
      <c r="P63" s="1" t="str">
        <f t="shared" si="38"/>
        <v xml:space="preserve">   </v>
      </c>
      <c r="Q63" s="1" t="str">
        <f t="shared" si="39"/>
        <v xml:space="preserve">                   </v>
      </c>
      <c r="R63" s="1" t="str">
        <f t="shared" si="40"/>
        <v xml:space="preserve">                        </v>
      </c>
      <c r="S63" s="1" t="str">
        <f t="shared" si="41"/>
        <v xml:space="preserve">      </v>
      </c>
      <c r="T63" s="1" t="str">
        <f t="shared" si="42"/>
        <v xml:space="preserve">  </v>
      </c>
      <c r="U63" s="1" t="str">
        <f t="shared" si="43"/>
        <v xml:space="preserve">  </v>
      </c>
      <c r="V63" s="1" t="str">
        <f t="shared" si="44"/>
        <v xml:space="preserve">  </v>
      </c>
      <c r="W63" s="1" t="str">
        <f t="shared" si="45"/>
        <v xml:space="preserve">  </v>
      </c>
      <c r="X63" s="1" t="str">
        <f t="shared" si="46"/>
        <v xml:space="preserve">  </v>
      </c>
      <c r="Y63" s="1" t="str">
        <f t="shared" si="47"/>
        <v xml:space="preserve">  </v>
      </c>
      <c r="Z63" s="1" t="str">
        <f t="shared" si="48"/>
        <v xml:space="preserve">  </v>
      </c>
      <c r="AA63" s="1" t="str">
        <f t="shared" si="49"/>
        <v xml:space="preserve">  </v>
      </c>
      <c r="AC63" s="1" t="str">
        <f t="shared" si="50"/>
        <v xml:space="preserve">"Data": "hs32"  </v>
      </c>
      <c r="AD63" s="1" t="str">
        <f t="shared" si="51"/>
        <v xml:space="preserve">"ID": "BSPA.MALA4.P9N2"   </v>
      </c>
      <c r="AE63" s="1" t="str">
        <f t="shared" si="52"/>
        <v xml:space="preserve">"Name": "Revolving credit"                   </v>
      </c>
      <c r="AF63" s="1" t="str">
        <f t="shared" si="53"/>
        <v xml:space="preserve">"Class_1": "Other loans"                        </v>
      </c>
      <c r="AG63" s="1" t="str">
        <f t="shared" si="54"/>
        <v xml:space="preserve">"Class_2": "Revolving credit"      </v>
      </c>
      <c r="AH63" s="1" t="str">
        <f t="shared" si="55"/>
        <v xml:space="preserve">"Class_3": "Type"  </v>
      </c>
      <c r="AI63" s="1" t="str">
        <f t="shared" si="56"/>
        <v xml:space="preserve">"Unit": "NZDm"  </v>
      </c>
      <c r="AJ63" s="1" t="str">
        <f t="shared" si="57"/>
        <v xml:space="preserve">"Dim": "NZDm"  </v>
      </c>
      <c r="AK63" s="1" t="str">
        <f t="shared" si="58"/>
        <v xml:space="preserve">"Tick": ",d"  </v>
      </c>
      <c r="AL63" s="1" t="str">
        <f t="shared" si="59"/>
        <v xml:space="preserve">"Palette": "qual"  </v>
      </c>
      <c r="AM63" s="1" t="str">
        <f t="shared" si="60"/>
        <v xml:space="preserve">"ColourKey": "teal_dark"  </v>
      </c>
      <c r="AN63" s="1" t="str">
        <f t="shared" si="61"/>
        <v xml:space="preserve">"Style": "Fill"  </v>
      </c>
      <c r="AO63" s="1" t="str">
        <f t="shared" si="62"/>
        <v xml:space="preserve">"Prefix": "NA"  </v>
      </c>
      <c r="AQ63" s="1" t="str">
        <f t="shared" si="63"/>
        <v>{ "Data": "hs32"  , "ID": "BSPA.MALA4.P9N2"   , "Name": "Revolving credit"                   , "Class_1": "Other loans"                        , "Class_2": "Revolving credit"      , "Class_3": "Type"  , "Unit": "NZDm"  , "Dim": "NZDm"  , "Tick": ",d"  , "Palette": "qual"  , "ColourKey": "teal_dark"  , "Style": "Fill"  , "Prefix": "NA"   },</v>
      </c>
    </row>
    <row r="64" spans="1:43" x14ac:dyDescent="0.3">
      <c r="A64" t="s">
        <v>861</v>
      </c>
      <c r="B64" t="s">
        <v>911</v>
      </c>
      <c r="C64" t="s">
        <v>871</v>
      </c>
      <c r="D64" t="s">
        <v>908</v>
      </c>
      <c r="E64" t="s">
        <v>871</v>
      </c>
      <c r="F64" t="s">
        <v>867</v>
      </c>
      <c r="G64" t="s">
        <v>148</v>
      </c>
      <c r="H64" t="s">
        <v>148</v>
      </c>
      <c r="I64" t="s">
        <v>149</v>
      </c>
      <c r="J64" t="s">
        <v>19</v>
      </c>
      <c r="K64" t="s">
        <v>601</v>
      </c>
      <c r="L64" t="s">
        <v>118</v>
      </c>
      <c r="M64" t="s">
        <v>22</v>
      </c>
      <c r="O64" s="1" t="str">
        <f t="shared" si="64"/>
        <v xml:space="preserve">  </v>
      </c>
      <c r="P64" s="1" t="str">
        <f t="shared" si="38"/>
        <v xml:space="preserve">   </v>
      </c>
      <c r="Q64" s="1" t="str">
        <f t="shared" si="39"/>
        <v xml:space="preserve">               </v>
      </c>
      <c r="R64" s="1" t="str">
        <f t="shared" si="40"/>
        <v xml:space="preserve">                        </v>
      </c>
      <c r="S64" s="1" t="str">
        <f t="shared" si="41"/>
        <v xml:space="preserve">  </v>
      </c>
      <c r="T64" s="1" t="str">
        <f t="shared" si="42"/>
        <v xml:space="preserve">  </v>
      </c>
      <c r="U64" s="1" t="str">
        <f t="shared" si="43"/>
        <v xml:space="preserve">  </v>
      </c>
      <c r="V64" s="1" t="str">
        <f t="shared" si="44"/>
        <v xml:space="preserve">  </v>
      </c>
      <c r="W64" s="1" t="str">
        <f t="shared" si="45"/>
        <v xml:space="preserve">  </v>
      </c>
      <c r="X64" s="1" t="str">
        <f t="shared" si="46"/>
        <v xml:space="preserve">  </v>
      </c>
      <c r="Y64" s="1" t="str">
        <f t="shared" si="47"/>
        <v xml:space="preserve">  </v>
      </c>
      <c r="Z64" s="1" t="str">
        <f t="shared" si="48"/>
        <v xml:space="preserve">  </v>
      </c>
      <c r="AA64" s="1" t="str">
        <f t="shared" si="49"/>
        <v xml:space="preserve">  </v>
      </c>
      <c r="AC64" s="1" t="str">
        <f t="shared" si="50"/>
        <v xml:space="preserve">"Data": "hs32"  </v>
      </c>
      <c r="AD64" s="1" t="str">
        <f t="shared" si="51"/>
        <v xml:space="preserve">"ID": "BSPA.MALA4.P9N3"   </v>
      </c>
      <c r="AE64" s="1" t="str">
        <f t="shared" si="52"/>
        <v xml:space="preserve">"Name": "Principal &amp; interest"               </v>
      </c>
      <c r="AF64" s="1" t="str">
        <f t="shared" si="53"/>
        <v xml:space="preserve">"Class_1": "Other loans"                        </v>
      </c>
      <c r="AG64" s="1" t="str">
        <f t="shared" si="54"/>
        <v xml:space="preserve">"Class_2": "Principal &amp; interest"  </v>
      </c>
      <c r="AH64" s="1" t="str">
        <f t="shared" si="55"/>
        <v xml:space="preserve">"Class_3": "Type"  </v>
      </c>
      <c r="AI64" s="1" t="str">
        <f t="shared" si="56"/>
        <v xml:space="preserve">"Unit": "NZDm"  </v>
      </c>
      <c r="AJ64" s="1" t="str">
        <f t="shared" si="57"/>
        <v xml:space="preserve">"Dim": "NZDm"  </v>
      </c>
      <c r="AK64" s="1" t="str">
        <f t="shared" si="58"/>
        <v xml:space="preserve">"Tick": ",d"  </v>
      </c>
      <c r="AL64" s="1" t="str">
        <f t="shared" si="59"/>
        <v xml:space="preserve">"Palette": "qual"  </v>
      </c>
      <c r="AM64" s="1" t="str">
        <f t="shared" si="60"/>
        <v xml:space="preserve">"ColourKey": "teal_dark"  </v>
      </c>
      <c r="AN64" s="1" t="str">
        <f t="shared" si="61"/>
        <v xml:space="preserve">"Style": "Fill"  </v>
      </c>
      <c r="AO64" s="1" t="str">
        <f t="shared" si="62"/>
        <v xml:space="preserve">"Prefix": "NA"  </v>
      </c>
      <c r="AQ64" s="1" t="str">
        <f t="shared" si="63"/>
        <v>{ "Data": "hs32"  , "ID": "BSPA.MALA4.P9N3"   , "Name": "Principal &amp; interest"               , "Class_1": "Other loans"                        , "Class_2": "Principal &amp; interest"  , "Class_3": "Type"  , "Unit": "NZDm"  , "Dim": "NZDm"  , "Tick": ",d"  , "Palette": "qual"  , "ColourKey": "teal_dark"  , "Style": "Fill"  , "Prefix": "NA"   },</v>
      </c>
    </row>
    <row r="65" spans="1:43" x14ac:dyDescent="0.3">
      <c r="A65" t="s">
        <v>861</v>
      </c>
      <c r="B65" t="s">
        <v>912</v>
      </c>
      <c r="C65" t="s">
        <v>873</v>
      </c>
      <c r="D65" t="s">
        <v>908</v>
      </c>
      <c r="E65" t="s">
        <v>873</v>
      </c>
      <c r="F65" t="s">
        <v>867</v>
      </c>
      <c r="G65" t="s">
        <v>148</v>
      </c>
      <c r="H65" t="s">
        <v>148</v>
      </c>
      <c r="I65" t="s">
        <v>149</v>
      </c>
      <c r="J65" t="s">
        <v>19</v>
      </c>
      <c r="K65" t="s">
        <v>601</v>
      </c>
      <c r="L65" t="s">
        <v>118</v>
      </c>
      <c r="M65" t="s">
        <v>22</v>
      </c>
      <c r="O65" s="1" t="str">
        <f t="shared" si="64"/>
        <v xml:space="preserve">  </v>
      </c>
      <c r="P65" s="1" t="str">
        <f t="shared" si="38"/>
        <v xml:space="preserve">   </v>
      </c>
      <c r="Q65" s="1" t="str">
        <f t="shared" si="39"/>
        <v xml:space="preserve">                              </v>
      </c>
      <c r="R65" s="1" t="str">
        <f t="shared" si="40"/>
        <v xml:space="preserve">                        </v>
      </c>
      <c r="S65" s="1" t="str">
        <f t="shared" si="41"/>
        <v xml:space="preserve">                 </v>
      </c>
      <c r="T65" s="1" t="str">
        <f t="shared" si="42"/>
        <v xml:space="preserve">  </v>
      </c>
      <c r="U65" s="1" t="str">
        <f t="shared" si="43"/>
        <v xml:space="preserve">  </v>
      </c>
      <c r="V65" s="1" t="str">
        <f t="shared" si="44"/>
        <v xml:space="preserve">  </v>
      </c>
      <c r="W65" s="1" t="str">
        <f t="shared" si="45"/>
        <v xml:space="preserve">  </v>
      </c>
      <c r="X65" s="1" t="str">
        <f t="shared" si="46"/>
        <v xml:space="preserve">  </v>
      </c>
      <c r="Y65" s="1" t="str">
        <f t="shared" si="47"/>
        <v xml:space="preserve">  </v>
      </c>
      <c r="Z65" s="1" t="str">
        <f t="shared" si="48"/>
        <v xml:space="preserve">  </v>
      </c>
      <c r="AA65" s="1" t="str">
        <f t="shared" si="49"/>
        <v xml:space="preserve">  </v>
      </c>
      <c r="AC65" s="1" t="str">
        <f t="shared" si="50"/>
        <v xml:space="preserve">"Data": "hs32"  </v>
      </c>
      <c r="AD65" s="1" t="str">
        <f t="shared" si="51"/>
        <v xml:space="preserve">"ID": "BSPA.MALA4.P9N6"   </v>
      </c>
      <c r="AE65" s="1" t="str">
        <f t="shared" si="52"/>
        <v xml:space="preserve">"Name": "Other"                              </v>
      </c>
      <c r="AF65" s="1" t="str">
        <f t="shared" si="53"/>
        <v xml:space="preserve">"Class_1": "Other loans"                        </v>
      </c>
      <c r="AG65" s="1" t="str">
        <f t="shared" si="54"/>
        <v xml:space="preserve">"Class_2": "Other"                 </v>
      </c>
      <c r="AH65" s="1" t="str">
        <f t="shared" si="55"/>
        <v xml:space="preserve">"Class_3": "Type"  </v>
      </c>
      <c r="AI65" s="1" t="str">
        <f t="shared" si="56"/>
        <v xml:space="preserve">"Unit": "NZDm"  </v>
      </c>
      <c r="AJ65" s="1" t="str">
        <f t="shared" si="57"/>
        <v xml:space="preserve">"Dim": "NZDm"  </v>
      </c>
      <c r="AK65" s="1" t="str">
        <f t="shared" si="58"/>
        <v xml:space="preserve">"Tick": ",d"  </v>
      </c>
      <c r="AL65" s="1" t="str">
        <f t="shared" si="59"/>
        <v xml:space="preserve">"Palette": "qual"  </v>
      </c>
      <c r="AM65" s="1" t="str">
        <f t="shared" si="60"/>
        <v xml:space="preserve">"ColourKey": "teal_dark"  </v>
      </c>
      <c r="AN65" s="1" t="str">
        <f t="shared" si="61"/>
        <v xml:space="preserve">"Style": "Fill"  </v>
      </c>
      <c r="AO65" s="1" t="str">
        <f t="shared" si="62"/>
        <v xml:space="preserve">"Prefix": "NA"  </v>
      </c>
      <c r="AQ65" s="1" t="str">
        <f t="shared" si="63"/>
        <v>{ "Data": "hs32"  , "ID": "BSPA.MALA4.P9N6"   , "Name": "Other"                              , "Class_1": "Other loans"                        , "Class_2": "Other"                 , "Class_3": "Type"  , "Unit": "NZDm"  , "Dim": "NZDm"  , "Tick": ",d"  , "Palette": "qual"  , "ColourKey": "teal_dark"  , "Style": "Fill"  , "Prefix": "NA"   },</v>
      </c>
    </row>
    <row r="67" spans="1:43" x14ac:dyDescent="0.3">
      <c r="A67" cm="1">
        <f t="array" ref="A67">MAX(LEN(A31:A65))</f>
        <v>4</v>
      </c>
      <c r="B67" cm="1">
        <f t="array" ref="B67">MAX(LEN(B31:B65))</f>
        <v>16</v>
      </c>
      <c r="C67" cm="1">
        <f t="array" ref="C67">MAX(LEN(C31:C65))</f>
        <v>33</v>
      </c>
      <c r="D67" cm="1">
        <f t="array" ref="D67">MAX(LEN(D31:D65))</f>
        <v>33</v>
      </c>
      <c r="E67" cm="1">
        <f t="array" ref="E67">MAX(LEN(E31:E65))</f>
        <v>20</v>
      </c>
      <c r="F67" cm="1">
        <f t="array" ref="F67">MAX(LEN(F31:F65))</f>
        <v>4</v>
      </c>
      <c r="G67" cm="1">
        <f t="array" ref="G67">MAX(LEN(G31:G65))</f>
        <v>4</v>
      </c>
      <c r="H67" cm="1">
        <f t="array" ref="H67">MAX(LEN(H31:H65))</f>
        <v>4</v>
      </c>
      <c r="I67" cm="1">
        <f t="array" ref="I67">MAX(LEN(I31:I65))</f>
        <v>2</v>
      </c>
      <c r="J67" cm="1">
        <f t="array" ref="J67">MAX(LEN(J31:J65))</f>
        <v>4</v>
      </c>
      <c r="K67" cm="1">
        <f t="array" ref="K67">MAX(LEN(K31:K65))</f>
        <v>9</v>
      </c>
      <c r="L67" cm="1">
        <f t="array" ref="L67">MAX(LEN(L31:L65))</f>
        <v>4</v>
      </c>
      <c r="M67" cm="1">
        <f t="array" ref="M67">MAX(LEN(M31:M65))</f>
        <v>2</v>
      </c>
    </row>
    <row r="69" spans="1:43" x14ac:dyDescent="0.3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t="s">
        <v>9</v>
      </c>
      <c r="K69" t="s">
        <v>10</v>
      </c>
      <c r="L69" t="s">
        <v>11</v>
      </c>
      <c r="M69" t="s">
        <v>12</v>
      </c>
    </row>
    <row r="70" spans="1:43" x14ac:dyDescent="0.3">
      <c r="A70" t="s">
        <v>802</v>
      </c>
      <c r="B70" t="s">
        <v>803</v>
      </c>
      <c r="C70" t="s">
        <v>804</v>
      </c>
      <c r="D70" t="s">
        <v>804</v>
      </c>
      <c r="E70" t="s">
        <v>805</v>
      </c>
      <c r="F70" t="s">
        <v>22</v>
      </c>
      <c r="G70" t="s">
        <v>114</v>
      </c>
      <c r="H70" t="s">
        <v>720</v>
      </c>
      <c r="I70" t="s">
        <v>28</v>
      </c>
      <c r="J70" t="s">
        <v>19</v>
      </c>
      <c r="K70" t="s">
        <v>796</v>
      </c>
      <c r="L70" t="s">
        <v>21</v>
      </c>
      <c r="M70" t="s">
        <v>22</v>
      </c>
      <c r="O70" s="1" t="str">
        <f t="shared" ref="O70:O94" si="65">REPT(" ",(A$95-LEN(A70)+2))</f>
        <v xml:space="preserve">  </v>
      </c>
      <c r="P70" s="1" t="str">
        <f t="shared" ref="P69:AA84" si="66">REPT(" ",(B$95-LEN(B70)+2))</f>
        <v xml:space="preserve">  </v>
      </c>
      <c r="Q70" s="1" t="str">
        <f t="shared" si="66"/>
        <v xml:space="preserve">  </v>
      </c>
      <c r="R70" s="1" t="str">
        <f t="shared" si="66"/>
        <v xml:space="preserve">  </v>
      </c>
      <c r="S70" s="1" t="str">
        <f t="shared" si="66"/>
        <v xml:space="preserve">  </v>
      </c>
      <c r="T70" s="1" t="str">
        <f t="shared" si="66"/>
        <v xml:space="preserve">  </v>
      </c>
      <c r="U70" s="1" t="str">
        <f t="shared" si="66"/>
        <v xml:space="preserve">        </v>
      </c>
      <c r="V70" s="1" t="str">
        <f t="shared" si="66"/>
        <v xml:space="preserve">  </v>
      </c>
      <c r="W70" s="1" t="str">
        <f t="shared" si="66"/>
        <v xml:space="preserve">  </v>
      </c>
      <c r="X70" s="1" t="str">
        <f t="shared" si="66"/>
        <v xml:space="preserve">  </v>
      </c>
      <c r="Y70" s="1" t="str">
        <f t="shared" si="66"/>
        <v xml:space="preserve">  </v>
      </c>
      <c r="Z70" s="1" t="str">
        <f t="shared" si="66"/>
        <v xml:space="preserve">  </v>
      </c>
      <c r="AA70" s="1" t="str">
        <f t="shared" si="66"/>
        <v xml:space="preserve">  </v>
      </c>
      <c r="AC70" s="1" t="str">
        <f t="shared" ref="AC70:AO94" si="67">""""&amp;A$1&amp;""""&amp;": "&amp;""""&amp;A70&amp;""""&amp;O70</f>
        <v xml:space="preserve">"Data": "hm14"  </v>
      </c>
      <c r="AD70" s="1" t="str">
        <f t="shared" ref="AD70:AO94" si="68">""""&amp;B$1&amp;""""&amp;": "&amp;""""&amp;B70&amp;""""&amp;P70</f>
        <v xml:space="preserve">"ID": "SOE.Q.E100.na"  </v>
      </c>
      <c r="AE70" s="1" t="str">
        <f t="shared" ref="AE70:AO94" si="69">""""&amp;C$1&amp;""""&amp;": "&amp;""""&amp;C70&amp;""""&amp;Q70</f>
        <v xml:space="preserve">"Name": "Perception of monetary conditions (net) - End of current quarter"  </v>
      </c>
      <c r="AF70" s="1" t="str">
        <f t="shared" ref="AF70:AO94" si="70">""""&amp;D$1&amp;""""&amp;": "&amp;""""&amp;D70&amp;""""&amp;R70</f>
        <v xml:space="preserve">"Class_1": "Perception of monetary conditions (net) - End of current quarter"  </v>
      </c>
      <c r="AG70" s="1" t="str">
        <f t="shared" ref="AG70:AO94" si="71">""""&amp;E$1&amp;""""&amp;": "&amp;""""&amp;E70&amp;""""&amp;S70</f>
        <v xml:space="preserve">"Class_2": "Perception of monetary conditions (net)"  </v>
      </c>
      <c r="AH70" s="1" t="str">
        <f t="shared" ref="AH70:AO94" si="72">""""&amp;F$1&amp;""""&amp;": "&amp;""""&amp;F70&amp;""""&amp;T70</f>
        <v xml:space="preserve">"Class_3": "NA"  </v>
      </c>
      <c r="AI70" s="1" t="str">
        <f t="shared" ref="AI70:AO94" si="73">""""&amp;G$1&amp;""""&amp;": "&amp;""""&amp;G70&amp;""""&amp;U70</f>
        <v xml:space="preserve">"Unit": "%"        </v>
      </c>
      <c r="AJ70" s="1" t="str">
        <f t="shared" ref="AJ70:AO94" si="74">""""&amp;H$1&amp;""""&amp;": "&amp;""""&amp;H70&amp;""""&amp;V70</f>
        <v xml:space="preserve">"Dim": "Total %"  </v>
      </c>
      <c r="AK70" s="1" t="str">
        <f t="shared" ref="AK70:AO94" si="75">""""&amp;I$1&amp;""""&amp;": "&amp;""""&amp;I70&amp;""""&amp;W70</f>
        <v xml:space="preserve">"Tick": ".2f"  </v>
      </c>
      <c r="AL70" s="1" t="str">
        <f t="shared" ref="AL70:AO94" si="76">""""&amp;J$1&amp;""""&amp;": "&amp;""""&amp;J70&amp;""""&amp;X70</f>
        <v xml:space="preserve">"Palette": "qual"  </v>
      </c>
      <c r="AM70" s="1" t="str">
        <f t="shared" ref="AM70:AO94" si="77">""""&amp;K$1&amp;""""&amp;": "&amp;""""&amp;K70&amp;""""&amp;Y70</f>
        <v xml:space="preserve">"ColourKey": "navyspread"  </v>
      </c>
      <c r="AN70" s="1" t="str">
        <f t="shared" ref="AN70:AO94" si="78">""""&amp;L$1&amp;""""&amp;": "&amp;""""&amp;L70&amp;""""&amp;Z70</f>
        <v xml:space="preserve">"Style": "Line"  </v>
      </c>
      <c r="AO70" s="1" t="str">
        <f t="shared" ref="AO70:AO94" si="79">""""&amp;M$1&amp;""""&amp;": "&amp;""""&amp;M70&amp;""""&amp;AA70</f>
        <v xml:space="preserve">"Prefix": "NA"  </v>
      </c>
      <c r="AQ70" s="1" t="str">
        <f t="shared" ref="AQ70:AQ94" si="80">"{ "&amp;_xlfn.TEXTJOIN(", ",FALSE,AC70:AO70)&amp;" },"</f>
        <v>{ "Data": "hm14"  , "ID": "SOE.Q.E100.na"  , "Name": "Perception of monetary conditions (net) - End of current quarter"  , "Class_1": "Perception of monetary conditions (net) - End of current quarter"  , "Class_2": "Perception of monetary conditions (net)"  , "Class_3": "NA"  , "Unit": "%"        , "Dim": "Total %"  , "Tick": ".2f"  , "Palette": "qual"  , "ColourKey": "navyspread"  , "Style": "Line"  , "Prefix": "NA"   },</v>
      </c>
    </row>
    <row r="71" spans="1:43" x14ac:dyDescent="0.3">
      <c r="A71" t="s">
        <v>802</v>
      </c>
      <c r="B71" t="s">
        <v>806</v>
      </c>
      <c r="C71" t="s">
        <v>807</v>
      </c>
      <c r="D71" t="s">
        <v>807</v>
      </c>
      <c r="E71" t="s">
        <v>805</v>
      </c>
      <c r="F71" t="s">
        <v>22</v>
      </c>
      <c r="G71" t="s">
        <v>114</v>
      </c>
      <c r="H71" t="s">
        <v>720</v>
      </c>
      <c r="I71" t="s">
        <v>28</v>
      </c>
      <c r="J71" t="s">
        <v>19</v>
      </c>
      <c r="K71" t="s">
        <v>796</v>
      </c>
      <c r="L71" t="s">
        <v>21</v>
      </c>
      <c r="M71" t="s">
        <v>22</v>
      </c>
      <c r="O71" s="1" t="str">
        <f t="shared" si="65"/>
        <v xml:space="preserve">  </v>
      </c>
      <c r="P71" s="1" t="str">
        <f t="shared" si="66"/>
        <v xml:space="preserve">  </v>
      </c>
      <c r="Q71" s="1" t="str">
        <f t="shared" si="66"/>
        <v xml:space="preserve">            </v>
      </c>
      <c r="R71" s="1" t="str">
        <f t="shared" si="66"/>
        <v xml:space="preserve">            </v>
      </c>
      <c r="S71" s="1" t="str">
        <f t="shared" si="66"/>
        <v xml:space="preserve">  </v>
      </c>
      <c r="T71" s="1" t="str">
        <f t="shared" si="66"/>
        <v xml:space="preserve">  </v>
      </c>
      <c r="U71" s="1" t="str">
        <f t="shared" si="66"/>
        <v xml:space="preserve">        </v>
      </c>
      <c r="V71" s="1" t="str">
        <f t="shared" si="66"/>
        <v xml:space="preserve">  </v>
      </c>
      <c r="W71" s="1" t="str">
        <f t="shared" si="66"/>
        <v xml:space="preserve">  </v>
      </c>
      <c r="X71" s="1" t="str">
        <f t="shared" si="66"/>
        <v xml:space="preserve">  </v>
      </c>
      <c r="Y71" s="1" t="str">
        <f t="shared" si="66"/>
        <v xml:space="preserve">  </v>
      </c>
      <c r="Z71" s="1" t="str">
        <f t="shared" si="66"/>
        <v xml:space="preserve">  </v>
      </c>
      <c r="AA71" s="1" t="str">
        <f t="shared" si="66"/>
        <v xml:space="preserve">  </v>
      </c>
      <c r="AC71" s="1" t="str">
        <f t="shared" si="67"/>
        <v xml:space="preserve">"Data": "hm14"  </v>
      </c>
      <c r="AD71" s="1" t="str">
        <f t="shared" si="68"/>
        <v xml:space="preserve">"ID": "SOE.Q.E101.na"  </v>
      </c>
      <c r="AE71" s="1" t="str">
        <f t="shared" si="69"/>
        <v xml:space="preserve">"Name": "Perception of monetary conditions (net) - Next quarter"            </v>
      </c>
      <c r="AF71" s="1" t="str">
        <f t="shared" si="70"/>
        <v xml:space="preserve">"Class_1": "Perception of monetary conditions (net) - Next quarter"            </v>
      </c>
      <c r="AG71" s="1" t="str">
        <f t="shared" si="71"/>
        <v xml:space="preserve">"Class_2": "Perception of monetary conditions (net)"  </v>
      </c>
      <c r="AH71" s="1" t="str">
        <f t="shared" si="72"/>
        <v xml:space="preserve">"Class_3": "NA"  </v>
      </c>
      <c r="AI71" s="1" t="str">
        <f t="shared" si="73"/>
        <v xml:space="preserve">"Unit": "%"        </v>
      </c>
      <c r="AJ71" s="1" t="str">
        <f t="shared" si="74"/>
        <v xml:space="preserve">"Dim": "Total %"  </v>
      </c>
      <c r="AK71" s="1" t="str">
        <f t="shared" si="75"/>
        <v xml:space="preserve">"Tick": ".2f"  </v>
      </c>
      <c r="AL71" s="1" t="str">
        <f t="shared" si="76"/>
        <v xml:space="preserve">"Palette": "qual"  </v>
      </c>
      <c r="AM71" s="1" t="str">
        <f t="shared" si="77"/>
        <v xml:space="preserve">"ColourKey": "navyspread"  </v>
      </c>
      <c r="AN71" s="1" t="str">
        <f t="shared" si="78"/>
        <v xml:space="preserve">"Style": "Line"  </v>
      </c>
      <c r="AO71" s="1" t="str">
        <f t="shared" si="79"/>
        <v xml:space="preserve">"Prefix": "NA"  </v>
      </c>
      <c r="AQ71" s="1" t="str">
        <f t="shared" si="80"/>
        <v>{ "Data": "hm14"  , "ID": "SOE.Q.E101.na"  , "Name": "Perception of monetary conditions (net) - Next quarter"            , "Class_1": "Perception of monetary conditions (net) - Next quarter"            , "Class_2": "Perception of monetary conditions (net)"  , "Class_3": "NA"  , "Unit": "%"        , "Dim": "Total %"  , "Tick": ".2f"  , "Palette": "qual"  , "ColourKey": "navyspread"  , "Style": "Line"  , "Prefix": "NA"   },</v>
      </c>
    </row>
    <row r="72" spans="1:43" x14ac:dyDescent="0.3">
      <c r="A72" t="s">
        <v>802</v>
      </c>
      <c r="B72" t="s">
        <v>808</v>
      </c>
      <c r="C72" t="s">
        <v>809</v>
      </c>
      <c r="D72" t="s">
        <v>809</v>
      </c>
      <c r="E72" t="s">
        <v>805</v>
      </c>
      <c r="F72" t="s">
        <v>22</v>
      </c>
      <c r="G72" t="s">
        <v>114</v>
      </c>
      <c r="H72" t="s">
        <v>720</v>
      </c>
      <c r="I72" t="s">
        <v>28</v>
      </c>
      <c r="J72" t="s">
        <v>19</v>
      </c>
      <c r="K72" t="s">
        <v>796</v>
      </c>
      <c r="L72" t="s">
        <v>21</v>
      </c>
      <c r="M72" t="s">
        <v>22</v>
      </c>
      <c r="O72" s="1" t="str">
        <f t="shared" si="65"/>
        <v xml:space="preserve">  </v>
      </c>
      <c r="P72" s="1" t="str">
        <f t="shared" si="66"/>
        <v xml:space="preserve">  </v>
      </c>
      <c r="Q72" s="1" t="str">
        <f t="shared" si="66"/>
        <v xml:space="preserve">              </v>
      </c>
      <c r="R72" s="1" t="str">
        <f t="shared" si="66"/>
        <v xml:space="preserve">              </v>
      </c>
      <c r="S72" s="1" t="str">
        <f t="shared" si="66"/>
        <v xml:space="preserve">  </v>
      </c>
      <c r="T72" s="1" t="str">
        <f t="shared" si="66"/>
        <v xml:space="preserve">  </v>
      </c>
      <c r="U72" s="1" t="str">
        <f t="shared" si="66"/>
        <v xml:space="preserve">        </v>
      </c>
      <c r="V72" s="1" t="str">
        <f t="shared" si="66"/>
        <v xml:space="preserve">  </v>
      </c>
      <c r="W72" s="1" t="str">
        <f t="shared" si="66"/>
        <v xml:space="preserve">  </v>
      </c>
      <c r="X72" s="1" t="str">
        <f t="shared" si="66"/>
        <v xml:space="preserve">  </v>
      </c>
      <c r="Y72" s="1" t="str">
        <f t="shared" si="66"/>
        <v xml:space="preserve">  </v>
      </c>
      <c r="Z72" s="1" t="str">
        <f t="shared" si="66"/>
        <v xml:space="preserve">  </v>
      </c>
      <c r="AA72" s="1" t="str">
        <f t="shared" si="66"/>
        <v xml:space="preserve">  </v>
      </c>
      <c r="AC72" s="1" t="str">
        <f t="shared" si="67"/>
        <v xml:space="preserve">"Data": "hm14"  </v>
      </c>
      <c r="AD72" s="1" t="str">
        <f t="shared" si="68"/>
        <v xml:space="preserve">"ID": "SOE.Q.E102.na"  </v>
      </c>
      <c r="AE72" s="1" t="str">
        <f t="shared" si="69"/>
        <v xml:space="preserve">"Name": "Perception of monetary conditions (net) - 1 year out"              </v>
      </c>
      <c r="AF72" s="1" t="str">
        <f t="shared" si="70"/>
        <v xml:space="preserve">"Class_1": "Perception of monetary conditions (net) - 1 year out"              </v>
      </c>
      <c r="AG72" s="1" t="str">
        <f t="shared" si="71"/>
        <v xml:space="preserve">"Class_2": "Perception of monetary conditions (net)"  </v>
      </c>
      <c r="AH72" s="1" t="str">
        <f t="shared" si="72"/>
        <v xml:space="preserve">"Class_3": "NA"  </v>
      </c>
      <c r="AI72" s="1" t="str">
        <f t="shared" si="73"/>
        <v xml:space="preserve">"Unit": "%"        </v>
      </c>
      <c r="AJ72" s="1" t="str">
        <f t="shared" si="74"/>
        <v xml:space="preserve">"Dim": "Total %"  </v>
      </c>
      <c r="AK72" s="1" t="str">
        <f t="shared" si="75"/>
        <v xml:space="preserve">"Tick": ".2f"  </v>
      </c>
      <c r="AL72" s="1" t="str">
        <f t="shared" si="76"/>
        <v xml:space="preserve">"Palette": "qual"  </v>
      </c>
      <c r="AM72" s="1" t="str">
        <f t="shared" si="77"/>
        <v xml:space="preserve">"ColourKey": "navyspread"  </v>
      </c>
      <c r="AN72" s="1" t="str">
        <f t="shared" si="78"/>
        <v xml:space="preserve">"Style": "Line"  </v>
      </c>
      <c r="AO72" s="1" t="str">
        <f t="shared" si="79"/>
        <v xml:space="preserve">"Prefix": "NA"  </v>
      </c>
      <c r="AQ72" s="1" t="str">
        <f t="shared" si="80"/>
        <v>{ "Data": "hm14"  , "ID": "SOE.Q.E102.na"  , "Name": "Perception of monetary conditions (net) - 1 year out"              , "Class_1": "Perception of monetary conditions (net) - 1 year out"              , "Class_2": "Perception of monetary conditions (net)"  , "Class_3": "NA"  , "Unit": "%"        , "Dim": "Total %"  , "Tick": ".2f"  , "Palette": "qual"  , "ColourKey": "navyspread"  , "Style": "Line"  , "Prefix": "NA"   },</v>
      </c>
    </row>
    <row r="73" spans="1:43" x14ac:dyDescent="0.3">
      <c r="A73" t="s">
        <v>802</v>
      </c>
      <c r="B73" t="s">
        <v>810</v>
      </c>
      <c r="C73" t="s">
        <v>811</v>
      </c>
      <c r="D73" t="s">
        <v>811</v>
      </c>
      <c r="E73" t="s">
        <v>812</v>
      </c>
      <c r="F73" t="s">
        <v>22</v>
      </c>
      <c r="G73" t="s">
        <v>114</v>
      </c>
      <c r="H73" t="s">
        <v>114</v>
      </c>
      <c r="I73" t="s">
        <v>28</v>
      </c>
      <c r="J73" t="s">
        <v>19</v>
      </c>
      <c r="K73" t="s">
        <v>796</v>
      </c>
      <c r="L73" t="s">
        <v>21</v>
      </c>
      <c r="M73" t="s">
        <v>22</v>
      </c>
      <c r="O73" s="1" t="str">
        <f t="shared" si="65"/>
        <v xml:space="preserve">  </v>
      </c>
      <c r="P73" s="1" t="str">
        <f t="shared" si="66"/>
        <v xml:space="preserve">  </v>
      </c>
      <c r="Q73" s="1" t="str">
        <f t="shared" si="66"/>
        <v xml:space="preserve">                                    </v>
      </c>
      <c r="R73" s="1" t="str">
        <f t="shared" si="66"/>
        <v xml:space="preserve">                                    </v>
      </c>
      <c r="S73" s="1" t="str">
        <f t="shared" si="66"/>
        <v xml:space="preserve">                        </v>
      </c>
      <c r="T73" s="1" t="str">
        <f t="shared" si="66"/>
        <v xml:space="preserve">  </v>
      </c>
      <c r="U73" s="1" t="str">
        <f t="shared" si="66"/>
        <v xml:space="preserve">        </v>
      </c>
      <c r="V73" s="1" t="str">
        <f t="shared" si="66"/>
        <v xml:space="preserve">        </v>
      </c>
      <c r="W73" s="1" t="str">
        <f t="shared" si="66"/>
        <v xml:space="preserve">  </v>
      </c>
      <c r="X73" s="1" t="str">
        <f t="shared" si="66"/>
        <v xml:space="preserve">  </v>
      </c>
      <c r="Y73" s="1" t="str">
        <f t="shared" si="66"/>
        <v xml:space="preserve">  </v>
      </c>
      <c r="Z73" s="1" t="str">
        <f t="shared" si="66"/>
        <v xml:space="preserve">  </v>
      </c>
      <c r="AA73" s="1" t="str">
        <f t="shared" si="66"/>
        <v xml:space="preserve">  </v>
      </c>
      <c r="AC73" s="1" t="str">
        <f t="shared" si="67"/>
        <v xml:space="preserve">"Data": "hm14"  </v>
      </c>
      <c r="AD73" s="1" t="str">
        <f t="shared" si="68"/>
        <v xml:space="preserve">"ID": "SOE.Q.E210.na"  </v>
      </c>
      <c r="AE73" s="1" t="str">
        <f t="shared" si="69"/>
        <v xml:space="preserve">"Name": "Annual CPI growth - 1 year out"                                    </v>
      </c>
      <c r="AF73" s="1" t="str">
        <f t="shared" si="70"/>
        <v xml:space="preserve">"Class_1": "Annual CPI growth - 1 year out"                                    </v>
      </c>
      <c r="AG73" s="1" t="str">
        <f t="shared" si="71"/>
        <v xml:space="preserve">"Class_2": "Annual CPI growth"                        </v>
      </c>
      <c r="AH73" s="1" t="str">
        <f t="shared" si="72"/>
        <v xml:space="preserve">"Class_3": "NA"  </v>
      </c>
      <c r="AI73" s="1" t="str">
        <f t="shared" si="73"/>
        <v xml:space="preserve">"Unit": "%"        </v>
      </c>
      <c r="AJ73" s="1" t="str">
        <f t="shared" si="74"/>
        <v xml:space="preserve">"Dim": "%"        </v>
      </c>
      <c r="AK73" s="1" t="str">
        <f t="shared" si="75"/>
        <v xml:space="preserve">"Tick": ".2f"  </v>
      </c>
      <c r="AL73" s="1" t="str">
        <f t="shared" si="76"/>
        <v xml:space="preserve">"Palette": "qual"  </v>
      </c>
      <c r="AM73" s="1" t="str">
        <f t="shared" si="77"/>
        <v xml:space="preserve">"ColourKey": "navyspread"  </v>
      </c>
      <c r="AN73" s="1" t="str">
        <f t="shared" si="78"/>
        <v xml:space="preserve">"Style": "Line"  </v>
      </c>
      <c r="AO73" s="1" t="str">
        <f t="shared" si="79"/>
        <v xml:space="preserve">"Prefix": "NA"  </v>
      </c>
      <c r="AQ73" s="1" t="str">
        <f t="shared" si="80"/>
        <v>{ "Data": "hm14"  , "ID": "SOE.Q.E210.na"  , "Name": "Annual CPI growth - 1 year out"                                    , "Class_1": "Annual CPI growth - 1 year out"                                    , "Class_2": "Annual CPI growth"                        , "Class_3": "NA"  , "Unit": "%"        , "Dim": "%"        , "Tick": ".2f"  , "Palette": "qual"  , "ColourKey": "navyspread"  , "Style": "Line"  , "Prefix": "NA"   },</v>
      </c>
    </row>
    <row r="74" spans="1:43" x14ac:dyDescent="0.3">
      <c r="A74" t="s">
        <v>802</v>
      </c>
      <c r="B74" t="s">
        <v>813</v>
      </c>
      <c r="C74" t="s">
        <v>814</v>
      </c>
      <c r="D74" t="s">
        <v>814</v>
      </c>
      <c r="E74" t="s">
        <v>812</v>
      </c>
      <c r="F74" t="s">
        <v>22</v>
      </c>
      <c r="G74" t="s">
        <v>114</v>
      </c>
      <c r="H74" t="s">
        <v>114</v>
      </c>
      <c r="I74" t="s">
        <v>28</v>
      </c>
      <c r="J74" t="s">
        <v>19</v>
      </c>
      <c r="K74" t="s">
        <v>796</v>
      </c>
      <c r="L74" t="s">
        <v>21</v>
      </c>
      <c r="M74" t="s">
        <v>22</v>
      </c>
      <c r="O74" s="1" t="str">
        <f t="shared" si="65"/>
        <v xml:space="preserve">  </v>
      </c>
      <c r="P74" s="1" t="str">
        <f t="shared" si="66"/>
        <v xml:space="preserve">  </v>
      </c>
      <c r="Q74" s="1" t="str">
        <f t="shared" si="66"/>
        <v xml:space="preserve">                                   </v>
      </c>
      <c r="R74" s="1" t="str">
        <f t="shared" si="66"/>
        <v xml:space="preserve">                                   </v>
      </c>
      <c r="S74" s="1" t="str">
        <f t="shared" si="66"/>
        <v xml:space="preserve">                        </v>
      </c>
      <c r="T74" s="1" t="str">
        <f t="shared" si="66"/>
        <v xml:space="preserve">  </v>
      </c>
      <c r="U74" s="1" t="str">
        <f t="shared" si="66"/>
        <v xml:space="preserve">        </v>
      </c>
      <c r="V74" s="1" t="str">
        <f t="shared" si="66"/>
        <v xml:space="preserve">        </v>
      </c>
      <c r="W74" s="1" t="str">
        <f t="shared" si="66"/>
        <v xml:space="preserve">  </v>
      </c>
      <c r="X74" s="1" t="str">
        <f t="shared" si="66"/>
        <v xml:space="preserve">  </v>
      </c>
      <c r="Y74" s="1" t="str">
        <f t="shared" si="66"/>
        <v xml:space="preserve">  </v>
      </c>
      <c r="Z74" s="1" t="str">
        <f t="shared" si="66"/>
        <v xml:space="preserve">  </v>
      </c>
      <c r="AA74" s="1" t="str">
        <f t="shared" si="66"/>
        <v xml:space="preserve">  </v>
      </c>
      <c r="AC74" s="1" t="str">
        <f t="shared" si="67"/>
        <v xml:space="preserve">"Data": "hm14"  </v>
      </c>
      <c r="AD74" s="1" t="str">
        <f t="shared" si="68"/>
        <v xml:space="preserve">"ID": "SOE.Q.E215.na"  </v>
      </c>
      <c r="AE74" s="1" t="str">
        <f t="shared" si="69"/>
        <v xml:space="preserve">"Name": "Annual CPI growth - 2 years out"                                   </v>
      </c>
      <c r="AF74" s="1" t="str">
        <f t="shared" si="70"/>
        <v xml:space="preserve">"Class_1": "Annual CPI growth - 2 years out"                                   </v>
      </c>
      <c r="AG74" s="1" t="str">
        <f t="shared" si="71"/>
        <v xml:space="preserve">"Class_2": "Annual CPI growth"                        </v>
      </c>
      <c r="AH74" s="1" t="str">
        <f t="shared" si="72"/>
        <v xml:space="preserve">"Class_3": "NA"  </v>
      </c>
      <c r="AI74" s="1" t="str">
        <f t="shared" si="73"/>
        <v xml:space="preserve">"Unit": "%"        </v>
      </c>
      <c r="AJ74" s="1" t="str">
        <f t="shared" si="74"/>
        <v xml:space="preserve">"Dim": "%"        </v>
      </c>
      <c r="AK74" s="1" t="str">
        <f t="shared" si="75"/>
        <v xml:space="preserve">"Tick": ".2f"  </v>
      </c>
      <c r="AL74" s="1" t="str">
        <f t="shared" si="76"/>
        <v xml:space="preserve">"Palette": "qual"  </v>
      </c>
      <c r="AM74" s="1" t="str">
        <f t="shared" si="77"/>
        <v xml:space="preserve">"ColourKey": "navyspread"  </v>
      </c>
      <c r="AN74" s="1" t="str">
        <f t="shared" si="78"/>
        <v xml:space="preserve">"Style": "Line"  </v>
      </c>
      <c r="AO74" s="1" t="str">
        <f t="shared" si="79"/>
        <v xml:space="preserve">"Prefix": "NA"  </v>
      </c>
      <c r="AQ74" s="1" t="str">
        <f t="shared" si="80"/>
        <v>{ "Data": "hm14"  , "ID": "SOE.Q.E215.na"  , "Name": "Annual CPI growth - 2 years out"                                   , "Class_1": "Annual CPI growth - 2 years out"                                   , "Class_2": "Annual CPI growth"                        , "Class_3": "NA"  , "Unit": "%"        , "Dim": "%"        , "Tick": ".2f"  , "Palette": "qual"  , "ColourKey": "navyspread"  , "Style": "Line"  , "Prefix": "NA"   },</v>
      </c>
    </row>
    <row r="75" spans="1:43" x14ac:dyDescent="0.3">
      <c r="A75" t="s">
        <v>802</v>
      </c>
      <c r="B75" t="s">
        <v>815</v>
      </c>
      <c r="C75" t="s">
        <v>816</v>
      </c>
      <c r="D75" t="s">
        <v>816</v>
      </c>
      <c r="E75" t="s">
        <v>812</v>
      </c>
      <c r="F75" t="s">
        <v>22</v>
      </c>
      <c r="G75" t="s">
        <v>114</v>
      </c>
      <c r="H75" t="s">
        <v>114</v>
      </c>
      <c r="I75" t="s">
        <v>28</v>
      </c>
      <c r="J75" t="s">
        <v>19</v>
      </c>
      <c r="K75" t="s">
        <v>796</v>
      </c>
      <c r="L75" t="s">
        <v>21</v>
      </c>
      <c r="M75" t="s">
        <v>22</v>
      </c>
      <c r="O75" s="1" t="str">
        <f t="shared" si="65"/>
        <v xml:space="preserve">  </v>
      </c>
      <c r="P75" s="1" t="str">
        <f t="shared" si="66"/>
        <v xml:space="preserve">  </v>
      </c>
      <c r="Q75" s="1" t="str">
        <f t="shared" si="66"/>
        <v xml:space="preserve">                                   </v>
      </c>
      <c r="R75" s="1" t="str">
        <f t="shared" si="66"/>
        <v xml:space="preserve">                                   </v>
      </c>
      <c r="S75" s="1" t="str">
        <f t="shared" si="66"/>
        <v xml:space="preserve">                        </v>
      </c>
      <c r="T75" s="1" t="str">
        <f t="shared" si="66"/>
        <v xml:space="preserve">  </v>
      </c>
      <c r="U75" s="1" t="str">
        <f t="shared" si="66"/>
        <v xml:space="preserve">        </v>
      </c>
      <c r="V75" s="1" t="str">
        <f t="shared" si="66"/>
        <v xml:space="preserve">        </v>
      </c>
      <c r="W75" s="1" t="str">
        <f t="shared" si="66"/>
        <v xml:space="preserve">  </v>
      </c>
      <c r="X75" s="1" t="str">
        <f t="shared" si="66"/>
        <v xml:space="preserve">  </v>
      </c>
      <c r="Y75" s="1" t="str">
        <f t="shared" si="66"/>
        <v xml:space="preserve">  </v>
      </c>
      <c r="Z75" s="1" t="str">
        <f t="shared" si="66"/>
        <v xml:space="preserve">  </v>
      </c>
      <c r="AA75" s="1" t="str">
        <f t="shared" si="66"/>
        <v xml:space="preserve">  </v>
      </c>
      <c r="AC75" s="1" t="str">
        <f t="shared" si="67"/>
        <v xml:space="preserve">"Data": "hm14"  </v>
      </c>
      <c r="AD75" s="1" t="str">
        <f t="shared" si="68"/>
        <v xml:space="preserve">"ID": "SOE.Q.E220.na"  </v>
      </c>
      <c r="AE75" s="1" t="str">
        <f t="shared" si="69"/>
        <v xml:space="preserve">"Name": "Annual CPI growth - 5 years out"                                   </v>
      </c>
      <c r="AF75" s="1" t="str">
        <f t="shared" si="70"/>
        <v xml:space="preserve">"Class_1": "Annual CPI growth - 5 years out"                                   </v>
      </c>
      <c r="AG75" s="1" t="str">
        <f t="shared" si="71"/>
        <v xml:space="preserve">"Class_2": "Annual CPI growth"                        </v>
      </c>
      <c r="AH75" s="1" t="str">
        <f t="shared" si="72"/>
        <v xml:space="preserve">"Class_3": "NA"  </v>
      </c>
      <c r="AI75" s="1" t="str">
        <f t="shared" si="73"/>
        <v xml:space="preserve">"Unit": "%"        </v>
      </c>
      <c r="AJ75" s="1" t="str">
        <f t="shared" si="74"/>
        <v xml:space="preserve">"Dim": "%"        </v>
      </c>
      <c r="AK75" s="1" t="str">
        <f t="shared" si="75"/>
        <v xml:space="preserve">"Tick": ".2f"  </v>
      </c>
      <c r="AL75" s="1" t="str">
        <f t="shared" si="76"/>
        <v xml:space="preserve">"Palette": "qual"  </v>
      </c>
      <c r="AM75" s="1" t="str">
        <f t="shared" si="77"/>
        <v xml:space="preserve">"ColourKey": "navyspread"  </v>
      </c>
      <c r="AN75" s="1" t="str">
        <f t="shared" si="78"/>
        <v xml:space="preserve">"Style": "Line"  </v>
      </c>
      <c r="AO75" s="1" t="str">
        <f t="shared" si="79"/>
        <v xml:space="preserve">"Prefix": "NA"  </v>
      </c>
      <c r="AQ75" s="1" t="str">
        <f t="shared" si="80"/>
        <v>{ "Data": "hm14"  , "ID": "SOE.Q.E220.na"  , "Name": "Annual CPI growth - 5 years out"                                   , "Class_1": "Annual CPI growth - 5 years out"                                   , "Class_2": "Annual CPI growth"                        , "Class_3": "NA"  , "Unit": "%"        , "Dim": "%"        , "Tick": ".2f"  , "Palette": "qual"  , "ColourKey": "navyspread"  , "Style": "Line"  , "Prefix": "NA"   },</v>
      </c>
    </row>
    <row r="76" spans="1:43" x14ac:dyDescent="0.3">
      <c r="A76" t="s">
        <v>802</v>
      </c>
      <c r="B76" t="s">
        <v>817</v>
      </c>
      <c r="C76" t="s">
        <v>818</v>
      </c>
      <c r="D76" t="s">
        <v>818</v>
      </c>
      <c r="E76" t="s">
        <v>812</v>
      </c>
      <c r="F76" t="s">
        <v>22</v>
      </c>
      <c r="G76" t="s">
        <v>114</v>
      </c>
      <c r="H76" t="s">
        <v>114</v>
      </c>
      <c r="I76" t="s">
        <v>28</v>
      </c>
      <c r="J76" t="s">
        <v>19</v>
      </c>
      <c r="K76" t="s">
        <v>796</v>
      </c>
      <c r="L76" t="s">
        <v>21</v>
      </c>
      <c r="M76" t="s">
        <v>22</v>
      </c>
      <c r="O76" s="1" t="str">
        <f t="shared" si="65"/>
        <v xml:space="preserve">  </v>
      </c>
      <c r="P76" s="1" t="str">
        <f t="shared" si="66"/>
        <v xml:space="preserve">  </v>
      </c>
      <c r="Q76" s="1" t="str">
        <f t="shared" si="66"/>
        <v xml:space="preserve">                                  </v>
      </c>
      <c r="R76" s="1" t="str">
        <f t="shared" si="66"/>
        <v xml:space="preserve">                                  </v>
      </c>
      <c r="S76" s="1" t="str">
        <f t="shared" si="66"/>
        <v xml:space="preserve">                        </v>
      </c>
      <c r="T76" s="1" t="str">
        <f t="shared" si="66"/>
        <v xml:space="preserve">  </v>
      </c>
      <c r="U76" s="1" t="str">
        <f t="shared" si="66"/>
        <v xml:space="preserve">        </v>
      </c>
      <c r="V76" s="1" t="str">
        <f t="shared" si="66"/>
        <v xml:space="preserve">        </v>
      </c>
      <c r="W76" s="1" t="str">
        <f t="shared" si="66"/>
        <v xml:space="preserve">  </v>
      </c>
      <c r="X76" s="1" t="str">
        <f t="shared" si="66"/>
        <v xml:space="preserve">  </v>
      </c>
      <c r="Y76" s="1" t="str">
        <f t="shared" si="66"/>
        <v xml:space="preserve">  </v>
      </c>
      <c r="Z76" s="1" t="str">
        <f t="shared" si="66"/>
        <v xml:space="preserve">  </v>
      </c>
      <c r="AA76" s="1" t="str">
        <f t="shared" si="66"/>
        <v xml:space="preserve">  </v>
      </c>
      <c r="AC76" s="1" t="str">
        <f t="shared" si="67"/>
        <v xml:space="preserve">"Data": "hm14"  </v>
      </c>
      <c r="AD76" s="1" t="str">
        <f t="shared" si="68"/>
        <v xml:space="preserve">"ID": "SOE.Q.E230.na"  </v>
      </c>
      <c r="AE76" s="1" t="str">
        <f t="shared" si="69"/>
        <v xml:space="preserve">"Name": "Annual CPI growth - 10 years out"                                  </v>
      </c>
      <c r="AF76" s="1" t="str">
        <f t="shared" si="70"/>
        <v xml:space="preserve">"Class_1": "Annual CPI growth - 10 years out"                                  </v>
      </c>
      <c r="AG76" s="1" t="str">
        <f t="shared" si="71"/>
        <v xml:space="preserve">"Class_2": "Annual CPI growth"                        </v>
      </c>
      <c r="AH76" s="1" t="str">
        <f t="shared" si="72"/>
        <v xml:space="preserve">"Class_3": "NA"  </v>
      </c>
      <c r="AI76" s="1" t="str">
        <f t="shared" si="73"/>
        <v xml:space="preserve">"Unit": "%"        </v>
      </c>
      <c r="AJ76" s="1" t="str">
        <f t="shared" si="74"/>
        <v xml:space="preserve">"Dim": "%"        </v>
      </c>
      <c r="AK76" s="1" t="str">
        <f t="shared" si="75"/>
        <v xml:space="preserve">"Tick": ".2f"  </v>
      </c>
      <c r="AL76" s="1" t="str">
        <f t="shared" si="76"/>
        <v xml:space="preserve">"Palette": "qual"  </v>
      </c>
      <c r="AM76" s="1" t="str">
        <f t="shared" si="77"/>
        <v xml:space="preserve">"ColourKey": "navyspread"  </v>
      </c>
      <c r="AN76" s="1" t="str">
        <f t="shared" si="78"/>
        <v xml:space="preserve">"Style": "Line"  </v>
      </c>
      <c r="AO76" s="1" t="str">
        <f t="shared" si="79"/>
        <v xml:space="preserve">"Prefix": "NA"  </v>
      </c>
      <c r="AQ76" s="1" t="str">
        <f t="shared" si="80"/>
        <v>{ "Data": "hm14"  , "ID": "SOE.Q.E230.na"  , "Name": "Annual CPI growth - 10 years out"                                  , "Class_1": "Annual CPI growth - 10 years out"                                  , "Class_2": "Annual CPI growth"                        , "Class_3": "NA"  , "Unit": "%"        , "Dim": "%"        , "Tick": ".2f"  , "Palette": "qual"  , "ColourKey": "navyspread"  , "Style": "Line"  , "Prefix": "NA"   },</v>
      </c>
    </row>
    <row r="77" spans="1:43" x14ac:dyDescent="0.3">
      <c r="A77" t="s">
        <v>802</v>
      </c>
      <c r="B77" t="s">
        <v>819</v>
      </c>
      <c r="C77" t="s">
        <v>820</v>
      </c>
      <c r="D77" t="s">
        <v>820</v>
      </c>
      <c r="E77" t="s">
        <v>111</v>
      </c>
      <c r="F77" t="s">
        <v>22</v>
      </c>
      <c r="G77" t="s">
        <v>113</v>
      </c>
      <c r="H77" t="s">
        <v>114</v>
      </c>
      <c r="I77" t="s">
        <v>28</v>
      </c>
      <c r="J77" t="s">
        <v>19</v>
      </c>
      <c r="K77" t="s">
        <v>796</v>
      </c>
      <c r="L77" t="s">
        <v>21</v>
      </c>
      <c r="M77" t="s">
        <v>22</v>
      </c>
      <c r="O77" s="1" t="str">
        <f t="shared" si="65"/>
        <v xml:space="preserve">  </v>
      </c>
      <c r="P77" s="1" t="str">
        <f t="shared" si="66"/>
        <v xml:space="preserve">  </v>
      </c>
      <c r="Q77" s="1" t="str">
        <f t="shared" si="66"/>
        <v xml:space="preserve">                 </v>
      </c>
      <c r="R77" s="1" t="str">
        <f t="shared" si="66"/>
        <v xml:space="preserve">                 </v>
      </c>
      <c r="S77" s="1" t="str">
        <f t="shared" si="66"/>
        <v xml:space="preserve">                 </v>
      </c>
      <c r="T77" s="1" t="str">
        <f t="shared" si="66"/>
        <v xml:space="preserve">  </v>
      </c>
      <c r="U77" s="1" t="str">
        <f t="shared" si="66"/>
        <v xml:space="preserve">      </v>
      </c>
      <c r="V77" s="1" t="str">
        <f t="shared" si="66"/>
        <v xml:space="preserve">        </v>
      </c>
      <c r="W77" s="1" t="str">
        <f t="shared" si="66"/>
        <v xml:space="preserve">  </v>
      </c>
      <c r="X77" s="1" t="str">
        <f t="shared" si="66"/>
        <v xml:space="preserve">  </v>
      </c>
      <c r="Y77" s="1" t="str">
        <f t="shared" si="66"/>
        <v xml:space="preserve">  </v>
      </c>
      <c r="Z77" s="1" t="str">
        <f t="shared" si="66"/>
        <v xml:space="preserve">  </v>
      </c>
      <c r="AA77" s="1" t="str">
        <f t="shared" si="66"/>
        <v xml:space="preserve">  </v>
      </c>
      <c r="AC77" s="1" t="str">
        <f t="shared" si="67"/>
        <v xml:space="preserve">"Data": "hm14"  </v>
      </c>
      <c r="AD77" s="1" t="str">
        <f t="shared" si="68"/>
        <v xml:space="preserve">"ID": "SOE.Q.E350.na"  </v>
      </c>
      <c r="AE77" s="1" t="str">
        <f t="shared" si="69"/>
        <v xml:space="preserve">"Name": "Official Cash Rate (OCR) - End of current quarter"                 </v>
      </c>
      <c r="AF77" s="1" t="str">
        <f t="shared" si="70"/>
        <v xml:space="preserve">"Class_1": "Official Cash Rate (OCR) - End of current quarter"                 </v>
      </c>
      <c r="AG77" s="1" t="str">
        <f t="shared" si="71"/>
        <v xml:space="preserve">"Class_2": "Official Cash Rate (OCR)"                 </v>
      </c>
      <c r="AH77" s="1" t="str">
        <f t="shared" si="72"/>
        <v xml:space="preserve">"Class_3": "NA"  </v>
      </c>
      <c r="AI77" s="1" t="str">
        <f t="shared" si="73"/>
        <v xml:space="preserve">"Unit": "%pa"      </v>
      </c>
      <c r="AJ77" s="1" t="str">
        <f t="shared" si="74"/>
        <v xml:space="preserve">"Dim": "%"        </v>
      </c>
      <c r="AK77" s="1" t="str">
        <f t="shared" si="75"/>
        <v xml:space="preserve">"Tick": ".2f"  </v>
      </c>
      <c r="AL77" s="1" t="str">
        <f t="shared" si="76"/>
        <v xml:space="preserve">"Palette": "qual"  </v>
      </c>
      <c r="AM77" s="1" t="str">
        <f t="shared" si="77"/>
        <v xml:space="preserve">"ColourKey": "navyspread"  </v>
      </c>
      <c r="AN77" s="1" t="str">
        <f t="shared" si="78"/>
        <v xml:space="preserve">"Style": "Line"  </v>
      </c>
      <c r="AO77" s="1" t="str">
        <f t="shared" si="79"/>
        <v xml:space="preserve">"Prefix": "NA"  </v>
      </c>
      <c r="AQ77" s="1" t="str">
        <f t="shared" si="80"/>
        <v>{ "Data": "hm14"  , "ID": "SOE.Q.E350.na"  , "Name": "Official Cash Rate (OCR) - End of current quarter"                 , "Class_1": "Official Cash Rate (OCR) - End of current quarter"                 , "Class_2": "Official Cash Rate (OCR)"                 , "Class_3": "NA"  , "Unit": "%pa"      , "Dim": "%"        , "Tick": ".2f"  , "Palette": "qual"  , "ColourKey": "navyspread"  , "Style": "Line"  , "Prefix": "NA"   },</v>
      </c>
    </row>
    <row r="78" spans="1:43" x14ac:dyDescent="0.3">
      <c r="A78" t="s">
        <v>802</v>
      </c>
      <c r="B78" t="s">
        <v>821</v>
      </c>
      <c r="C78" t="s">
        <v>822</v>
      </c>
      <c r="D78" t="s">
        <v>822</v>
      </c>
      <c r="E78" t="s">
        <v>111</v>
      </c>
      <c r="F78" t="s">
        <v>22</v>
      </c>
      <c r="G78" t="s">
        <v>113</v>
      </c>
      <c r="H78" t="s">
        <v>114</v>
      </c>
      <c r="I78" t="s">
        <v>28</v>
      </c>
      <c r="J78" t="s">
        <v>19</v>
      </c>
      <c r="K78" t="s">
        <v>796</v>
      </c>
      <c r="L78" t="s">
        <v>21</v>
      </c>
      <c r="M78" t="s">
        <v>22</v>
      </c>
      <c r="O78" s="1" t="str">
        <f t="shared" si="65"/>
        <v xml:space="preserve">  </v>
      </c>
      <c r="P78" s="1" t="str">
        <f t="shared" si="66"/>
        <v xml:space="preserve">  </v>
      </c>
      <c r="Q78" s="1" t="str">
        <f t="shared" si="66"/>
        <v xml:space="preserve">                             </v>
      </c>
      <c r="R78" s="1" t="str">
        <f t="shared" si="66"/>
        <v xml:space="preserve">                             </v>
      </c>
      <c r="S78" s="1" t="str">
        <f t="shared" si="66"/>
        <v xml:space="preserve">                 </v>
      </c>
      <c r="T78" s="1" t="str">
        <f t="shared" si="66"/>
        <v xml:space="preserve">  </v>
      </c>
      <c r="U78" s="1" t="str">
        <f t="shared" si="66"/>
        <v xml:space="preserve">      </v>
      </c>
      <c r="V78" s="1" t="str">
        <f t="shared" si="66"/>
        <v xml:space="preserve">        </v>
      </c>
      <c r="W78" s="1" t="str">
        <f t="shared" si="66"/>
        <v xml:space="preserve">  </v>
      </c>
      <c r="X78" s="1" t="str">
        <f t="shared" si="66"/>
        <v xml:space="preserve">  </v>
      </c>
      <c r="Y78" s="1" t="str">
        <f t="shared" si="66"/>
        <v xml:space="preserve">  </v>
      </c>
      <c r="Z78" s="1" t="str">
        <f t="shared" si="66"/>
        <v xml:space="preserve">  </v>
      </c>
      <c r="AA78" s="1" t="str">
        <f t="shared" si="66"/>
        <v xml:space="preserve">  </v>
      </c>
      <c r="AC78" s="1" t="str">
        <f t="shared" si="67"/>
        <v xml:space="preserve">"Data": "hm14"  </v>
      </c>
      <c r="AD78" s="1" t="str">
        <f t="shared" si="68"/>
        <v xml:space="preserve">"ID": "SOE.Q.E351.na"  </v>
      </c>
      <c r="AE78" s="1" t="str">
        <f t="shared" si="69"/>
        <v xml:space="preserve">"Name": "Official Cash Rate (OCR) - 1 year out"                             </v>
      </c>
      <c r="AF78" s="1" t="str">
        <f t="shared" si="70"/>
        <v xml:space="preserve">"Class_1": "Official Cash Rate (OCR) - 1 year out"                             </v>
      </c>
      <c r="AG78" s="1" t="str">
        <f t="shared" si="71"/>
        <v xml:space="preserve">"Class_2": "Official Cash Rate (OCR)"                 </v>
      </c>
      <c r="AH78" s="1" t="str">
        <f t="shared" si="72"/>
        <v xml:space="preserve">"Class_3": "NA"  </v>
      </c>
      <c r="AI78" s="1" t="str">
        <f t="shared" si="73"/>
        <v xml:space="preserve">"Unit": "%pa"      </v>
      </c>
      <c r="AJ78" s="1" t="str">
        <f t="shared" si="74"/>
        <v xml:space="preserve">"Dim": "%"        </v>
      </c>
      <c r="AK78" s="1" t="str">
        <f t="shared" si="75"/>
        <v xml:space="preserve">"Tick": ".2f"  </v>
      </c>
      <c r="AL78" s="1" t="str">
        <f t="shared" si="76"/>
        <v xml:space="preserve">"Palette": "qual"  </v>
      </c>
      <c r="AM78" s="1" t="str">
        <f t="shared" si="77"/>
        <v xml:space="preserve">"ColourKey": "navyspread"  </v>
      </c>
      <c r="AN78" s="1" t="str">
        <f t="shared" si="78"/>
        <v xml:space="preserve">"Style": "Line"  </v>
      </c>
      <c r="AO78" s="1" t="str">
        <f t="shared" si="79"/>
        <v xml:space="preserve">"Prefix": "NA"  </v>
      </c>
      <c r="AQ78" s="1" t="str">
        <f t="shared" si="80"/>
        <v>{ "Data": "hm14"  , "ID": "SOE.Q.E351.na"  , "Name": "Official Cash Rate (OCR) - 1 year out"                             , "Class_1": "Official Cash Rate (OCR) - 1 year out"                             , "Class_2": "Official Cash Rate (OCR)"                 , "Class_3": "NA"  , "Unit": "%pa"      , "Dim": "%"        , "Tick": ".2f"  , "Palette": "qual"  , "ColourKey": "navyspread"  , "Style": "Line"  , "Prefix": "NA"   },</v>
      </c>
    </row>
    <row r="79" spans="1:43" x14ac:dyDescent="0.3">
      <c r="A79" t="s">
        <v>802</v>
      </c>
      <c r="B79" t="s">
        <v>823</v>
      </c>
      <c r="C79" t="s">
        <v>824</v>
      </c>
      <c r="D79" t="s">
        <v>824</v>
      </c>
      <c r="E79" t="s">
        <v>111</v>
      </c>
      <c r="F79" t="s">
        <v>22</v>
      </c>
      <c r="G79" t="s">
        <v>113</v>
      </c>
      <c r="H79" t="s">
        <v>114</v>
      </c>
      <c r="I79" t="s">
        <v>28</v>
      </c>
      <c r="J79" t="s">
        <v>19</v>
      </c>
      <c r="K79" t="s">
        <v>796</v>
      </c>
      <c r="L79" t="s">
        <v>21</v>
      </c>
      <c r="M79" t="s">
        <v>22</v>
      </c>
      <c r="O79" s="1" t="str">
        <f t="shared" si="65"/>
        <v xml:space="preserve">  </v>
      </c>
      <c r="P79" s="1" t="str">
        <f t="shared" si="66"/>
        <v xml:space="preserve">  </v>
      </c>
      <c r="Q79" s="1" t="str">
        <f t="shared" si="66"/>
        <v xml:space="preserve">                           </v>
      </c>
      <c r="R79" s="1" t="str">
        <f t="shared" si="66"/>
        <v xml:space="preserve">                           </v>
      </c>
      <c r="S79" s="1" t="str">
        <f t="shared" si="66"/>
        <v xml:space="preserve">                 </v>
      </c>
      <c r="T79" s="1" t="str">
        <f t="shared" si="66"/>
        <v xml:space="preserve">  </v>
      </c>
      <c r="U79" s="1" t="str">
        <f t="shared" si="66"/>
        <v xml:space="preserve">      </v>
      </c>
      <c r="V79" s="1" t="str">
        <f t="shared" si="66"/>
        <v xml:space="preserve">        </v>
      </c>
      <c r="W79" s="1" t="str">
        <f t="shared" si="66"/>
        <v xml:space="preserve">  </v>
      </c>
      <c r="X79" s="1" t="str">
        <f t="shared" si="66"/>
        <v xml:space="preserve">  </v>
      </c>
      <c r="Y79" s="1" t="str">
        <f t="shared" si="66"/>
        <v xml:space="preserve">  </v>
      </c>
      <c r="Z79" s="1" t="str">
        <f t="shared" si="66"/>
        <v xml:space="preserve">  </v>
      </c>
      <c r="AA79" s="1" t="str">
        <f t="shared" si="66"/>
        <v xml:space="preserve">  </v>
      </c>
      <c r="AC79" s="1" t="str">
        <f t="shared" si="67"/>
        <v xml:space="preserve">"Data": "hm14"  </v>
      </c>
      <c r="AD79" s="1" t="str">
        <f t="shared" si="68"/>
        <v xml:space="preserve">"ID": "SOE.Q.E353.na"  </v>
      </c>
      <c r="AE79" s="1" t="str">
        <f t="shared" si="69"/>
        <v xml:space="preserve">"Name": "Official Cash Rate (OCR) - 10 years out"                           </v>
      </c>
      <c r="AF79" s="1" t="str">
        <f t="shared" si="70"/>
        <v xml:space="preserve">"Class_1": "Official Cash Rate (OCR) - 10 years out"                           </v>
      </c>
      <c r="AG79" s="1" t="str">
        <f t="shared" si="71"/>
        <v xml:space="preserve">"Class_2": "Official Cash Rate (OCR)"                 </v>
      </c>
      <c r="AH79" s="1" t="str">
        <f t="shared" si="72"/>
        <v xml:space="preserve">"Class_3": "NA"  </v>
      </c>
      <c r="AI79" s="1" t="str">
        <f t="shared" si="73"/>
        <v xml:space="preserve">"Unit": "%pa"      </v>
      </c>
      <c r="AJ79" s="1" t="str">
        <f t="shared" si="74"/>
        <v xml:space="preserve">"Dim": "%"        </v>
      </c>
      <c r="AK79" s="1" t="str">
        <f t="shared" si="75"/>
        <v xml:space="preserve">"Tick": ".2f"  </v>
      </c>
      <c r="AL79" s="1" t="str">
        <f t="shared" si="76"/>
        <v xml:space="preserve">"Palette": "qual"  </v>
      </c>
      <c r="AM79" s="1" t="str">
        <f t="shared" si="77"/>
        <v xml:space="preserve">"ColourKey": "navyspread"  </v>
      </c>
      <c r="AN79" s="1" t="str">
        <f t="shared" si="78"/>
        <v xml:space="preserve">"Style": "Line"  </v>
      </c>
      <c r="AO79" s="1" t="str">
        <f t="shared" si="79"/>
        <v xml:space="preserve">"Prefix": "NA"  </v>
      </c>
      <c r="AQ79" s="1" t="str">
        <f t="shared" si="80"/>
        <v>{ "Data": "hm14"  , "ID": "SOE.Q.E353.na"  , "Name": "Official Cash Rate (OCR) - 10 years out"                           , "Class_1": "Official Cash Rate (OCR) - 10 years out"                           , "Class_2": "Official Cash Rate (OCR)"                 , "Class_3": "NA"  , "Unit": "%pa"      , "Dim": "%"        , "Tick": ".2f"  , "Palette": "qual"  , "ColourKey": "navyspread"  , "Style": "Line"  , "Prefix": "NA"   },</v>
      </c>
    </row>
    <row r="80" spans="1:43" x14ac:dyDescent="0.3">
      <c r="A80" t="s">
        <v>802</v>
      </c>
      <c r="B80" t="s">
        <v>825</v>
      </c>
      <c r="C80" t="s">
        <v>826</v>
      </c>
      <c r="D80" t="s">
        <v>826</v>
      </c>
      <c r="E80" t="s">
        <v>111</v>
      </c>
      <c r="F80" t="s">
        <v>22</v>
      </c>
      <c r="G80" t="s">
        <v>113</v>
      </c>
      <c r="H80" t="s">
        <v>114</v>
      </c>
      <c r="I80" t="s">
        <v>28</v>
      </c>
      <c r="J80" t="s">
        <v>19</v>
      </c>
      <c r="K80" t="s">
        <v>796</v>
      </c>
      <c r="L80" t="s">
        <v>21</v>
      </c>
      <c r="M80" t="s">
        <v>22</v>
      </c>
      <c r="O80" s="1" t="str">
        <f t="shared" si="65"/>
        <v xml:space="preserve">  </v>
      </c>
      <c r="P80" s="1" t="str">
        <f t="shared" si="66"/>
        <v xml:space="preserve">  </v>
      </c>
      <c r="Q80" s="1" t="str">
        <f t="shared" si="66"/>
        <v xml:space="preserve">                        </v>
      </c>
      <c r="R80" s="1" t="str">
        <f t="shared" si="66"/>
        <v xml:space="preserve">                        </v>
      </c>
      <c r="S80" s="1" t="str">
        <f t="shared" si="66"/>
        <v xml:space="preserve">                 </v>
      </c>
      <c r="T80" s="1" t="str">
        <f t="shared" si="66"/>
        <v xml:space="preserve">  </v>
      </c>
      <c r="U80" s="1" t="str">
        <f t="shared" si="66"/>
        <v xml:space="preserve">      </v>
      </c>
      <c r="V80" s="1" t="str">
        <f t="shared" si="66"/>
        <v xml:space="preserve">        </v>
      </c>
      <c r="W80" s="1" t="str">
        <f t="shared" si="66"/>
        <v xml:space="preserve">  </v>
      </c>
      <c r="X80" s="1" t="str">
        <f t="shared" si="66"/>
        <v xml:space="preserve">  </v>
      </c>
      <c r="Y80" s="1" t="str">
        <f t="shared" si="66"/>
        <v xml:space="preserve">  </v>
      </c>
      <c r="Z80" s="1" t="str">
        <f t="shared" si="66"/>
        <v xml:space="preserve">  </v>
      </c>
      <c r="AA80" s="1" t="str">
        <f t="shared" si="66"/>
        <v xml:space="preserve">  </v>
      </c>
      <c r="AC80" s="1" t="str">
        <f t="shared" si="67"/>
        <v xml:space="preserve">"Data": "hm14"  </v>
      </c>
      <c r="AD80" s="1" t="str">
        <f t="shared" si="68"/>
        <v xml:space="preserve">"ID": "SOE.Q.E356.na"  </v>
      </c>
      <c r="AE80" s="1" t="str">
        <f t="shared" si="69"/>
        <v xml:space="preserve">"Name": "Official Cash Rate (OCR) - 10 year average"                        </v>
      </c>
      <c r="AF80" s="1" t="str">
        <f t="shared" si="70"/>
        <v xml:space="preserve">"Class_1": "Official Cash Rate (OCR) - 10 year average"                        </v>
      </c>
      <c r="AG80" s="1" t="str">
        <f t="shared" si="71"/>
        <v xml:space="preserve">"Class_2": "Official Cash Rate (OCR)"                 </v>
      </c>
      <c r="AH80" s="1" t="str">
        <f t="shared" si="72"/>
        <v xml:space="preserve">"Class_3": "NA"  </v>
      </c>
      <c r="AI80" s="1" t="str">
        <f t="shared" si="73"/>
        <v xml:space="preserve">"Unit": "%pa"      </v>
      </c>
      <c r="AJ80" s="1" t="str">
        <f t="shared" si="74"/>
        <v xml:space="preserve">"Dim": "%"        </v>
      </c>
      <c r="AK80" s="1" t="str">
        <f t="shared" si="75"/>
        <v xml:space="preserve">"Tick": ".2f"  </v>
      </c>
      <c r="AL80" s="1" t="str">
        <f t="shared" si="76"/>
        <v xml:space="preserve">"Palette": "qual"  </v>
      </c>
      <c r="AM80" s="1" t="str">
        <f t="shared" si="77"/>
        <v xml:space="preserve">"ColourKey": "navyspread"  </v>
      </c>
      <c r="AN80" s="1" t="str">
        <f t="shared" si="78"/>
        <v xml:space="preserve">"Style": "Line"  </v>
      </c>
      <c r="AO80" s="1" t="str">
        <f t="shared" si="79"/>
        <v xml:space="preserve">"Prefix": "NA"  </v>
      </c>
      <c r="AQ80" s="1" t="str">
        <f t="shared" si="80"/>
        <v>{ "Data": "hm14"  , "ID": "SOE.Q.E356.na"  , "Name": "Official Cash Rate (OCR) - 10 year average"                        , "Class_1": "Official Cash Rate (OCR) - 10 year average"                        , "Class_2": "Official Cash Rate (OCR)"                 , "Class_3": "NA"  , "Unit": "%pa"      , "Dim": "%"        , "Tick": ".2f"  , "Palette": "qual"  , "ColourKey": "navyspread"  , "Style": "Line"  , "Prefix": "NA"   },</v>
      </c>
    </row>
    <row r="81" spans="1:43" x14ac:dyDescent="0.3">
      <c r="A81" t="s">
        <v>802</v>
      </c>
      <c r="B81" t="s">
        <v>827</v>
      </c>
      <c r="C81" t="s">
        <v>828</v>
      </c>
      <c r="D81" t="s">
        <v>828</v>
      </c>
      <c r="E81" t="s">
        <v>829</v>
      </c>
      <c r="F81" t="s">
        <v>22</v>
      </c>
      <c r="G81" t="s">
        <v>113</v>
      </c>
      <c r="H81" t="s">
        <v>114</v>
      </c>
      <c r="I81" t="s">
        <v>28</v>
      </c>
      <c r="J81" t="s">
        <v>19</v>
      </c>
      <c r="K81" t="s">
        <v>796</v>
      </c>
      <c r="L81" t="s">
        <v>21</v>
      </c>
      <c r="M81" t="s">
        <v>22</v>
      </c>
      <c r="O81" s="1" t="str">
        <f t="shared" si="65"/>
        <v xml:space="preserve">  </v>
      </c>
      <c r="P81" s="1" t="str">
        <f t="shared" si="66"/>
        <v xml:space="preserve">  </v>
      </c>
      <c r="Q81" s="1" t="str">
        <f t="shared" si="66"/>
        <v xml:space="preserve">           </v>
      </c>
      <c r="R81" s="1" t="str">
        <f t="shared" si="66"/>
        <v xml:space="preserve">           </v>
      </c>
      <c r="S81" s="1" t="str">
        <f t="shared" si="66"/>
        <v xml:space="preserve">           </v>
      </c>
      <c r="T81" s="1" t="str">
        <f t="shared" si="66"/>
        <v xml:space="preserve">  </v>
      </c>
      <c r="U81" s="1" t="str">
        <f t="shared" si="66"/>
        <v xml:space="preserve">      </v>
      </c>
      <c r="V81" s="1" t="str">
        <f t="shared" si="66"/>
        <v xml:space="preserve">        </v>
      </c>
      <c r="W81" s="1" t="str">
        <f t="shared" si="66"/>
        <v xml:space="preserve">  </v>
      </c>
      <c r="X81" s="1" t="str">
        <f t="shared" si="66"/>
        <v xml:space="preserve">  </v>
      </c>
      <c r="Y81" s="1" t="str">
        <f t="shared" si="66"/>
        <v xml:space="preserve">  </v>
      </c>
      <c r="Z81" s="1" t="str">
        <f t="shared" si="66"/>
        <v xml:space="preserve">  </v>
      </c>
      <c r="AA81" s="1" t="str">
        <f t="shared" si="66"/>
        <v xml:space="preserve">  </v>
      </c>
      <c r="AC81" s="1" t="str">
        <f t="shared" si="67"/>
        <v xml:space="preserve">"Data": "hm14"  </v>
      </c>
      <c r="AD81" s="1" t="str">
        <f t="shared" si="68"/>
        <v xml:space="preserve">"ID": "SOE.Q.E310.na"  </v>
      </c>
      <c r="AE81" s="1" t="str">
        <f t="shared" si="69"/>
        <v xml:space="preserve">"Name": "10 year government bond yields - End of current quarter"           </v>
      </c>
      <c r="AF81" s="1" t="str">
        <f t="shared" si="70"/>
        <v xml:space="preserve">"Class_1": "10 year government bond yields - End of current quarter"           </v>
      </c>
      <c r="AG81" s="1" t="str">
        <f t="shared" si="71"/>
        <v xml:space="preserve">"Class_2": "10 year government bond yields"           </v>
      </c>
      <c r="AH81" s="1" t="str">
        <f t="shared" si="72"/>
        <v xml:space="preserve">"Class_3": "NA"  </v>
      </c>
      <c r="AI81" s="1" t="str">
        <f t="shared" si="73"/>
        <v xml:space="preserve">"Unit": "%pa"      </v>
      </c>
      <c r="AJ81" s="1" t="str">
        <f t="shared" si="74"/>
        <v xml:space="preserve">"Dim": "%"        </v>
      </c>
      <c r="AK81" s="1" t="str">
        <f t="shared" si="75"/>
        <v xml:space="preserve">"Tick": ".2f"  </v>
      </c>
      <c r="AL81" s="1" t="str">
        <f t="shared" si="76"/>
        <v xml:space="preserve">"Palette": "qual"  </v>
      </c>
      <c r="AM81" s="1" t="str">
        <f t="shared" si="77"/>
        <v xml:space="preserve">"ColourKey": "navyspread"  </v>
      </c>
      <c r="AN81" s="1" t="str">
        <f t="shared" si="78"/>
        <v xml:space="preserve">"Style": "Line"  </v>
      </c>
      <c r="AO81" s="1" t="str">
        <f t="shared" si="79"/>
        <v xml:space="preserve">"Prefix": "NA"  </v>
      </c>
      <c r="AQ81" s="1" t="str">
        <f t="shared" si="80"/>
        <v>{ "Data": "hm14"  , "ID": "SOE.Q.E310.na"  , "Name": "10 year government bond yields - End of current quarter"           , "Class_1": "10 year government bond yields - End of current quarter"           , "Class_2": "10 year government bond yields"           , "Class_3": "NA"  , "Unit": "%pa"      , "Dim": "%"        , "Tick": ".2f"  , "Palette": "qual"  , "ColourKey": "navyspread"  , "Style": "Line"  , "Prefix": "NA"   },</v>
      </c>
    </row>
    <row r="82" spans="1:43" x14ac:dyDescent="0.3">
      <c r="A82" t="s">
        <v>802</v>
      </c>
      <c r="B82" t="s">
        <v>830</v>
      </c>
      <c r="C82" t="s">
        <v>831</v>
      </c>
      <c r="D82" t="s">
        <v>831</v>
      </c>
      <c r="E82" t="s">
        <v>829</v>
      </c>
      <c r="F82" t="s">
        <v>22</v>
      </c>
      <c r="G82" t="s">
        <v>113</v>
      </c>
      <c r="H82" t="s">
        <v>114</v>
      </c>
      <c r="I82" t="s">
        <v>28</v>
      </c>
      <c r="J82" t="s">
        <v>19</v>
      </c>
      <c r="K82" t="s">
        <v>796</v>
      </c>
      <c r="L82" t="s">
        <v>21</v>
      </c>
      <c r="M82" t="s">
        <v>22</v>
      </c>
      <c r="O82" s="1" t="str">
        <f t="shared" si="65"/>
        <v xml:space="preserve">  </v>
      </c>
      <c r="P82" s="1" t="str">
        <f t="shared" si="66"/>
        <v xml:space="preserve">  </v>
      </c>
      <c r="Q82" s="1" t="str">
        <f t="shared" si="66"/>
        <v xml:space="preserve">                       </v>
      </c>
      <c r="R82" s="1" t="str">
        <f t="shared" si="66"/>
        <v xml:space="preserve">                       </v>
      </c>
      <c r="S82" s="1" t="str">
        <f t="shared" si="66"/>
        <v xml:space="preserve">           </v>
      </c>
      <c r="T82" s="1" t="str">
        <f t="shared" si="66"/>
        <v xml:space="preserve">  </v>
      </c>
      <c r="U82" s="1" t="str">
        <f t="shared" si="66"/>
        <v xml:space="preserve">      </v>
      </c>
      <c r="V82" s="1" t="str">
        <f t="shared" si="66"/>
        <v xml:space="preserve">        </v>
      </c>
      <c r="W82" s="1" t="str">
        <f t="shared" si="66"/>
        <v xml:space="preserve">  </v>
      </c>
      <c r="X82" s="1" t="str">
        <f t="shared" si="66"/>
        <v xml:space="preserve">  </v>
      </c>
      <c r="Y82" s="1" t="str">
        <f t="shared" si="66"/>
        <v xml:space="preserve">  </v>
      </c>
      <c r="Z82" s="1" t="str">
        <f t="shared" si="66"/>
        <v xml:space="preserve">  </v>
      </c>
      <c r="AA82" s="1" t="str">
        <f t="shared" si="66"/>
        <v xml:space="preserve">  </v>
      </c>
      <c r="AC82" s="1" t="str">
        <f t="shared" si="67"/>
        <v xml:space="preserve">"Data": "hm14"  </v>
      </c>
      <c r="AD82" s="1" t="str">
        <f t="shared" si="68"/>
        <v xml:space="preserve">"ID": "SOE.Q.E311.na"  </v>
      </c>
      <c r="AE82" s="1" t="str">
        <f t="shared" si="69"/>
        <v xml:space="preserve">"Name": "10 year government bond yields - 1 year out"                       </v>
      </c>
      <c r="AF82" s="1" t="str">
        <f t="shared" si="70"/>
        <v xml:space="preserve">"Class_1": "10 year government bond yields - 1 year out"                       </v>
      </c>
      <c r="AG82" s="1" t="str">
        <f t="shared" si="71"/>
        <v xml:space="preserve">"Class_2": "10 year government bond yields"           </v>
      </c>
      <c r="AH82" s="1" t="str">
        <f t="shared" si="72"/>
        <v xml:space="preserve">"Class_3": "NA"  </v>
      </c>
      <c r="AI82" s="1" t="str">
        <f t="shared" si="73"/>
        <v xml:space="preserve">"Unit": "%pa"      </v>
      </c>
      <c r="AJ82" s="1" t="str">
        <f t="shared" si="74"/>
        <v xml:space="preserve">"Dim": "%"        </v>
      </c>
      <c r="AK82" s="1" t="str">
        <f t="shared" si="75"/>
        <v xml:space="preserve">"Tick": ".2f"  </v>
      </c>
      <c r="AL82" s="1" t="str">
        <f t="shared" si="76"/>
        <v xml:space="preserve">"Palette": "qual"  </v>
      </c>
      <c r="AM82" s="1" t="str">
        <f t="shared" si="77"/>
        <v xml:space="preserve">"ColourKey": "navyspread"  </v>
      </c>
      <c r="AN82" s="1" t="str">
        <f t="shared" si="78"/>
        <v xml:space="preserve">"Style": "Line"  </v>
      </c>
      <c r="AO82" s="1" t="str">
        <f t="shared" si="79"/>
        <v xml:space="preserve">"Prefix": "NA"  </v>
      </c>
      <c r="AQ82" s="1" t="str">
        <f t="shared" si="80"/>
        <v>{ "Data": "hm14"  , "ID": "SOE.Q.E311.na"  , "Name": "10 year government bond yields - 1 year out"                       , "Class_1": "10 year government bond yields - 1 year out"                       , "Class_2": "10 year government bond yields"           , "Class_3": "NA"  , "Unit": "%pa"      , "Dim": "%"        , "Tick": ".2f"  , "Palette": "qual"  , "ColourKey": "navyspread"  , "Style": "Line"  , "Prefix": "NA"   },</v>
      </c>
    </row>
    <row r="83" spans="1:43" x14ac:dyDescent="0.3">
      <c r="A83" t="s">
        <v>802</v>
      </c>
      <c r="B83" t="s">
        <v>832</v>
      </c>
      <c r="C83" t="s">
        <v>833</v>
      </c>
      <c r="D83" t="s">
        <v>833</v>
      </c>
      <c r="E83" t="s">
        <v>834</v>
      </c>
      <c r="F83" t="s">
        <v>22</v>
      </c>
      <c r="G83" t="s">
        <v>114</v>
      </c>
      <c r="H83" t="s">
        <v>114</v>
      </c>
      <c r="I83" t="s">
        <v>28</v>
      </c>
      <c r="J83" t="s">
        <v>19</v>
      </c>
      <c r="K83" t="s">
        <v>796</v>
      </c>
      <c r="L83" t="s">
        <v>21</v>
      </c>
      <c r="M83" t="s">
        <v>22</v>
      </c>
      <c r="O83" s="1" t="str">
        <f t="shared" si="65"/>
        <v xml:space="preserve">  </v>
      </c>
      <c r="P83" s="1" t="str">
        <f t="shared" si="66"/>
        <v xml:space="preserve">  </v>
      </c>
      <c r="Q83" s="1" t="str">
        <f t="shared" si="66"/>
        <v xml:space="preserve">                                    </v>
      </c>
      <c r="R83" s="1" t="str">
        <f t="shared" si="66"/>
        <v xml:space="preserve">                                    </v>
      </c>
      <c r="S83" s="1" t="str">
        <f t="shared" si="66"/>
        <v xml:space="preserve">                        </v>
      </c>
      <c r="T83" s="1" t="str">
        <f t="shared" si="66"/>
        <v xml:space="preserve">  </v>
      </c>
      <c r="U83" s="1" t="str">
        <f t="shared" si="66"/>
        <v xml:space="preserve">        </v>
      </c>
      <c r="V83" s="1" t="str">
        <f t="shared" si="66"/>
        <v xml:space="preserve">        </v>
      </c>
      <c r="W83" s="1" t="str">
        <f t="shared" si="66"/>
        <v xml:space="preserve">  </v>
      </c>
      <c r="X83" s="1" t="str">
        <f t="shared" si="66"/>
        <v xml:space="preserve">  </v>
      </c>
      <c r="Y83" s="1" t="str">
        <f t="shared" si="66"/>
        <v xml:space="preserve">  </v>
      </c>
      <c r="Z83" s="1" t="str">
        <f t="shared" si="66"/>
        <v xml:space="preserve">  </v>
      </c>
      <c r="AA83" s="1" t="str">
        <f t="shared" si="66"/>
        <v xml:space="preserve">  </v>
      </c>
      <c r="AC83" s="1" t="str">
        <f t="shared" si="67"/>
        <v xml:space="preserve">"Data": "hm14"  </v>
      </c>
      <c r="AD83" s="1" t="str">
        <f t="shared" si="68"/>
        <v xml:space="preserve">"ID": "SOE.Q.E402.ra"  </v>
      </c>
      <c r="AE83" s="1" t="str">
        <f t="shared" si="69"/>
        <v xml:space="preserve">"Name": "Annual GDP growth - 1 year out"                                    </v>
      </c>
      <c r="AF83" s="1" t="str">
        <f t="shared" si="70"/>
        <v xml:space="preserve">"Class_1": "Annual GDP growth - 1 year out"                                    </v>
      </c>
      <c r="AG83" s="1" t="str">
        <f t="shared" si="71"/>
        <v xml:space="preserve">"Class_2": "Annual GDP growth"                        </v>
      </c>
      <c r="AH83" s="1" t="str">
        <f t="shared" si="72"/>
        <v xml:space="preserve">"Class_3": "NA"  </v>
      </c>
      <c r="AI83" s="1" t="str">
        <f t="shared" si="73"/>
        <v xml:space="preserve">"Unit": "%"        </v>
      </c>
      <c r="AJ83" s="1" t="str">
        <f t="shared" si="74"/>
        <v xml:space="preserve">"Dim": "%"        </v>
      </c>
      <c r="AK83" s="1" t="str">
        <f t="shared" si="75"/>
        <v xml:space="preserve">"Tick": ".2f"  </v>
      </c>
      <c r="AL83" s="1" t="str">
        <f t="shared" si="76"/>
        <v xml:space="preserve">"Palette": "qual"  </v>
      </c>
      <c r="AM83" s="1" t="str">
        <f t="shared" si="77"/>
        <v xml:space="preserve">"ColourKey": "navyspread"  </v>
      </c>
      <c r="AN83" s="1" t="str">
        <f t="shared" si="78"/>
        <v xml:space="preserve">"Style": "Line"  </v>
      </c>
      <c r="AO83" s="1" t="str">
        <f t="shared" si="79"/>
        <v xml:space="preserve">"Prefix": "NA"  </v>
      </c>
      <c r="AQ83" s="1" t="str">
        <f t="shared" si="80"/>
        <v>{ "Data": "hm14"  , "ID": "SOE.Q.E402.ra"  , "Name": "Annual GDP growth - 1 year out"                                    , "Class_1": "Annual GDP growth - 1 year out"                                    , "Class_2": "Annual GDP growth"                        , "Class_3": "NA"  , "Unit": "%"        , "Dim": "%"        , "Tick": ".2f"  , "Palette": "qual"  , "ColourKey": "navyspread"  , "Style": "Line"  , "Prefix": "NA"   },</v>
      </c>
    </row>
    <row r="84" spans="1:43" x14ac:dyDescent="0.3">
      <c r="A84" t="s">
        <v>802</v>
      </c>
      <c r="B84" t="s">
        <v>835</v>
      </c>
      <c r="C84" t="s">
        <v>836</v>
      </c>
      <c r="D84" t="s">
        <v>836</v>
      </c>
      <c r="E84" t="s">
        <v>834</v>
      </c>
      <c r="F84" t="s">
        <v>22</v>
      </c>
      <c r="G84" t="s">
        <v>114</v>
      </c>
      <c r="H84" t="s">
        <v>114</v>
      </c>
      <c r="I84" t="s">
        <v>28</v>
      </c>
      <c r="J84" t="s">
        <v>19</v>
      </c>
      <c r="K84" t="s">
        <v>796</v>
      </c>
      <c r="L84" t="s">
        <v>21</v>
      </c>
      <c r="M84" t="s">
        <v>22</v>
      </c>
      <c r="O84" s="1" t="str">
        <f t="shared" si="65"/>
        <v xml:space="preserve">  </v>
      </c>
      <c r="P84" s="1" t="str">
        <f t="shared" si="66"/>
        <v xml:space="preserve">  </v>
      </c>
      <c r="Q84" s="1" t="str">
        <f t="shared" si="66"/>
        <v xml:space="preserve">                                   </v>
      </c>
      <c r="R84" s="1" t="str">
        <f t="shared" si="66"/>
        <v xml:space="preserve">                                   </v>
      </c>
      <c r="S84" s="1" t="str">
        <f t="shared" si="66"/>
        <v xml:space="preserve">                        </v>
      </c>
      <c r="T84" s="1" t="str">
        <f t="shared" si="66"/>
        <v xml:space="preserve">  </v>
      </c>
      <c r="U84" s="1" t="str">
        <f t="shared" si="66"/>
        <v xml:space="preserve">        </v>
      </c>
      <c r="V84" s="1" t="str">
        <f t="shared" si="66"/>
        <v xml:space="preserve">        </v>
      </c>
      <c r="W84" s="1" t="str">
        <f t="shared" si="66"/>
        <v xml:space="preserve">  </v>
      </c>
      <c r="X84" s="1" t="str">
        <f t="shared" si="66"/>
        <v xml:space="preserve">  </v>
      </c>
      <c r="Y84" s="1" t="str">
        <f t="shared" si="66"/>
        <v xml:space="preserve">  </v>
      </c>
      <c r="Z84" s="1" t="str">
        <f t="shared" si="66"/>
        <v xml:space="preserve">  </v>
      </c>
      <c r="AA84" s="1" t="str">
        <f t="shared" si="66"/>
        <v xml:space="preserve">  </v>
      </c>
      <c r="AC84" s="1" t="str">
        <f t="shared" si="67"/>
        <v xml:space="preserve">"Data": "hm14"  </v>
      </c>
      <c r="AD84" s="1" t="str">
        <f t="shared" si="68"/>
        <v xml:space="preserve">"ID": "SOE.Q.E403.ra"  </v>
      </c>
      <c r="AE84" s="1" t="str">
        <f t="shared" si="69"/>
        <v xml:space="preserve">"Name": "Annual GDP growth - 2 years out"                                   </v>
      </c>
      <c r="AF84" s="1" t="str">
        <f t="shared" si="70"/>
        <v xml:space="preserve">"Class_1": "Annual GDP growth - 2 years out"                                   </v>
      </c>
      <c r="AG84" s="1" t="str">
        <f t="shared" si="71"/>
        <v xml:space="preserve">"Class_2": "Annual GDP growth"                        </v>
      </c>
      <c r="AH84" s="1" t="str">
        <f t="shared" si="72"/>
        <v xml:space="preserve">"Class_3": "NA"  </v>
      </c>
      <c r="AI84" s="1" t="str">
        <f t="shared" si="73"/>
        <v xml:space="preserve">"Unit": "%"        </v>
      </c>
      <c r="AJ84" s="1" t="str">
        <f t="shared" si="74"/>
        <v xml:space="preserve">"Dim": "%"        </v>
      </c>
      <c r="AK84" s="1" t="str">
        <f t="shared" si="75"/>
        <v xml:space="preserve">"Tick": ".2f"  </v>
      </c>
      <c r="AL84" s="1" t="str">
        <f t="shared" si="76"/>
        <v xml:space="preserve">"Palette": "qual"  </v>
      </c>
      <c r="AM84" s="1" t="str">
        <f t="shared" si="77"/>
        <v xml:space="preserve">"ColourKey": "navyspread"  </v>
      </c>
      <c r="AN84" s="1" t="str">
        <f t="shared" si="78"/>
        <v xml:space="preserve">"Style": "Line"  </v>
      </c>
      <c r="AO84" s="1" t="str">
        <f t="shared" si="79"/>
        <v xml:space="preserve">"Prefix": "NA"  </v>
      </c>
      <c r="AQ84" s="1" t="str">
        <f t="shared" si="80"/>
        <v>{ "Data": "hm14"  , "ID": "SOE.Q.E403.ra"  , "Name": "Annual GDP growth - 2 years out"                                   , "Class_1": "Annual GDP growth - 2 years out"                                   , "Class_2": "Annual GDP growth"                        , "Class_3": "NA"  , "Unit": "%"        , "Dim": "%"        , "Tick": ".2f"  , "Palette": "qual"  , "ColourKey": "navyspread"  , "Style": "Line"  , "Prefix": "NA"   },</v>
      </c>
    </row>
    <row r="85" spans="1:43" x14ac:dyDescent="0.3">
      <c r="A85" t="s">
        <v>802</v>
      </c>
      <c r="B85" t="s">
        <v>837</v>
      </c>
      <c r="C85" t="s">
        <v>838</v>
      </c>
      <c r="D85" t="s">
        <v>838</v>
      </c>
      <c r="E85" t="s">
        <v>839</v>
      </c>
      <c r="F85" t="s">
        <v>22</v>
      </c>
      <c r="G85" t="s">
        <v>114</v>
      </c>
      <c r="H85" t="s">
        <v>114</v>
      </c>
      <c r="I85" t="s">
        <v>28</v>
      </c>
      <c r="J85" t="s">
        <v>19</v>
      </c>
      <c r="K85" t="s">
        <v>796</v>
      </c>
      <c r="L85" t="s">
        <v>21</v>
      </c>
      <c r="M85" t="s">
        <v>22</v>
      </c>
      <c r="O85" s="1" t="str">
        <f t="shared" si="65"/>
        <v xml:space="preserve">  </v>
      </c>
      <c r="P85" s="1" t="str">
        <f t="shared" ref="P85:P94" si="81">REPT(" ",(B$95-LEN(B85)+2))</f>
        <v xml:space="preserve">  </v>
      </c>
      <c r="Q85" s="1" t="str">
        <f t="shared" ref="Q85:Q94" si="82">REPT(" ",(C$95-LEN(C85)+2))</f>
        <v xml:space="preserve">                            </v>
      </c>
      <c r="R85" s="1" t="str">
        <f t="shared" ref="R85:R94" si="83">REPT(" ",(D$95-LEN(D85)+2))</f>
        <v xml:space="preserve">                            </v>
      </c>
      <c r="S85" s="1" t="str">
        <f t="shared" ref="S85:S94" si="84">REPT(" ",(E$95-LEN(E85)+2))</f>
        <v xml:space="preserve">                </v>
      </c>
      <c r="T85" s="1" t="str">
        <f t="shared" ref="T85:T94" si="85">REPT(" ",(F$95-LEN(F85)+2))</f>
        <v xml:space="preserve">  </v>
      </c>
      <c r="U85" s="1" t="str">
        <f t="shared" ref="U85:U94" si="86">REPT(" ",(G$95-LEN(G85)+2))</f>
        <v xml:space="preserve">        </v>
      </c>
      <c r="V85" s="1" t="str">
        <f t="shared" ref="V85:V94" si="87">REPT(" ",(H$95-LEN(H85)+2))</f>
        <v xml:space="preserve">        </v>
      </c>
      <c r="W85" s="1" t="str">
        <f t="shared" ref="W85:W94" si="88">REPT(" ",(I$95-LEN(I85)+2))</f>
        <v xml:space="preserve">  </v>
      </c>
      <c r="X85" s="1" t="str">
        <f t="shared" ref="X85:X94" si="89">REPT(" ",(J$95-LEN(J85)+2))</f>
        <v xml:space="preserve">  </v>
      </c>
      <c r="Y85" s="1" t="str">
        <f t="shared" ref="Y85:Y94" si="90">REPT(" ",(K$95-LEN(K85)+2))</f>
        <v xml:space="preserve">  </v>
      </c>
      <c r="Z85" s="1" t="str">
        <f t="shared" ref="Z85:Z94" si="91">REPT(" ",(L$95-LEN(L85)+2))</f>
        <v xml:space="preserve">  </v>
      </c>
      <c r="AA85" s="1" t="str">
        <f t="shared" ref="AA85:AA94" si="92">REPT(" ",(M$95-LEN(M85)+2))</f>
        <v xml:space="preserve">  </v>
      </c>
      <c r="AC85" s="1" t="str">
        <f t="shared" si="67"/>
        <v xml:space="preserve">"Data": "hm14"  </v>
      </c>
      <c r="AD85" s="1" t="str">
        <f t="shared" si="68"/>
        <v xml:space="preserve">"ID": "SOE.Q.E460.na"  </v>
      </c>
      <c r="AE85" s="1" t="str">
        <f t="shared" si="69"/>
        <v xml:space="preserve">"Name": "Annual hourly wage growth - 1 year out"                            </v>
      </c>
      <c r="AF85" s="1" t="str">
        <f t="shared" si="70"/>
        <v xml:space="preserve">"Class_1": "Annual hourly wage growth - 1 year out"                            </v>
      </c>
      <c r="AG85" s="1" t="str">
        <f t="shared" si="71"/>
        <v xml:space="preserve">"Class_2": "Annual hourly wage growth"                </v>
      </c>
      <c r="AH85" s="1" t="str">
        <f t="shared" si="72"/>
        <v xml:space="preserve">"Class_3": "NA"  </v>
      </c>
      <c r="AI85" s="1" t="str">
        <f t="shared" si="73"/>
        <v xml:space="preserve">"Unit": "%"        </v>
      </c>
      <c r="AJ85" s="1" t="str">
        <f t="shared" si="74"/>
        <v xml:space="preserve">"Dim": "%"        </v>
      </c>
      <c r="AK85" s="1" t="str">
        <f t="shared" si="75"/>
        <v xml:space="preserve">"Tick": ".2f"  </v>
      </c>
      <c r="AL85" s="1" t="str">
        <f t="shared" si="76"/>
        <v xml:space="preserve">"Palette": "qual"  </v>
      </c>
      <c r="AM85" s="1" t="str">
        <f t="shared" si="77"/>
        <v xml:space="preserve">"ColourKey": "navyspread"  </v>
      </c>
      <c r="AN85" s="1" t="str">
        <f t="shared" si="78"/>
        <v xml:space="preserve">"Style": "Line"  </v>
      </c>
      <c r="AO85" s="1" t="str">
        <f t="shared" si="79"/>
        <v xml:space="preserve">"Prefix": "NA"  </v>
      </c>
      <c r="AQ85" s="1" t="str">
        <f t="shared" si="80"/>
        <v>{ "Data": "hm14"  , "ID": "SOE.Q.E460.na"  , "Name": "Annual hourly wage growth - 1 year out"                            , "Class_1": "Annual hourly wage growth - 1 year out"                            , "Class_2": "Annual hourly wage growth"                , "Class_3": "NA"  , "Unit": "%"        , "Dim": "%"        , "Tick": ".2f"  , "Palette": "qual"  , "ColourKey": "navyspread"  , "Style": "Line"  , "Prefix": "NA"   },</v>
      </c>
    </row>
    <row r="86" spans="1:43" x14ac:dyDescent="0.3">
      <c r="A86" t="s">
        <v>802</v>
      </c>
      <c r="B86" t="s">
        <v>840</v>
      </c>
      <c r="C86" t="s">
        <v>841</v>
      </c>
      <c r="D86" t="s">
        <v>841</v>
      </c>
      <c r="E86" t="s">
        <v>839</v>
      </c>
      <c r="F86" t="s">
        <v>22</v>
      </c>
      <c r="G86" t="s">
        <v>114</v>
      </c>
      <c r="H86" t="s">
        <v>114</v>
      </c>
      <c r="I86" t="s">
        <v>28</v>
      </c>
      <c r="J86" t="s">
        <v>19</v>
      </c>
      <c r="K86" t="s">
        <v>796</v>
      </c>
      <c r="L86" t="s">
        <v>21</v>
      </c>
      <c r="M86" t="s">
        <v>22</v>
      </c>
      <c r="O86" s="1" t="str">
        <f t="shared" si="65"/>
        <v xml:space="preserve">  </v>
      </c>
      <c r="P86" s="1" t="str">
        <f t="shared" si="81"/>
        <v xml:space="preserve">  </v>
      </c>
      <c r="Q86" s="1" t="str">
        <f t="shared" si="82"/>
        <v xml:space="preserve">                           </v>
      </c>
      <c r="R86" s="1" t="str">
        <f t="shared" si="83"/>
        <v xml:space="preserve">                           </v>
      </c>
      <c r="S86" s="1" t="str">
        <f t="shared" si="84"/>
        <v xml:space="preserve">                </v>
      </c>
      <c r="T86" s="1" t="str">
        <f t="shared" si="85"/>
        <v xml:space="preserve">  </v>
      </c>
      <c r="U86" s="1" t="str">
        <f t="shared" si="86"/>
        <v xml:space="preserve">        </v>
      </c>
      <c r="V86" s="1" t="str">
        <f t="shared" si="87"/>
        <v xml:space="preserve">        </v>
      </c>
      <c r="W86" s="1" t="str">
        <f t="shared" si="88"/>
        <v xml:space="preserve">  </v>
      </c>
      <c r="X86" s="1" t="str">
        <f t="shared" si="89"/>
        <v xml:space="preserve">  </v>
      </c>
      <c r="Y86" s="1" t="str">
        <f t="shared" si="90"/>
        <v xml:space="preserve">  </v>
      </c>
      <c r="Z86" s="1" t="str">
        <f t="shared" si="91"/>
        <v xml:space="preserve">  </v>
      </c>
      <c r="AA86" s="1" t="str">
        <f t="shared" si="92"/>
        <v xml:space="preserve">  </v>
      </c>
      <c r="AC86" s="1" t="str">
        <f t="shared" si="67"/>
        <v xml:space="preserve">"Data": "hm14"  </v>
      </c>
      <c r="AD86" s="1" t="str">
        <f t="shared" si="68"/>
        <v xml:space="preserve">"ID": "SOE.Q.E461.na"  </v>
      </c>
      <c r="AE86" s="1" t="str">
        <f t="shared" si="69"/>
        <v xml:space="preserve">"Name": "Annual hourly wage growth - 2 years out"                           </v>
      </c>
      <c r="AF86" s="1" t="str">
        <f t="shared" si="70"/>
        <v xml:space="preserve">"Class_1": "Annual hourly wage growth - 2 years out"                           </v>
      </c>
      <c r="AG86" s="1" t="str">
        <f t="shared" si="71"/>
        <v xml:space="preserve">"Class_2": "Annual hourly wage growth"                </v>
      </c>
      <c r="AH86" s="1" t="str">
        <f t="shared" si="72"/>
        <v xml:space="preserve">"Class_3": "NA"  </v>
      </c>
      <c r="AI86" s="1" t="str">
        <f t="shared" si="73"/>
        <v xml:space="preserve">"Unit": "%"        </v>
      </c>
      <c r="AJ86" s="1" t="str">
        <f t="shared" si="74"/>
        <v xml:space="preserve">"Dim": "%"        </v>
      </c>
      <c r="AK86" s="1" t="str">
        <f t="shared" si="75"/>
        <v xml:space="preserve">"Tick": ".2f"  </v>
      </c>
      <c r="AL86" s="1" t="str">
        <f t="shared" si="76"/>
        <v xml:space="preserve">"Palette": "qual"  </v>
      </c>
      <c r="AM86" s="1" t="str">
        <f t="shared" si="77"/>
        <v xml:space="preserve">"ColourKey": "navyspread"  </v>
      </c>
      <c r="AN86" s="1" t="str">
        <f t="shared" si="78"/>
        <v xml:space="preserve">"Style": "Line"  </v>
      </c>
      <c r="AO86" s="1" t="str">
        <f t="shared" si="79"/>
        <v xml:space="preserve">"Prefix": "NA"  </v>
      </c>
      <c r="AQ86" s="1" t="str">
        <f t="shared" si="80"/>
        <v>{ "Data": "hm14"  , "ID": "SOE.Q.E461.na"  , "Name": "Annual hourly wage growth - 2 years out"                           , "Class_1": "Annual hourly wage growth - 2 years out"                           , "Class_2": "Annual hourly wage growth"                , "Class_3": "NA"  , "Unit": "%"        , "Dim": "%"        , "Tick": ".2f"  , "Palette": "qual"  , "ColourKey": "navyspread"  , "Style": "Line"  , "Prefix": "NA"   },</v>
      </c>
    </row>
    <row r="87" spans="1:43" x14ac:dyDescent="0.3">
      <c r="A87" t="s">
        <v>802</v>
      </c>
      <c r="B87" t="s">
        <v>842</v>
      </c>
      <c r="C87" t="s">
        <v>843</v>
      </c>
      <c r="D87" t="s">
        <v>843</v>
      </c>
      <c r="E87" t="s">
        <v>724</v>
      </c>
      <c r="F87" t="s">
        <v>22</v>
      </c>
      <c r="G87" t="s">
        <v>114</v>
      </c>
      <c r="H87" t="s">
        <v>720</v>
      </c>
      <c r="I87" t="s">
        <v>28</v>
      </c>
      <c r="J87" t="s">
        <v>19</v>
      </c>
      <c r="K87" t="s">
        <v>796</v>
      </c>
      <c r="L87" t="s">
        <v>21</v>
      </c>
      <c r="M87" t="s">
        <v>22</v>
      </c>
      <c r="O87" s="1" t="str">
        <f t="shared" si="65"/>
        <v xml:space="preserve">  </v>
      </c>
      <c r="P87" s="1" t="str">
        <f t="shared" si="81"/>
        <v xml:space="preserve">  </v>
      </c>
      <c r="Q87" s="1" t="str">
        <f t="shared" si="82"/>
        <v xml:space="preserve">                                    </v>
      </c>
      <c r="R87" s="1" t="str">
        <f t="shared" si="83"/>
        <v xml:space="preserve">                                    </v>
      </c>
      <c r="S87" s="1" t="str">
        <f t="shared" si="84"/>
        <v xml:space="preserve">                        </v>
      </c>
      <c r="T87" s="1" t="str">
        <f t="shared" si="85"/>
        <v xml:space="preserve">  </v>
      </c>
      <c r="U87" s="1" t="str">
        <f t="shared" si="86"/>
        <v xml:space="preserve">        </v>
      </c>
      <c r="V87" s="1" t="str">
        <f t="shared" si="87"/>
        <v xml:space="preserve">  </v>
      </c>
      <c r="W87" s="1" t="str">
        <f t="shared" si="88"/>
        <v xml:space="preserve">  </v>
      </c>
      <c r="X87" s="1" t="str">
        <f t="shared" si="89"/>
        <v xml:space="preserve">  </v>
      </c>
      <c r="Y87" s="1" t="str">
        <f t="shared" si="90"/>
        <v xml:space="preserve">  </v>
      </c>
      <c r="Z87" s="1" t="str">
        <f t="shared" si="91"/>
        <v xml:space="preserve">  </v>
      </c>
      <c r="AA87" s="1" t="str">
        <f t="shared" si="92"/>
        <v xml:space="preserve">  </v>
      </c>
      <c r="AC87" s="1" t="str">
        <f t="shared" si="67"/>
        <v xml:space="preserve">"Data": "hm14"  </v>
      </c>
      <c r="AD87" s="1" t="str">
        <f t="shared" si="68"/>
        <v xml:space="preserve">"ID": "SOE.Q.E470.na"  </v>
      </c>
      <c r="AE87" s="1" t="str">
        <f t="shared" si="69"/>
        <v xml:space="preserve">"Name": "Unemployment rate - 1 year out"                                    </v>
      </c>
      <c r="AF87" s="1" t="str">
        <f t="shared" si="70"/>
        <v xml:space="preserve">"Class_1": "Unemployment rate - 1 year out"                                    </v>
      </c>
      <c r="AG87" s="1" t="str">
        <f t="shared" si="71"/>
        <v xml:space="preserve">"Class_2": "Unemployment rate"                        </v>
      </c>
      <c r="AH87" s="1" t="str">
        <f t="shared" si="72"/>
        <v xml:space="preserve">"Class_3": "NA"  </v>
      </c>
      <c r="AI87" s="1" t="str">
        <f t="shared" si="73"/>
        <v xml:space="preserve">"Unit": "%"        </v>
      </c>
      <c r="AJ87" s="1" t="str">
        <f t="shared" si="74"/>
        <v xml:space="preserve">"Dim": "Total %"  </v>
      </c>
      <c r="AK87" s="1" t="str">
        <f t="shared" si="75"/>
        <v xml:space="preserve">"Tick": ".2f"  </v>
      </c>
      <c r="AL87" s="1" t="str">
        <f t="shared" si="76"/>
        <v xml:space="preserve">"Palette": "qual"  </v>
      </c>
      <c r="AM87" s="1" t="str">
        <f t="shared" si="77"/>
        <v xml:space="preserve">"ColourKey": "navyspread"  </v>
      </c>
      <c r="AN87" s="1" t="str">
        <f t="shared" si="78"/>
        <v xml:space="preserve">"Style": "Line"  </v>
      </c>
      <c r="AO87" s="1" t="str">
        <f t="shared" si="79"/>
        <v xml:space="preserve">"Prefix": "NA"  </v>
      </c>
      <c r="AQ87" s="1" t="str">
        <f t="shared" si="80"/>
        <v>{ "Data": "hm14"  , "ID": "SOE.Q.E470.na"  , "Name": "Unemployment rate - 1 year out"                                    , "Class_1": "Unemployment rate - 1 year out"                                    , "Class_2": "Unemployment rate"                        , "Class_3": "NA"  , "Unit": "%"        , "Dim": "Total %"  , "Tick": ".2f"  , "Palette": "qual"  , "ColourKey": "navyspread"  , "Style": "Line"  , "Prefix": "NA"   },</v>
      </c>
    </row>
    <row r="88" spans="1:43" x14ac:dyDescent="0.3">
      <c r="A88" t="s">
        <v>802</v>
      </c>
      <c r="B88" t="s">
        <v>844</v>
      </c>
      <c r="C88" t="s">
        <v>845</v>
      </c>
      <c r="D88" t="s">
        <v>845</v>
      </c>
      <c r="E88" t="s">
        <v>724</v>
      </c>
      <c r="F88" t="s">
        <v>22</v>
      </c>
      <c r="G88" t="s">
        <v>114</v>
      </c>
      <c r="H88" t="s">
        <v>720</v>
      </c>
      <c r="I88" t="s">
        <v>28</v>
      </c>
      <c r="J88" t="s">
        <v>19</v>
      </c>
      <c r="K88" t="s">
        <v>796</v>
      </c>
      <c r="L88" t="s">
        <v>21</v>
      </c>
      <c r="M88" t="s">
        <v>22</v>
      </c>
      <c r="O88" s="1" t="str">
        <f t="shared" si="65"/>
        <v xml:space="preserve">  </v>
      </c>
      <c r="P88" s="1" t="str">
        <f t="shared" si="81"/>
        <v xml:space="preserve">  </v>
      </c>
      <c r="Q88" s="1" t="str">
        <f t="shared" si="82"/>
        <v xml:space="preserve">                                   </v>
      </c>
      <c r="R88" s="1" t="str">
        <f t="shared" si="83"/>
        <v xml:space="preserve">                                   </v>
      </c>
      <c r="S88" s="1" t="str">
        <f t="shared" si="84"/>
        <v xml:space="preserve">                        </v>
      </c>
      <c r="T88" s="1" t="str">
        <f t="shared" si="85"/>
        <v xml:space="preserve">  </v>
      </c>
      <c r="U88" s="1" t="str">
        <f t="shared" si="86"/>
        <v xml:space="preserve">        </v>
      </c>
      <c r="V88" s="1" t="str">
        <f t="shared" si="87"/>
        <v xml:space="preserve">  </v>
      </c>
      <c r="W88" s="1" t="str">
        <f t="shared" si="88"/>
        <v xml:space="preserve">  </v>
      </c>
      <c r="X88" s="1" t="str">
        <f t="shared" si="89"/>
        <v xml:space="preserve">  </v>
      </c>
      <c r="Y88" s="1" t="str">
        <f t="shared" si="90"/>
        <v xml:space="preserve">  </v>
      </c>
      <c r="Z88" s="1" t="str">
        <f t="shared" si="91"/>
        <v xml:space="preserve">  </v>
      </c>
      <c r="AA88" s="1" t="str">
        <f t="shared" si="92"/>
        <v xml:space="preserve">  </v>
      </c>
      <c r="AC88" s="1" t="str">
        <f t="shared" si="67"/>
        <v xml:space="preserve">"Data": "hm14"  </v>
      </c>
      <c r="AD88" s="1" t="str">
        <f t="shared" si="68"/>
        <v xml:space="preserve">"ID": "SOE.Q.E471.na"  </v>
      </c>
      <c r="AE88" s="1" t="str">
        <f t="shared" si="69"/>
        <v xml:space="preserve">"Name": "Unemployment rate - 2 years out"                                   </v>
      </c>
      <c r="AF88" s="1" t="str">
        <f t="shared" si="70"/>
        <v xml:space="preserve">"Class_1": "Unemployment rate - 2 years out"                                   </v>
      </c>
      <c r="AG88" s="1" t="str">
        <f t="shared" si="71"/>
        <v xml:space="preserve">"Class_2": "Unemployment rate"                        </v>
      </c>
      <c r="AH88" s="1" t="str">
        <f t="shared" si="72"/>
        <v xml:space="preserve">"Class_3": "NA"  </v>
      </c>
      <c r="AI88" s="1" t="str">
        <f t="shared" si="73"/>
        <v xml:space="preserve">"Unit": "%"        </v>
      </c>
      <c r="AJ88" s="1" t="str">
        <f t="shared" si="74"/>
        <v xml:space="preserve">"Dim": "Total %"  </v>
      </c>
      <c r="AK88" s="1" t="str">
        <f t="shared" si="75"/>
        <v xml:space="preserve">"Tick": ".2f"  </v>
      </c>
      <c r="AL88" s="1" t="str">
        <f t="shared" si="76"/>
        <v xml:space="preserve">"Palette": "qual"  </v>
      </c>
      <c r="AM88" s="1" t="str">
        <f t="shared" si="77"/>
        <v xml:space="preserve">"ColourKey": "navyspread"  </v>
      </c>
      <c r="AN88" s="1" t="str">
        <f t="shared" si="78"/>
        <v xml:space="preserve">"Style": "Line"  </v>
      </c>
      <c r="AO88" s="1" t="str">
        <f t="shared" si="79"/>
        <v xml:space="preserve">"Prefix": "NA"  </v>
      </c>
      <c r="AQ88" s="1" t="str">
        <f t="shared" si="80"/>
        <v>{ "Data": "hm14"  , "ID": "SOE.Q.E471.na"  , "Name": "Unemployment rate - 2 years out"                                   , "Class_1": "Unemployment rate - 2 years out"                                   , "Class_2": "Unemployment rate"                        , "Class_3": "NA"  , "Unit": "%"        , "Dim": "Total %"  , "Tick": ".2f"  , "Palette": "qual"  , "ColourKey": "navyspread"  , "Style": "Line"  , "Prefix": "NA"   },</v>
      </c>
    </row>
    <row r="89" spans="1:43" x14ac:dyDescent="0.3">
      <c r="A89" t="s">
        <v>802</v>
      </c>
      <c r="B89" t="s">
        <v>846</v>
      </c>
      <c r="C89" t="s">
        <v>847</v>
      </c>
      <c r="D89" t="s">
        <v>847</v>
      </c>
      <c r="E89" t="s">
        <v>848</v>
      </c>
      <c r="F89" t="s">
        <v>22</v>
      </c>
      <c r="G89" t="s">
        <v>25</v>
      </c>
      <c r="H89" t="s">
        <v>25</v>
      </c>
      <c r="I89" t="s">
        <v>28</v>
      </c>
      <c r="J89" t="s">
        <v>19</v>
      </c>
      <c r="K89" t="s">
        <v>796</v>
      </c>
      <c r="L89" t="s">
        <v>21</v>
      </c>
      <c r="M89" t="s">
        <v>22</v>
      </c>
      <c r="O89" s="1" t="str">
        <f t="shared" si="65"/>
        <v xml:space="preserve">  </v>
      </c>
      <c r="P89" s="1" t="str">
        <f t="shared" si="81"/>
        <v xml:space="preserve">  </v>
      </c>
      <c r="Q89" s="1" t="str">
        <f t="shared" si="82"/>
        <v xml:space="preserve">                            </v>
      </c>
      <c r="R89" s="1" t="str">
        <f t="shared" si="83"/>
        <v xml:space="preserve">                            </v>
      </c>
      <c r="S89" s="1" t="str">
        <f t="shared" si="84"/>
        <v xml:space="preserve">                  </v>
      </c>
      <c r="T89" s="1" t="str">
        <f t="shared" si="85"/>
        <v xml:space="preserve">  </v>
      </c>
      <c r="U89" s="1" t="str">
        <f t="shared" si="86"/>
        <v xml:space="preserve">  </v>
      </c>
      <c r="V89" s="1" t="str">
        <f t="shared" si="87"/>
        <v xml:space="preserve">  </v>
      </c>
      <c r="W89" s="1" t="str">
        <f t="shared" si="88"/>
        <v xml:space="preserve">  </v>
      </c>
      <c r="X89" s="1" t="str">
        <f t="shared" si="89"/>
        <v xml:space="preserve">  </v>
      </c>
      <c r="Y89" s="1" t="str">
        <f t="shared" si="90"/>
        <v xml:space="preserve">  </v>
      </c>
      <c r="Z89" s="1" t="str">
        <f t="shared" si="91"/>
        <v xml:space="preserve">  </v>
      </c>
      <c r="AA89" s="1" t="str">
        <f t="shared" si="92"/>
        <v xml:space="preserve">  </v>
      </c>
      <c r="AC89" s="1" t="str">
        <f t="shared" si="67"/>
        <v xml:space="preserve">"Data": "hm14"  </v>
      </c>
      <c r="AD89" s="1" t="str">
        <f t="shared" si="68"/>
        <v xml:space="preserve">"ID": "SOE.Q.E320.na"  </v>
      </c>
      <c r="AE89" s="1" t="str">
        <f t="shared" si="69"/>
        <v xml:space="preserve">"Name": "US dollar exchange rate - Next quarter"                            </v>
      </c>
      <c r="AF89" s="1" t="str">
        <f t="shared" si="70"/>
        <v xml:space="preserve">"Class_1": "US dollar exchange rate - Next quarter"                            </v>
      </c>
      <c r="AG89" s="1" t="str">
        <f t="shared" si="71"/>
        <v xml:space="preserve">"Class_2": "US dollar exchange rate"                  </v>
      </c>
      <c r="AH89" s="1" t="str">
        <f t="shared" si="72"/>
        <v xml:space="preserve">"Class_3": "NA"  </v>
      </c>
      <c r="AI89" s="1" t="str">
        <f t="shared" si="73"/>
        <v xml:space="preserve">"Unit": "NZD/USD"  </v>
      </c>
      <c r="AJ89" s="1" t="str">
        <f t="shared" si="74"/>
        <v xml:space="preserve">"Dim": "NZD/USD"  </v>
      </c>
      <c r="AK89" s="1" t="str">
        <f t="shared" si="75"/>
        <v xml:space="preserve">"Tick": ".2f"  </v>
      </c>
      <c r="AL89" s="1" t="str">
        <f t="shared" si="76"/>
        <v xml:space="preserve">"Palette": "qual"  </v>
      </c>
      <c r="AM89" s="1" t="str">
        <f t="shared" si="77"/>
        <v xml:space="preserve">"ColourKey": "navyspread"  </v>
      </c>
      <c r="AN89" s="1" t="str">
        <f t="shared" si="78"/>
        <v xml:space="preserve">"Style": "Line"  </v>
      </c>
      <c r="AO89" s="1" t="str">
        <f t="shared" si="79"/>
        <v xml:space="preserve">"Prefix": "NA"  </v>
      </c>
      <c r="AQ89" s="1" t="str">
        <f t="shared" si="80"/>
        <v>{ "Data": "hm14"  , "ID": "SOE.Q.E320.na"  , "Name": "US dollar exchange rate - Next quarter"                            , "Class_1": "US dollar exchange rate - Next quarter"                            , "Class_2": "US dollar exchange rate"                  , "Class_3": "NA"  , "Unit": "NZD/USD"  , "Dim": "NZD/USD"  , "Tick": ".2f"  , "Palette": "qual"  , "ColourKey": "navyspread"  , "Style": "Line"  , "Prefix": "NA"   },</v>
      </c>
    </row>
    <row r="90" spans="1:43" x14ac:dyDescent="0.3">
      <c r="A90" t="s">
        <v>802</v>
      </c>
      <c r="B90" t="s">
        <v>849</v>
      </c>
      <c r="C90" t="s">
        <v>850</v>
      </c>
      <c r="D90" t="s">
        <v>850</v>
      </c>
      <c r="E90" t="s">
        <v>848</v>
      </c>
      <c r="F90" t="s">
        <v>22</v>
      </c>
      <c r="G90" t="s">
        <v>25</v>
      </c>
      <c r="H90" t="s">
        <v>25</v>
      </c>
      <c r="I90" t="s">
        <v>28</v>
      </c>
      <c r="J90" t="s">
        <v>19</v>
      </c>
      <c r="K90" t="s">
        <v>796</v>
      </c>
      <c r="L90" t="s">
        <v>21</v>
      </c>
      <c r="M90" t="s">
        <v>22</v>
      </c>
      <c r="O90" s="1" t="str">
        <f t="shared" si="65"/>
        <v xml:space="preserve">  </v>
      </c>
      <c r="P90" s="1" t="str">
        <f t="shared" si="81"/>
        <v xml:space="preserve">  </v>
      </c>
      <c r="Q90" s="1" t="str">
        <f t="shared" si="82"/>
        <v xml:space="preserve">                              </v>
      </c>
      <c r="R90" s="1" t="str">
        <f t="shared" si="83"/>
        <v xml:space="preserve">                              </v>
      </c>
      <c r="S90" s="1" t="str">
        <f t="shared" si="84"/>
        <v xml:space="preserve">                  </v>
      </c>
      <c r="T90" s="1" t="str">
        <f t="shared" si="85"/>
        <v xml:space="preserve">  </v>
      </c>
      <c r="U90" s="1" t="str">
        <f t="shared" si="86"/>
        <v xml:space="preserve">  </v>
      </c>
      <c r="V90" s="1" t="str">
        <f t="shared" si="87"/>
        <v xml:space="preserve">  </v>
      </c>
      <c r="W90" s="1" t="str">
        <f t="shared" si="88"/>
        <v xml:space="preserve">  </v>
      </c>
      <c r="X90" s="1" t="str">
        <f t="shared" si="89"/>
        <v xml:space="preserve">  </v>
      </c>
      <c r="Y90" s="1" t="str">
        <f t="shared" si="90"/>
        <v xml:space="preserve">  </v>
      </c>
      <c r="Z90" s="1" t="str">
        <f t="shared" si="91"/>
        <v xml:space="preserve">  </v>
      </c>
      <c r="AA90" s="1" t="str">
        <f t="shared" si="92"/>
        <v xml:space="preserve">  </v>
      </c>
      <c r="AC90" s="1" t="str">
        <f t="shared" si="67"/>
        <v xml:space="preserve">"Data": "hm14"  </v>
      </c>
      <c r="AD90" s="1" t="str">
        <f t="shared" si="68"/>
        <v xml:space="preserve">"ID": "SOE.Q.E321.na"  </v>
      </c>
      <c r="AE90" s="1" t="str">
        <f t="shared" si="69"/>
        <v xml:space="preserve">"Name": "US dollar exchange rate - 1 year out"                              </v>
      </c>
      <c r="AF90" s="1" t="str">
        <f t="shared" si="70"/>
        <v xml:space="preserve">"Class_1": "US dollar exchange rate - 1 year out"                              </v>
      </c>
      <c r="AG90" s="1" t="str">
        <f t="shared" si="71"/>
        <v xml:space="preserve">"Class_2": "US dollar exchange rate"                  </v>
      </c>
      <c r="AH90" s="1" t="str">
        <f t="shared" si="72"/>
        <v xml:space="preserve">"Class_3": "NA"  </v>
      </c>
      <c r="AI90" s="1" t="str">
        <f t="shared" si="73"/>
        <v xml:space="preserve">"Unit": "NZD/USD"  </v>
      </c>
      <c r="AJ90" s="1" t="str">
        <f t="shared" si="74"/>
        <v xml:space="preserve">"Dim": "NZD/USD"  </v>
      </c>
      <c r="AK90" s="1" t="str">
        <f t="shared" si="75"/>
        <v xml:space="preserve">"Tick": ".2f"  </v>
      </c>
      <c r="AL90" s="1" t="str">
        <f t="shared" si="76"/>
        <v xml:space="preserve">"Palette": "qual"  </v>
      </c>
      <c r="AM90" s="1" t="str">
        <f t="shared" si="77"/>
        <v xml:space="preserve">"ColourKey": "navyspread"  </v>
      </c>
      <c r="AN90" s="1" t="str">
        <f t="shared" si="78"/>
        <v xml:space="preserve">"Style": "Line"  </v>
      </c>
      <c r="AO90" s="1" t="str">
        <f t="shared" si="79"/>
        <v xml:space="preserve">"Prefix": "NA"  </v>
      </c>
      <c r="AQ90" s="1" t="str">
        <f t="shared" si="80"/>
        <v>{ "Data": "hm14"  , "ID": "SOE.Q.E321.na"  , "Name": "US dollar exchange rate - 1 year out"                              , "Class_1": "US dollar exchange rate - 1 year out"                              , "Class_2": "US dollar exchange rate"                  , "Class_3": "NA"  , "Unit": "NZD/USD"  , "Dim": "NZD/USD"  , "Tick": ".2f"  , "Palette": "qual"  , "ColourKey": "navyspread"  , "Style": "Line"  , "Prefix": "NA"   },</v>
      </c>
    </row>
    <row r="91" spans="1:43" x14ac:dyDescent="0.3">
      <c r="A91" t="s">
        <v>802</v>
      </c>
      <c r="B91" t="s">
        <v>851</v>
      </c>
      <c r="C91" t="s">
        <v>852</v>
      </c>
      <c r="D91" t="s">
        <v>852</v>
      </c>
      <c r="E91" t="s">
        <v>853</v>
      </c>
      <c r="F91" t="s">
        <v>22</v>
      </c>
      <c r="G91" t="s">
        <v>37</v>
      </c>
      <c r="H91" t="s">
        <v>37</v>
      </c>
      <c r="I91" t="s">
        <v>28</v>
      </c>
      <c r="J91" t="s">
        <v>19</v>
      </c>
      <c r="K91" t="s">
        <v>796</v>
      </c>
      <c r="L91" t="s">
        <v>21</v>
      </c>
      <c r="M91" t="s">
        <v>22</v>
      </c>
      <c r="O91" s="1" t="str">
        <f t="shared" si="65"/>
        <v xml:space="preserve">  </v>
      </c>
      <c r="P91" s="1" t="str">
        <f t="shared" si="81"/>
        <v xml:space="preserve">  </v>
      </c>
      <c r="Q91" s="1" t="str">
        <f t="shared" si="82"/>
        <v xml:space="preserve">                    </v>
      </c>
      <c r="R91" s="1" t="str">
        <f t="shared" si="83"/>
        <v xml:space="preserve">                    </v>
      </c>
      <c r="S91" s="1" t="str">
        <f t="shared" si="84"/>
        <v xml:space="preserve">          </v>
      </c>
      <c r="T91" s="1" t="str">
        <f t="shared" si="85"/>
        <v xml:space="preserve">  </v>
      </c>
      <c r="U91" s="1" t="str">
        <f t="shared" si="86"/>
        <v xml:space="preserve">  </v>
      </c>
      <c r="V91" s="1" t="str">
        <f t="shared" si="87"/>
        <v xml:space="preserve">  </v>
      </c>
      <c r="W91" s="1" t="str">
        <f t="shared" si="88"/>
        <v xml:space="preserve">  </v>
      </c>
      <c r="X91" s="1" t="str">
        <f t="shared" si="89"/>
        <v xml:space="preserve">  </v>
      </c>
      <c r="Y91" s="1" t="str">
        <f t="shared" si="90"/>
        <v xml:space="preserve">  </v>
      </c>
      <c r="Z91" s="1" t="str">
        <f t="shared" si="91"/>
        <v xml:space="preserve">  </v>
      </c>
      <c r="AA91" s="1" t="str">
        <f t="shared" si="92"/>
        <v xml:space="preserve">  </v>
      </c>
      <c r="AC91" s="1" t="str">
        <f t="shared" si="67"/>
        <v xml:space="preserve">"Data": "hm14"  </v>
      </c>
      <c r="AD91" s="1" t="str">
        <f t="shared" si="68"/>
        <v xml:space="preserve">"ID": "SOE.Q.E330.na"  </v>
      </c>
      <c r="AE91" s="1" t="str">
        <f t="shared" si="69"/>
        <v xml:space="preserve">"Name": "Australian dollar exchange rate - Next quarter"                    </v>
      </c>
      <c r="AF91" s="1" t="str">
        <f t="shared" si="70"/>
        <v xml:space="preserve">"Class_1": "Australian dollar exchange rate - Next quarter"                    </v>
      </c>
      <c r="AG91" s="1" t="str">
        <f t="shared" si="71"/>
        <v xml:space="preserve">"Class_2": "Australian dollar exchange rate"          </v>
      </c>
      <c r="AH91" s="1" t="str">
        <f t="shared" si="72"/>
        <v xml:space="preserve">"Class_3": "NA"  </v>
      </c>
      <c r="AI91" s="1" t="str">
        <f t="shared" si="73"/>
        <v xml:space="preserve">"Unit": "NZD/AUD"  </v>
      </c>
      <c r="AJ91" s="1" t="str">
        <f t="shared" si="74"/>
        <v xml:space="preserve">"Dim": "NZD/AUD"  </v>
      </c>
      <c r="AK91" s="1" t="str">
        <f t="shared" si="75"/>
        <v xml:space="preserve">"Tick": ".2f"  </v>
      </c>
      <c r="AL91" s="1" t="str">
        <f t="shared" si="76"/>
        <v xml:space="preserve">"Palette": "qual"  </v>
      </c>
      <c r="AM91" s="1" t="str">
        <f t="shared" si="77"/>
        <v xml:space="preserve">"ColourKey": "navyspread"  </v>
      </c>
      <c r="AN91" s="1" t="str">
        <f t="shared" si="78"/>
        <v xml:space="preserve">"Style": "Line"  </v>
      </c>
      <c r="AO91" s="1" t="str">
        <f t="shared" si="79"/>
        <v xml:space="preserve">"Prefix": "NA"  </v>
      </c>
      <c r="AQ91" s="1" t="str">
        <f t="shared" si="80"/>
        <v>{ "Data": "hm14"  , "ID": "SOE.Q.E330.na"  , "Name": "Australian dollar exchange rate - Next quarter"                    , "Class_1": "Australian dollar exchange rate - Next quarter"                    , "Class_2": "Australian dollar exchange rate"          , "Class_3": "NA"  , "Unit": "NZD/AUD"  , "Dim": "NZD/AUD"  , "Tick": ".2f"  , "Palette": "qual"  , "ColourKey": "navyspread"  , "Style": "Line"  , "Prefix": "NA"   },</v>
      </c>
    </row>
    <row r="92" spans="1:43" x14ac:dyDescent="0.3">
      <c r="A92" t="s">
        <v>802</v>
      </c>
      <c r="B92" t="s">
        <v>854</v>
      </c>
      <c r="C92" t="s">
        <v>855</v>
      </c>
      <c r="D92" t="s">
        <v>855</v>
      </c>
      <c r="E92" t="s">
        <v>853</v>
      </c>
      <c r="F92" t="s">
        <v>22</v>
      </c>
      <c r="G92" t="s">
        <v>37</v>
      </c>
      <c r="H92" t="s">
        <v>37</v>
      </c>
      <c r="I92" t="s">
        <v>28</v>
      </c>
      <c r="J92" t="s">
        <v>19</v>
      </c>
      <c r="K92" t="s">
        <v>796</v>
      </c>
      <c r="L92" t="s">
        <v>21</v>
      </c>
      <c r="M92" t="s">
        <v>22</v>
      </c>
      <c r="O92" s="1" t="str">
        <f t="shared" si="65"/>
        <v xml:space="preserve">  </v>
      </c>
      <c r="P92" s="1" t="str">
        <f t="shared" si="81"/>
        <v xml:space="preserve">  </v>
      </c>
      <c r="Q92" s="1" t="str">
        <f t="shared" si="82"/>
        <v xml:space="preserve">                      </v>
      </c>
      <c r="R92" s="1" t="str">
        <f t="shared" si="83"/>
        <v xml:space="preserve">                      </v>
      </c>
      <c r="S92" s="1" t="str">
        <f t="shared" si="84"/>
        <v xml:space="preserve">          </v>
      </c>
      <c r="T92" s="1" t="str">
        <f t="shared" si="85"/>
        <v xml:space="preserve">  </v>
      </c>
      <c r="U92" s="1" t="str">
        <f t="shared" si="86"/>
        <v xml:space="preserve">  </v>
      </c>
      <c r="V92" s="1" t="str">
        <f t="shared" si="87"/>
        <v xml:space="preserve">  </v>
      </c>
      <c r="W92" s="1" t="str">
        <f t="shared" si="88"/>
        <v xml:space="preserve">  </v>
      </c>
      <c r="X92" s="1" t="str">
        <f t="shared" si="89"/>
        <v xml:space="preserve">  </v>
      </c>
      <c r="Y92" s="1" t="str">
        <f t="shared" si="90"/>
        <v xml:space="preserve">  </v>
      </c>
      <c r="Z92" s="1" t="str">
        <f t="shared" si="91"/>
        <v xml:space="preserve">  </v>
      </c>
      <c r="AA92" s="1" t="str">
        <f t="shared" si="92"/>
        <v xml:space="preserve">  </v>
      </c>
      <c r="AC92" s="1" t="str">
        <f t="shared" si="67"/>
        <v xml:space="preserve">"Data": "hm14"  </v>
      </c>
      <c r="AD92" s="1" t="str">
        <f t="shared" si="68"/>
        <v xml:space="preserve">"ID": "SOE.Q.E331.na"  </v>
      </c>
      <c r="AE92" s="1" t="str">
        <f t="shared" si="69"/>
        <v xml:space="preserve">"Name": "Australian dollar exchange rate - 1 year out"                      </v>
      </c>
      <c r="AF92" s="1" t="str">
        <f t="shared" si="70"/>
        <v xml:space="preserve">"Class_1": "Australian dollar exchange rate - 1 year out"                      </v>
      </c>
      <c r="AG92" s="1" t="str">
        <f t="shared" si="71"/>
        <v xml:space="preserve">"Class_2": "Australian dollar exchange rate"          </v>
      </c>
      <c r="AH92" s="1" t="str">
        <f t="shared" si="72"/>
        <v xml:space="preserve">"Class_3": "NA"  </v>
      </c>
      <c r="AI92" s="1" t="str">
        <f t="shared" si="73"/>
        <v xml:space="preserve">"Unit": "NZD/AUD"  </v>
      </c>
      <c r="AJ92" s="1" t="str">
        <f t="shared" si="74"/>
        <v xml:space="preserve">"Dim": "NZD/AUD"  </v>
      </c>
      <c r="AK92" s="1" t="str">
        <f t="shared" si="75"/>
        <v xml:space="preserve">"Tick": ".2f"  </v>
      </c>
      <c r="AL92" s="1" t="str">
        <f t="shared" si="76"/>
        <v xml:space="preserve">"Palette": "qual"  </v>
      </c>
      <c r="AM92" s="1" t="str">
        <f t="shared" si="77"/>
        <v xml:space="preserve">"ColourKey": "navyspread"  </v>
      </c>
      <c r="AN92" s="1" t="str">
        <f t="shared" si="78"/>
        <v xml:space="preserve">"Style": "Line"  </v>
      </c>
      <c r="AO92" s="1" t="str">
        <f t="shared" si="79"/>
        <v xml:space="preserve">"Prefix": "NA"  </v>
      </c>
      <c r="AQ92" s="1" t="str">
        <f t="shared" si="80"/>
        <v>{ "Data": "hm14"  , "ID": "SOE.Q.E331.na"  , "Name": "Australian dollar exchange rate - 1 year out"                      , "Class_1": "Australian dollar exchange rate - 1 year out"                      , "Class_2": "Australian dollar exchange rate"          , "Class_3": "NA"  , "Unit": "NZD/AUD"  , "Dim": "NZD/AUD"  , "Tick": ".2f"  , "Palette": "qual"  , "ColourKey": "navyspread"  , "Style": "Line"  , "Prefix": "NA"   },</v>
      </c>
    </row>
    <row r="93" spans="1:43" x14ac:dyDescent="0.3">
      <c r="A93" t="s">
        <v>802</v>
      </c>
      <c r="B93" t="s">
        <v>856</v>
      </c>
      <c r="C93" t="s">
        <v>857</v>
      </c>
      <c r="D93" t="s">
        <v>857</v>
      </c>
      <c r="E93" t="s">
        <v>858</v>
      </c>
      <c r="F93" t="s">
        <v>22</v>
      </c>
      <c r="G93" t="s">
        <v>114</v>
      </c>
      <c r="H93" t="s">
        <v>114</v>
      </c>
      <c r="I93" t="s">
        <v>28</v>
      </c>
      <c r="J93" t="s">
        <v>19</v>
      </c>
      <c r="K93" t="s">
        <v>796</v>
      </c>
      <c r="L93" t="s">
        <v>21</v>
      </c>
      <c r="M93" t="s">
        <v>22</v>
      </c>
      <c r="O93" s="1" t="str">
        <f t="shared" si="65"/>
        <v xml:space="preserve">  </v>
      </c>
      <c r="P93" s="1" t="str">
        <f t="shared" si="81"/>
        <v xml:space="preserve">  </v>
      </c>
      <c r="Q93" s="1" t="str">
        <f t="shared" si="82"/>
        <v xml:space="preserve">                                    </v>
      </c>
      <c r="R93" s="1" t="str">
        <f t="shared" si="83"/>
        <v xml:space="preserve">                                    </v>
      </c>
      <c r="S93" s="1" t="str">
        <f t="shared" si="84"/>
        <v xml:space="preserve">                        </v>
      </c>
      <c r="T93" s="1" t="str">
        <f t="shared" si="85"/>
        <v xml:space="preserve">  </v>
      </c>
      <c r="U93" s="1" t="str">
        <f t="shared" si="86"/>
        <v xml:space="preserve">        </v>
      </c>
      <c r="V93" s="1" t="str">
        <f t="shared" si="87"/>
        <v xml:space="preserve">        </v>
      </c>
      <c r="W93" s="1" t="str">
        <f t="shared" si="88"/>
        <v xml:space="preserve">  </v>
      </c>
      <c r="X93" s="1" t="str">
        <f t="shared" si="89"/>
        <v xml:space="preserve">  </v>
      </c>
      <c r="Y93" s="1" t="str">
        <f t="shared" si="90"/>
        <v xml:space="preserve">  </v>
      </c>
      <c r="Z93" s="1" t="str">
        <f t="shared" si="91"/>
        <v xml:space="preserve">  </v>
      </c>
      <c r="AA93" s="1" t="str">
        <f t="shared" si="92"/>
        <v xml:space="preserve">  </v>
      </c>
      <c r="AC93" s="1" t="str">
        <f t="shared" si="67"/>
        <v xml:space="preserve">"Data": "hm14"  </v>
      </c>
      <c r="AD93" s="1" t="str">
        <f t="shared" si="68"/>
        <v xml:space="preserve">"ID": "SOE.Q.E480.na"  </v>
      </c>
      <c r="AE93" s="1" t="str">
        <f t="shared" si="69"/>
        <v xml:space="preserve">"Name": "House price index - 1 year out"                                    </v>
      </c>
      <c r="AF93" s="1" t="str">
        <f t="shared" si="70"/>
        <v xml:space="preserve">"Class_1": "House price index - 1 year out"                                    </v>
      </c>
      <c r="AG93" s="1" t="str">
        <f t="shared" si="71"/>
        <v xml:space="preserve">"Class_2": "House price index"                        </v>
      </c>
      <c r="AH93" s="1" t="str">
        <f t="shared" si="72"/>
        <v xml:space="preserve">"Class_3": "NA"  </v>
      </c>
      <c r="AI93" s="1" t="str">
        <f t="shared" si="73"/>
        <v xml:space="preserve">"Unit": "%"        </v>
      </c>
      <c r="AJ93" s="1" t="str">
        <f t="shared" si="74"/>
        <v xml:space="preserve">"Dim": "%"        </v>
      </c>
      <c r="AK93" s="1" t="str">
        <f t="shared" si="75"/>
        <v xml:space="preserve">"Tick": ".2f"  </v>
      </c>
      <c r="AL93" s="1" t="str">
        <f t="shared" si="76"/>
        <v xml:space="preserve">"Palette": "qual"  </v>
      </c>
      <c r="AM93" s="1" t="str">
        <f t="shared" si="77"/>
        <v xml:space="preserve">"ColourKey": "navyspread"  </v>
      </c>
      <c r="AN93" s="1" t="str">
        <f t="shared" si="78"/>
        <v xml:space="preserve">"Style": "Line"  </v>
      </c>
      <c r="AO93" s="1" t="str">
        <f t="shared" si="79"/>
        <v xml:space="preserve">"Prefix": "NA"  </v>
      </c>
      <c r="AQ93" s="1" t="str">
        <f t="shared" si="80"/>
        <v>{ "Data": "hm14"  , "ID": "SOE.Q.E480.na"  , "Name": "House price index - 1 year out"                                    , "Class_1": "House price index - 1 year out"                                    , "Class_2": "House price index"                        , "Class_3": "NA"  , "Unit": "%"        , "Dim": "%"        , "Tick": ".2f"  , "Palette": "qual"  , "ColourKey": "navyspread"  , "Style": "Line"  , "Prefix": "NA"   },</v>
      </c>
    </row>
    <row r="94" spans="1:43" x14ac:dyDescent="0.3">
      <c r="A94" t="s">
        <v>802</v>
      </c>
      <c r="B94" t="s">
        <v>859</v>
      </c>
      <c r="C94" t="s">
        <v>860</v>
      </c>
      <c r="D94" t="s">
        <v>860</v>
      </c>
      <c r="E94" t="s">
        <v>858</v>
      </c>
      <c r="F94" t="s">
        <v>22</v>
      </c>
      <c r="G94" t="s">
        <v>114</v>
      </c>
      <c r="H94" t="s">
        <v>114</v>
      </c>
      <c r="I94" t="s">
        <v>28</v>
      </c>
      <c r="J94" t="s">
        <v>19</v>
      </c>
      <c r="K94" t="s">
        <v>796</v>
      </c>
      <c r="L94" t="s">
        <v>21</v>
      </c>
      <c r="M94" t="s">
        <v>22</v>
      </c>
      <c r="O94" s="1" t="str">
        <f t="shared" si="65"/>
        <v xml:space="preserve">  </v>
      </c>
      <c r="P94" s="1" t="str">
        <f t="shared" si="81"/>
        <v xml:space="preserve">  </v>
      </c>
      <c r="Q94" s="1" t="str">
        <f t="shared" si="82"/>
        <v xml:space="preserve">                                   </v>
      </c>
      <c r="R94" s="1" t="str">
        <f t="shared" si="83"/>
        <v xml:space="preserve">                                   </v>
      </c>
      <c r="S94" s="1" t="str">
        <f t="shared" si="84"/>
        <v xml:space="preserve">                        </v>
      </c>
      <c r="T94" s="1" t="str">
        <f t="shared" si="85"/>
        <v xml:space="preserve">  </v>
      </c>
      <c r="U94" s="1" t="str">
        <f t="shared" si="86"/>
        <v xml:space="preserve">        </v>
      </c>
      <c r="V94" s="1" t="str">
        <f t="shared" si="87"/>
        <v xml:space="preserve">        </v>
      </c>
      <c r="W94" s="1" t="str">
        <f t="shared" si="88"/>
        <v xml:space="preserve">  </v>
      </c>
      <c r="X94" s="1" t="str">
        <f t="shared" si="89"/>
        <v xml:space="preserve">  </v>
      </c>
      <c r="Y94" s="1" t="str">
        <f t="shared" si="90"/>
        <v xml:space="preserve">  </v>
      </c>
      <c r="Z94" s="1" t="str">
        <f t="shared" si="91"/>
        <v xml:space="preserve">  </v>
      </c>
      <c r="AA94" s="1" t="str">
        <f t="shared" si="92"/>
        <v xml:space="preserve">  </v>
      </c>
      <c r="AC94" s="1" t="str">
        <f t="shared" si="67"/>
        <v xml:space="preserve">"Data": "hm14"  </v>
      </c>
      <c r="AD94" s="1" t="str">
        <f t="shared" si="68"/>
        <v xml:space="preserve">"ID": "SOE.Q.E481.na"  </v>
      </c>
      <c r="AE94" s="1" t="str">
        <f t="shared" si="69"/>
        <v xml:space="preserve">"Name": "House price index - 2 years out"                                   </v>
      </c>
      <c r="AF94" s="1" t="str">
        <f t="shared" si="70"/>
        <v xml:space="preserve">"Class_1": "House price index - 2 years out"                                   </v>
      </c>
      <c r="AG94" s="1" t="str">
        <f t="shared" si="71"/>
        <v xml:space="preserve">"Class_2": "House price index"                        </v>
      </c>
      <c r="AH94" s="1" t="str">
        <f t="shared" si="72"/>
        <v xml:space="preserve">"Class_3": "NA"  </v>
      </c>
      <c r="AI94" s="1" t="str">
        <f t="shared" si="73"/>
        <v xml:space="preserve">"Unit": "%"        </v>
      </c>
      <c r="AJ94" s="1" t="str">
        <f t="shared" si="74"/>
        <v xml:space="preserve">"Dim": "%"        </v>
      </c>
      <c r="AK94" s="1" t="str">
        <f t="shared" si="75"/>
        <v xml:space="preserve">"Tick": ".2f"  </v>
      </c>
      <c r="AL94" s="1" t="str">
        <f t="shared" si="76"/>
        <v xml:space="preserve">"Palette": "qual"  </v>
      </c>
      <c r="AM94" s="1" t="str">
        <f t="shared" si="77"/>
        <v xml:space="preserve">"ColourKey": "navyspread"  </v>
      </c>
      <c r="AN94" s="1" t="str">
        <f t="shared" si="78"/>
        <v xml:space="preserve">"Style": "Line"  </v>
      </c>
      <c r="AO94" s="1" t="str">
        <f t="shared" si="79"/>
        <v xml:space="preserve">"Prefix": "NA"  </v>
      </c>
      <c r="AQ94" s="1" t="str">
        <f t="shared" si="80"/>
        <v>{ "Data": "hm14"  , "ID": "SOE.Q.E481.na"  , "Name": "House price index - 2 years out"                                   , "Class_1": "House price index - 2 years out"                                   , "Class_2": "House price index"                        , "Class_3": "NA"  , "Unit": "%"        , "Dim": "%"        , "Tick": ".2f"  , "Palette": "qual"  , "ColourKey": "navyspread"  , "Style": "Line"  , "Prefix": "NA"   },</v>
      </c>
    </row>
    <row r="95" spans="1:43" x14ac:dyDescent="0.3">
      <c r="A95" cm="1">
        <f t="array" ref="A95">MAX(LEN(A70:A94))</f>
        <v>4</v>
      </c>
      <c r="B95" cm="1">
        <f t="array" ref="B95">MAX(LEN(B70:B94))</f>
        <v>13</v>
      </c>
      <c r="C95" cm="1">
        <f t="array" ref="C95">MAX(LEN(C70:C94))</f>
        <v>64</v>
      </c>
      <c r="D95" cm="1">
        <f t="array" ref="D95">MAX(LEN(D70:D94))</f>
        <v>64</v>
      </c>
      <c r="E95" cm="1">
        <f t="array" ref="E95">MAX(LEN(E70:E94))</f>
        <v>39</v>
      </c>
      <c r="F95" cm="1">
        <f t="array" ref="F95">MAX(LEN(F70:F94))</f>
        <v>2</v>
      </c>
      <c r="G95" cm="1">
        <f t="array" ref="G95">MAX(LEN(G70:G94))</f>
        <v>7</v>
      </c>
      <c r="H95" cm="1">
        <f t="array" ref="H95">MAX(LEN(H70:H94))</f>
        <v>7</v>
      </c>
      <c r="I95" cm="1">
        <f t="array" ref="I95">MAX(LEN(I70:I94))</f>
        <v>3</v>
      </c>
      <c r="J95" cm="1">
        <f t="array" ref="J95">MAX(LEN(J70:J94))</f>
        <v>4</v>
      </c>
      <c r="K95" cm="1">
        <f t="array" ref="K95">MAX(LEN(K70:K94))</f>
        <v>10</v>
      </c>
      <c r="L95" cm="1">
        <f t="array" ref="L95">MAX(LEN(L70:L94))</f>
        <v>4</v>
      </c>
      <c r="M95" cm="1">
        <f t="array" ref="M95">MAX(LEN(M70:M94))</f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RBNZ_Series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Hawley</dc:creator>
  <cp:lastModifiedBy>Michael Hawley</cp:lastModifiedBy>
  <dcterms:created xsi:type="dcterms:W3CDTF">2026-08-23T10:41:23Z</dcterms:created>
  <dcterms:modified xsi:type="dcterms:W3CDTF">2026-08-23T22:42:35Z</dcterms:modified>
</cp:coreProperties>
</file>