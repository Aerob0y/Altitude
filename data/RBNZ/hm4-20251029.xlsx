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3/data/RBNZ/"/>
    </mc:Choice>
  </mc:AlternateContent>
  <xr:revisionPtr revIDLastSave="31" documentId="11_4B49531D40BC0218E5C5736202634DC211D3CE39" xr6:coauthVersionLast="47" xr6:coauthVersionMax="47" xr10:uidLastSave="{B0BF862E-520E-474E-8594-82F0ABE304C2}"/>
  <bookViews>
    <workbookView xWindow="-98" yWindow="-98" windowWidth="26116" windowHeight="15675" activeTab="2" xr2:uid="{00000000-000D-0000-FFFF-FFFF00000000}"/>
  </bookViews>
  <sheets>
    <sheet name="Data" sheetId="1" r:id="rId1"/>
    <sheet name="Table Description" sheetId="2" r:id="rId2"/>
    <sheet name="Series Definitions" sheetId="3" r:id="rId3"/>
  </sheets>
  <definedNames>
    <definedName name="_xlnm._FilterDatabase" localSheetId="2" hidden="1">'Series Definitions'!$A$1:$E$23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3" l="1"/>
  <c r="E2" i="3"/>
  <c r="E8" i="3"/>
  <c r="E13" i="3"/>
  <c r="E16" i="3"/>
  <c r="E19" i="3"/>
  <c r="E22" i="3"/>
  <c r="E3" i="3"/>
  <c r="E6" i="3"/>
  <c r="E9" i="3"/>
  <c r="E14" i="3"/>
  <c r="E20" i="3"/>
  <c r="E4" i="3"/>
  <c r="E10" i="3"/>
  <c r="E15" i="3"/>
  <c r="E17" i="3"/>
  <c r="E21" i="3"/>
  <c r="E23" i="3"/>
  <c r="E5" i="3"/>
  <c r="E7" i="3"/>
  <c r="E11" i="3"/>
  <c r="E12" i="3"/>
  <c r="C25" i="3" l="1"/>
</calcChain>
</file>

<file path=xl/sharedStrings.xml><?xml version="1.0" encoding="utf-8"?>
<sst xmlns="http://schemas.openxmlformats.org/spreadsheetml/2006/main" count="195" uniqueCount="56">
  <si>
    <t>Retail trade sales</t>
  </si>
  <si>
    <t>($m)</t>
  </si>
  <si>
    <t>NZDm</t>
  </si>
  <si>
    <t>RTS06.Q.S1G.na</t>
  </si>
  <si>
    <t>($m s.a.)</t>
  </si>
  <si>
    <t>NZDm s.a.</t>
  </si>
  <si>
    <t>RTS06.Q.S1G.ns</t>
  </si>
  <si>
    <t>(q/q% s.a.)</t>
  </si>
  <si>
    <t>% s.a.</t>
  </si>
  <si>
    <t>RTS06.Q.S1G.nsq</t>
  </si>
  <si>
    <t>(y/y%)</t>
  </si>
  <si>
    <t>%</t>
  </si>
  <si>
    <t>RTS06.Q.S1G.nay</t>
  </si>
  <si>
    <t>Retail trade stocks</t>
  </si>
  <si>
    <t>RTS06.Q.VG.na</t>
  </si>
  <si>
    <t>RTS06.Q.VG.nay</t>
  </si>
  <si>
    <t>Wholesale trade sales</t>
  </si>
  <si>
    <t>WTS06.Q.S1F0.na</t>
  </si>
  <si>
    <t>WTS06.Q.S1F0.ns</t>
  </si>
  <si>
    <t>WTS06.Q.S1F0.nsq</t>
  </si>
  <si>
    <t>WTS06.Q.S1F0.nay</t>
  </si>
  <si>
    <t>Wholesale trade stocks</t>
  </si>
  <si>
    <t>WTS06.Q.VF0.na</t>
  </si>
  <si>
    <t>WTS06.Q.VF0.nay</t>
  </si>
  <si>
    <t>Manufacturing operating income</t>
  </si>
  <si>
    <t>m</t>
  </si>
  <si>
    <t>MAN06.Q.S1C0.na</t>
  </si>
  <si>
    <t>MAN06.Q.S1C0.ns</t>
  </si>
  <si>
    <t>MAN06.Q.S1C0.nsq</t>
  </si>
  <si>
    <t>MAN06.Q.S1C0.nay</t>
  </si>
  <si>
    <t>Manufacturing stocks</t>
  </si>
  <si>
    <t>MAN06.Q.VC0.na</t>
  </si>
  <si>
    <t>MAN06.Q.VC0.nay</t>
  </si>
  <si>
    <t>Meat and dairy manufacturing operating income</t>
  </si>
  <si>
    <t>MAN06.Q.S1C111.na</t>
  </si>
  <si>
    <t>MAN06.Q.S1C111.ns</t>
  </si>
  <si>
    <t>MAN06.Q.S1C111.nsq</t>
  </si>
  <si>
    <t>MAN06.Q.S1C111.nay</t>
  </si>
  <si>
    <t>Notes</t>
  </si>
  <si>
    <t>Unit</t>
  </si>
  <si>
    <t>Series Id</t>
  </si>
  <si>
    <t>Published By</t>
  </si>
  <si>
    <t>Reserve Bank of New Zealand</t>
  </si>
  <si>
    <t>Table</t>
  </si>
  <si>
    <t>M4 Domestic Trade</t>
  </si>
  <si>
    <t>Source</t>
  </si>
  <si>
    <t>Source: Statistics New Zealand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</si>
  <si>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</si>
  <si>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</si>
  <si>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</si>
  <si>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</si>
  <si>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</si>
  <si>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</si>
  <si>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</si>
  <si>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</si>
  <si>
    <t>'Retail trade sales', 'Wholesale trade sales', 'Manufacturing operating income', 'Meat and dairy manufacturing operating income'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</si>
</sst>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dd\ mmm\ yyyy"/>
    <numFmt numFmtId="166" formatCode="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64" fontId="8" fillId="0" borderId="0" xfId="0" applyNumberFormat="1" applyFont="1" applyAlignment="1">
      <alignment horizontal="right" vertical="top" wrapText="1"/>
    </xf>
    <xf numFmtId="165" fontId="9" fillId="0" borderId="0" xfId="0" applyNumberFormat="1" applyFont="1" applyAlignment="1">
      <alignment horizontal="left" vertical="top" wrapText="1"/>
    </xf>
    <xf numFmtId="166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  <xf numFmtId="0" fontId="0" fillId="0" borderId="0" xfId="0" quotePrefix="1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3.6640625" customWidth="1" collapsed="1"/>
    <col min="2" max="23" width="20.53125" customWidth="1" collapsed="1"/>
  </cols>
  <sheetData>
    <row r="1" spans="1:23" ht="39.75" x14ac:dyDescent="0.45">
      <c r="B1" s="5" t="s">
        <v>0</v>
      </c>
      <c r="C1" s="5" t="s">
        <v>0</v>
      </c>
      <c r="D1" s="5" t="s">
        <v>0</v>
      </c>
      <c r="E1" s="5" t="s">
        <v>0</v>
      </c>
      <c r="F1" s="5" t="s">
        <v>13</v>
      </c>
      <c r="G1" s="5" t="s">
        <v>13</v>
      </c>
      <c r="H1" s="5" t="s">
        <v>16</v>
      </c>
      <c r="I1" s="5" t="s">
        <v>16</v>
      </c>
      <c r="J1" s="5" t="s">
        <v>16</v>
      </c>
      <c r="K1" s="5" t="s">
        <v>16</v>
      </c>
      <c r="L1" s="5" t="s">
        <v>21</v>
      </c>
      <c r="M1" s="5" t="s">
        <v>21</v>
      </c>
      <c r="N1" s="5" t="s">
        <v>24</v>
      </c>
      <c r="O1" s="5" t="s">
        <v>24</v>
      </c>
      <c r="P1" s="5" t="s">
        <v>24</v>
      </c>
      <c r="Q1" s="5" t="s">
        <v>24</v>
      </c>
      <c r="R1" s="5" t="s">
        <v>30</v>
      </c>
      <c r="S1" s="5" t="s">
        <v>30</v>
      </c>
      <c r="T1" s="5" t="s">
        <v>33</v>
      </c>
      <c r="U1" s="5" t="s">
        <v>33</v>
      </c>
      <c r="V1" s="5" t="s">
        <v>33</v>
      </c>
      <c r="W1" s="5" t="s">
        <v>33</v>
      </c>
    </row>
    <row r="2" spans="1:23" x14ac:dyDescent="0.45">
      <c r="B2" s="2" t="s">
        <v>1</v>
      </c>
      <c r="C2" s="2" t="s">
        <v>4</v>
      </c>
      <c r="D2" s="2" t="s">
        <v>7</v>
      </c>
      <c r="E2" s="2" t="s">
        <v>10</v>
      </c>
      <c r="F2" s="2" t="s">
        <v>1</v>
      </c>
      <c r="G2" s="2" t="s">
        <v>10</v>
      </c>
      <c r="H2" s="2" t="s">
        <v>1</v>
      </c>
      <c r="I2" s="2" t="s">
        <v>4</v>
      </c>
      <c r="J2" s="2" t="s">
        <v>7</v>
      </c>
      <c r="K2" s="2" t="s">
        <v>10</v>
      </c>
      <c r="L2" s="2" t="s">
        <v>1</v>
      </c>
      <c r="M2" s="2" t="s">
        <v>10</v>
      </c>
      <c r="N2" s="2" t="s">
        <v>1</v>
      </c>
      <c r="O2" s="2" t="s">
        <v>4</v>
      </c>
      <c r="P2" s="2" t="s">
        <v>7</v>
      </c>
      <c r="Q2" s="2" t="s">
        <v>10</v>
      </c>
      <c r="R2" s="2" t="s">
        <v>1</v>
      </c>
      <c r="S2" s="2" t="s">
        <v>10</v>
      </c>
      <c r="T2" s="2" t="s">
        <v>1</v>
      </c>
      <c r="U2" s="2" t="s">
        <v>4</v>
      </c>
      <c r="V2" s="2" t="s">
        <v>7</v>
      </c>
      <c r="W2" s="2" t="s">
        <v>10</v>
      </c>
    </row>
    <row r="3" spans="1:23" x14ac:dyDescent="0.45">
      <c r="A3" s="4" t="s">
        <v>38</v>
      </c>
    </row>
    <row r="4" spans="1:23" x14ac:dyDescent="0.45">
      <c r="A4" s="4" t="s">
        <v>39</v>
      </c>
      <c r="B4" s="1" t="s">
        <v>2</v>
      </c>
      <c r="C4" s="1" t="s">
        <v>5</v>
      </c>
      <c r="D4" s="1" t="s">
        <v>8</v>
      </c>
      <c r="E4" s="1" t="s">
        <v>11</v>
      </c>
      <c r="F4" s="1" t="s">
        <v>2</v>
      </c>
      <c r="G4" s="1" t="s">
        <v>11</v>
      </c>
      <c r="H4" s="1" t="s">
        <v>2</v>
      </c>
      <c r="I4" s="1" t="s">
        <v>5</v>
      </c>
      <c r="J4" s="1" t="s">
        <v>8</v>
      </c>
      <c r="K4" s="1" t="s">
        <v>11</v>
      </c>
      <c r="L4" s="1" t="s">
        <v>2</v>
      </c>
      <c r="M4" s="1" t="s">
        <v>11</v>
      </c>
      <c r="N4" s="1" t="s">
        <v>25</v>
      </c>
      <c r="O4" s="1" t="s">
        <v>25</v>
      </c>
      <c r="R4" s="1" t="s">
        <v>25</v>
      </c>
      <c r="S4" s="1" t="s">
        <v>11</v>
      </c>
      <c r="T4" s="1" t="s">
        <v>25</v>
      </c>
      <c r="U4" s="1" t="s">
        <v>25</v>
      </c>
    </row>
    <row r="5" spans="1:23" x14ac:dyDescent="0.45">
      <c r="A5" s="4" t="s">
        <v>40</v>
      </c>
      <c r="B5" s="11" t="s">
        <v>3</v>
      </c>
      <c r="C5" s="11" t="s">
        <v>6</v>
      </c>
      <c r="D5" s="11" t="s">
        <v>9</v>
      </c>
      <c r="E5" s="11" t="s">
        <v>12</v>
      </c>
      <c r="F5" s="11" t="s">
        <v>14</v>
      </c>
      <c r="G5" s="11" t="s">
        <v>15</v>
      </c>
      <c r="H5" s="11" t="s">
        <v>17</v>
      </c>
      <c r="I5" s="11" t="s">
        <v>18</v>
      </c>
      <c r="J5" s="11" t="s">
        <v>19</v>
      </c>
      <c r="K5" s="11" t="s">
        <v>20</v>
      </c>
      <c r="L5" s="11" t="s">
        <v>22</v>
      </c>
      <c r="M5" s="11" t="s">
        <v>23</v>
      </c>
      <c r="N5" s="11" t="s">
        <v>26</v>
      </c>
      <c r="O5" s="11" t="s">
        <v>27</v>
      </c>
      <c r="P5" s="11" t="s">
        <v>28</v>
      </c>
      <c r="Q5" s="11" t="s">
        <v>29</v>
      </c>
      <c r="R5" s="11" t="s">
        <v>31</v>
      </c>
      <c r="S5" s="11" t="s">
        <v>32</v>
      </c>
      <c r="T5" s="11" t="s">
        <v>34</v>
      </c>
      <c r="U5" s="11" t="s">
        <v>35</v>
      </c>
      <c r="V5" s="11" t="s">
        <v>36</v>
      </c>
      <c r="W5" s="11" t="s">
        <v>37</v>
      </c>
    </row>
    <row r="6" spans="1:23" x14ac:dyDescent="0.45">
      <c r="A6" s="10">
        <v>33969</v>
      </c>
      <c r="N6" s="7">
        <v>11148</v>
      </c>
      <c r="R6" s="7">
        <v>5367</v>
      </c>
      <c r="T6" s="7">
        <v>2493</v>
      </c>
    </row>
    <row r="7" spans="1:23" x14ac:dyDescent="0.45">
      <c r="A7" s="10">
        <v>34059</v>
      </c>
      <c r="N7" s="7">
        <v>11154</v>
      </c>
      <c r="R7" s="7">
        <v>5847</v>
      </c>
      <c r="T7" s="7">
        <v>3209</v>
      </c>
    </row>
    <row r="8" spans="1:23" x14ac:dyDescent="0.45">
      <c r="A8" s="10">
        <v>34150</v>
      </c>
      <c r="N8" s="7">
        <v>11507</v>
      </c>
      <c r="R8" s="7">
        <v>5966</v>
      </c>
      <c r="T8" s="7">
        <v>2780</v>
      </c>
    </row>
    <row r="9" spans="1:23" x14ac:dyDescent="0.45">
      <c r="A9" s="10">
        <v>34242</v>
      </c>
      <c r="N9" s="7">
        <v>10841</v>
      </c>
      <c r="R9" s="7">
        <v>5966</v>
      </c>
      <c r="T9" s="7">
        <v>1933</v>
      </c>
    </row>
    <row r="10" spans="1:23" x14ac:dyDescent="0.45">
      <c r="A10" s="10">
        <v>34334</v>
      </c>
      <c r="N10" s="7">
        <v>12098</v>
      </c>
      <c r="Q10" s="8">
        <v>8.5</v>
      </c>
      <c r="R10" s="7">
        <v>5991</v>
      </c>
      <c r="S10" s="8">
        <v>11.6</v>
      </c>
      <c r="T10" s="7">
        <v>2693</v>
      </c>
      <c r="W10" s="8">
        <v>8</v>
      </c>
    </row>
    <row r="11" spans="1:23" x14ac:dyDescent="0.45">
      <c r="A11" s="10">
        <v>34424</v>
      </c>
      <c r="N11" s="7">
        <v>11709</v>
      </c>
      <c r="Q11" s="8">
        <v>5</v>
      </c>
      <c r="R11" s="7">
        <v>6168</v>
      </c>
      <c r="S11" s="8">
        <v>5.5</v>
      </c>
      <c r="T11" s="7">
        <v>3080</v>
      </c>
      <c r="W11" s="8">
        <v>-4</v>
      </c>
    </row>
    <row r="12" spans="1:23" x14ac:dyDescent="0.45">
      <c r="A12" s="10">
        <v>34515</v>
      </c>
      <c r="N12" s="7">
        <v>12098</v>
      </c>
      <c r="Q12" s="8">
        <v>5.0999999999999996</v>
      </c>
      <c r="R12" s="7">
        <v>6373</v>
      </c>
      <c r="S12" s="8">
        <v>6.8</v>
      </c>
      <c r="T12" s="7">
        <v>2668</v>
      </c>
      <c r="W12" s="8">
        <v>-4</v>
      </c>
    </row>
    <row r="13" spans="1:23" x14ac:dyDescent="0.45">
      <c r="A13" s="10">
        <v>34607</v>
      </c>
      <c r="N13" s="7">
        <v>11819</v>
      </c>
      <c r="Q13" s="8">
        <v>9</v>
      </c>
      <c r="R13" s="7">
        <v>6178</v>
      </c>
      <c r="S13" s="8">
        <v>3.6</v>
      </c>
      <c r="T13" s="7">
        <v>1812</v>
      </c>
      <c r="W13" s="8">
        <v>-6.2</v>
      </c>
    </row>
    <row r="14" spans="1:23" x14ac:dyDescent="0.45">
      <c r="A14" s="10">
        <v>34699</v>
      </c>
      <c r="N14" s="7">
        <v>13578</v>
      </c>
      <c r="Q14" s="8">
        <v>12.2</v>
      </c>
      <c r="R14" s="7">
        <v>6243</v>
      </c>
      <c r="S14" s="8">
        <v>4.2</v>
      </c>
      <c r="T14" s="7">
        <v>2916</v>
      </c>
      <c r="W14" s="8">
        <v>8.3000000000000007</v>
      </c>
    </row>
    <row r="15" spans="1:23" x14ac:dyDescent="0.45">
      <c r="A15" s="10">
        <v>34789</v>
      </c>
      <c r="H15" s="7">
        <v>10544</v>
      </c>
      <c r="I15" s="7">
        <v>11154</v>
      </c>
      <c r="L15" s="7">
        <v>6346</v>
      </c>
      <c r="N15" s="7">
        <v>13798</v>
      </c>
      <c r="O15" s="7">
        <v>13701</v>
      </c>
      <c r="Q15" s="8">
        <v>17.8</v>
      </c>
      <c r="R15" s="7">
        <v>7008</v>
      </c>
      <c r="S15" s="8">
        <v>13.6</v>
      </c>
      <c r="T15" s="7">
        <v>3119</v>
      </c>
      <c r="U15" s="7">
        <v>2524</v>
      </c>
      <c r="W15" s="8">
        <v>1.3</v>
      </c>
    </row>
    <row r="16" spans="1:23" x14ac:dyDescent="0.45">
      <c r="A16" s="10">
        <v>34880</v>
      </c>
      <c r="H16" s="7">
        <v>10951</v>
      </c>
      <c r="I16" s="7">
        <v>10933</v>
      </c>
      <c r="J16" s="8">
        <v>-2</v>
      </c>
      <c r="L16" s="7">
        <v>6673</v>
      </c>
      <c r="N16" s="7">
        <v>13564</v>
      </c>
      <c r="O16" s="7">
        <v>13610</v>
      </c>
      <c r="P16" s="8">
        <v>-0.7</v>
      </c>
      <c r="Q16" s="8">
        <v>12.1</v>
      </c>
      <c r="R16" s="7">
        <v>7209</v>
      </c>
      <c r="S16" s="8">
        <v>13.1</v>
      </c>
      <c r="T16" s="7">
        <v>2674</v>
      </c>
      <c r="U16" s="7">
        <v>2626</v>
      </c>
      <c r="V16" s="8">
        <v>4</v>
      </c>
      <c r="W16" s="8">
        <v>0.2</v>
      </c>
    </row>
    <row r="17" spans="1:23" x14ac:dyDescent="0.45">
      <c r="A17" s="10">
        <v>34972</v>
      </c>
      <c r="B17" s="7">
        <v>8782</v>
      </c>
      <c r="C17" s="7">
        <v>9111</v>
      </c>
      <c r="F17" s="7">
        <v>3246</v>
      </c>
      <c r="H17" s="7">
        <v>11211</v>
      </c>
      <c r="I17" s="7">
        <v>11214</v>
      </c>
      <c r="J17" s="8">
        <v>2.6</v>
      </c>
      <c r="L17" s="7">
        <v>5971</v>
      </c>
      <c r="N17" s="7">
        <v>12957</v>
      </c>
      <c r="O17" s="7">
        <v>13849</v>
      </c>
      <c r="P17" s="8">
        <v>1.8</v>
      </c>
      <c r="Q17" s="8">
        <v>9.6</v>
      </c>
      <c r="R17" s="7">
        <v>6925</v>
      </c>
      <c r="S17" s="8">
        <v>12.1</v>
      </c>
      <c r="T17" s="7">
        <v>2024</v>
      </c>
      <c r="U17" s="7">
        <v>3151</v>
      </c>
      <c r="V17" s="8">
        <v>20</v>
      </c>
      <c r="W17" s="8">
        <v>11.7</v>
      </c>
    </row>
    <row r="18" spans="1:23" x14ac:dyDescent="0.45">
      <c r="A18" s="10">
        <v>35064</v>
      </c>
      <c r="B18" s="7">
        <v>9843</v>
      </c>
      <c r="C18" s="7">
        <v>9112</v>
      </c>
      <c r="D18" s="8">
        <v>0</v>
      </c>
      <c r="F18" s="7">
        <v>3428</v>
      </c>
      <c r="H18" s="7">
        <v>11893</v>
      </c>
      <c r="I18" s="7">
        <v>11289</v>
      </c>
      <c r="J18" s="8">
        <v>0.7</v>
      </c>
      <c r="L18" s="7">
        <v>6372</v>
      </c>
      <c r="N18" s="7">
        <v>14613</v>
      </c>
      <c r="O18" s="7">
        <v>13762</v>
      </c>
      <c r="P18" s="8">
        <v>-0.6</v>
      </c>
      <c r="Q18" s="8">
        <v>7.6</v>
      </c>
      <c r="R18" s="7">
        <v>6792</v>
      </c>
      <c r="S18" s="8">
        <v>8.8000000000000007</v>
      </c>
      <c r="T18" s="7">
        <v>3087</v>
      </c>
      <c r="U18" s="7">
        <v>2785</v>
      </c>
      <c r="V18" s="8">
        <v>-11.6</v>
      </c>
      <c r="W18" s="8">
        <v>5.9</v>
      </c>
    </row>
    <row r="19" spans="1:23" x14ac:dyDescent="0.45">
      <c r="A19" s="10">
        <v>35155</v>
      </c>
      <c r="B19" s="7">
        <v>9110</v>
      </c>
      <c r="C19" s="7">
        <v>9253</v>
      </c>
      <c r="D19" s="8">
        <v>1.5</v>
      </c>
      <c r="F19" s="7">
        <v>3443</v>
      </c>
      <c r="H19" s="7">
        <v>10701</v>
      </c>
      <c r="I19" s="7">
        <v>11317</v>
      </c>
      <c r="J19" s="8">
        <v>0.2</v>
      </c>
      <c r="K19" s="8">
        <v>1.5</v>
      </c>
      <c r="L19" s="7">
        <v>6790</v>
      </c>
      <c r="M19" s="8">
        <v>7</v>
      </c>
      <c r="N19" s="7">
        <v>14120</v>
      </c>
      <c r="O19" s="7">
        <v>14043</v>
      </c>
      <c r="P19" s="8">
        <v>2</v>
      </c>
      <c r="Q19" s="8">
        <v>2.2999999999999998</v>
      </c>
      <c r="R19" s="7">
        <v>7006</v>
      </c>
      <c r="S19" s="8">
        <v>0</v>
      </c>
      <c r="T19" s="7">
        <v>3698</v>
      </c>
      <c r="U19" s="7">
        <v>3017</v>
      </c>
      <c r="V19" s="8">
        <v>8.3000000000000007</v>
      </c>
      <c r="W19" s="8">
        <v>18.600000000000001</v>
      </c>
    </row>
    <row r="20" spans="1:23" x14ac:dyDescent="0.45">
      <c r="A20" s="10">
        <v>35246</v>
      </c>
      <c r="B20" s="7">
        <v>9095</v>
      </c>
      <c r="C20" s="7">
        <v>9333</v>
      </c>
      <c r="D20" s="8">
        <v>0.9</v>
      </c>
      <c r="F20" s="7">
        <v>3438</v>
      </c>
      <c r="H20" s="7">
        <v>11419</v>
      </c>
      <c r="I20" s="7">
        <v>11413</v>
      </c>
      <c r="J20" s="8">
        <v>0.8</v>
      </c>
      <c r="K20" s="8">
        <v>4.3</v>
      </c>
      <c r="L20" s="7">
        <v>6860</v>
      </c>
      <c r="M20" s="8">
        <v>2.8</v>
      </c>
      <c r="N20" s="7">
        <v>14023</v>
      </c>
      <c r="O20" s="7">
        <v>14064</v>
      </c>
      <c r="P20" s="8">
        <v>0.2</v>
      </c>
      <c r="Q20" s="8">
        <v>3.4</v>
      </c>
      <c r="R20" s="7">
        <v>7017</v>
      </c>
      <c r="S20" s="8">
        <v>-2.7</v>
      </c>
      <c r="T20" s="7">
        <v>3009</v>
      </c>
      <c r="U20" s="7">
        <v>2935</v>
      </c>
      <c r="V20" s="8">
        <v>-2.7</v>
      </c>
      <c r="W20" s="8">
        <v>12.5</v>
      </c>
    </row>
    <row r="21" spans="1:23" x14ac:dyDescent="0.45">
      <c r="A21" s="10">
        <v>35338</v>
      </c>
      <c r="B21" s="7">
        <v>9015</v>
      </c>
      <c r="C21" s="7">
        <v>9347</v>
      </c>
      <c r="D21" s="8">
        <v>0.2</v>
      </c>
      <c r="E21" s="8">
        <v>2.7</v>
      </c>
      <c r="F21" s="7">
        <v>3379</v>
      </c>
      <c r="G21" s="8">
        <v>4.0999999999999996</v>
      </c>
      <c r="H21" s="7">
        <v>11444</v>
      </c>
      <c r="I21" s="7">
        <v>11442</v>
      </c>
      <c r="J21" s="8">
        <v>0.3</v>
      </c>
      <c r="K21" s="8">
        <v>2.1</v>
      </c>
      <c r="L21" s="7">
        <v>6158</v>
      </c>
      <c r="M21" s="8">
        <v>3.1</v>
      </c>
      <c r="N21" s="7">
        <v>13022</v>
      </c>
      <c r="O21" s="7">
        <v>13932</v>
      </c>
      <c r="P21" s="8">
        <v>-0.9</v>
      </c>
      <c r="Q21" s="8">
        <v>0.5</v>
      </c>
      <c r="R21" s="7">
        <v>6781</v>
      </c>
      <c r="S21" s="8">
        <v>-2.1</v>
      </c>
      <c r="T21" s="7">
        <v>1893</v>
      </c>
      <c r="U21" s="7">
        <v>2969</v>
      </c>
      <c r="V21" s="8">
        <v>1.2</v>
      </c>
      <c r="W21" s="8">
        <v>-6.5</v>
      </c>
    </row>
    <row r="22" spans="1:23" x14ac:dyDescent="0.45">
      <c r="A22" s="10">
        <v>35430</v>
      </c>
      <c r="B22" s="7">
        <v>10092</v>
      </c>
      <c r="C22" s="7">
        <v>9306</v>
      </c>
      <c r="D22" s="8">
        <v>-0.4</v>
      </c>
      <c r="E22" s="8">
        <v>2.5</v>
      </c>
      <c r="F22" s="7">
        <v>3423</v>
      </c>
      <c r="G22" s="8">
        <v>-0.2</v>
      </c>
      <c r="H22" s="7">
        <v>12035</v>
      </c>
      <c r="I22" s="7">
        <v>11415</v>
      </c>
      <c r="J22" s="8">
        <v>-0.2</v>
      </c>
      <c r="K22" s="8">
        <v>1.2</v>
      </c>
      <c r="L22" s="7">
        <v>6478</v>
      </c>
      <c r="M22" s="8">
        <v>1.7</v>
      </c>
      <c r="N22" s="7">
        <v>14756</v>
      </c>
      <c r="O22" s="7">
        <v>13862</v>
      </c>
      <c r="P22" s="8">
        <v>-0.5</v>
      </c>
      <c r="Q22" s="8">
        <v>1</v>
      </c>
      <c r="R22" s="7">
        <v>6684</v>
      </c>
      <c r="S22" s="8">
        <v>-1.6</v>
      </c>
      <c r="T22" s="7">
        <v>3176</v>
      </c>
      <c r="U22" s="7">
        <v>2839</v>
      </c>
      <c r="V22" s="8">
        <v>-4.4000000000000004</v>
      </c>
      <c r="W22" s="8">
        <v>2.9</v>
      </c>
    </row>
    <row r="23" spans="1:23" x14ac:dyDescent="0.45">
      <c r="A23" s="10">
        <v>35520</v>
      </c>
      <c r="B23" s="7">
        <v>8913</v>
      </c>
      <c r="C23" s="7">
        <v>9133</v>
      </c>
      <c r="D23" s="8">
        <v>-1.9</v>
      </c>
      <c r="E23" s="8">
        <v>-2.2000000000000002</v>
      </c>
      <c r="F23" s="7">
        <v>3313</v>
      </c>
      <c r="G23" s="8">
        <v>-3.8</v>
      </c>
      <c r="H23" s="7">
        <v>10804</v>
      </c>
      <c r="I23" s="7">
        <v>11431</v>
      </c>
      <c r="J23" s="8">
        <v>0.1</v>
      </c>
      <c r="K23" s="8">
        <v>1</v>
      </c>
      <c r="L23" s="7">
        <v>6775</v>
      </c>
      <c r="M23" s="8">
        <v>-0.2</v>
      </c>
      <c r="N23" s="7">
        <v>13925</v>
      </c>
      <c r="O23" s="7">
        <v>13872</v>
      </c>
      <c r="P23" s="8">
        <v>0.1</v>
      </c>
      <c r="Q23" s="8">
        <v>-1.4</v>
      </c>
      <c r="R23" s="7">
        <v>6811</v>
      </c>
      <c r="S23" s="8">
        <v>-2.8</v>
      </c>
      <c r="T23" s="7">
        <v>3544</v>
      </c>
      <c r="U23" s="7">
        <v>2922</v>
      </c>
      <c r="V23" s="8">
        <v>2.9</v>
      </c>
      <c r="W23" s="8">
        <v>-4.2</v>
      </c>
    </row>
    <row r="24" spans="1:23" x14ac:dyDescent="0.45">
      <c r="A24" s="10">
        <v>35611</v>
      </c>
      <c r="B24" s="7">
        <v>9048</v>
      </c>
      <c r="C24" s="7">
        <v>9304</v>
      </c>
      <c r="D24" s="8">
        <v>1.9</v>
      </c>
      <c r="E24" s="8">
        <v>-0.5</v>
      </c>
      <c r="F24" s="7">
        <v>3252</v>
      </c>
      <c r="G24" s="8">
        <v>-5.4</v>
      </c>
      <c r="H24" s="7">
        <v>11848</v>
      </c>
      <c r="I24" s="7">
        <v>11851</v>
      </c>
      <c r="J24" s="8">
        <v>3.7</v>
      </c>
      <c r="K24" s="8">
        <v>3.8</v>
      </c>
      <c r="L24" s="7">
        <v>6848</v>
      </c>
      <c r="M24" s="8">
        <v>-0.2</v>
      </c>
      <c r="N24" s="7">
        <v>14180</v>
      </c>
      <c r="O24" s="7">
        <v>14239</v>
      </c>
      <c r="P24" s="8">
        <v>2.6</v>
      </c>
      <c r="Q24" s="8">
        <v>1.1000000000000001</v>
      </c>
      <c r="R24" s="7">
        <v>6992</v>
      </c>
      <c r="S24" s="8">
        <v>-0.4</v>
      </c>
      <c r="T24" s="7">
        <v>3062</v>
      </c>
      <c r="U24" s="7">
        <v>2969</v>
      </c>
      <c r="V24" s="8">
        <v>1.6</v>
      </c>
      <c r="W24" s="8">
        <v>1.8</v>
      </c>
    </row>
    <row r="25" spans="1:23" x14ac:dyDescent="0.45">
      <c r="A25" s="10">
        <v>35703</v>
      </c>
      <c r="B25" s="7">
        <v>8964</v>
      </c>
      <c r="C25" s="7">
        <v>9296</v>
      </c>
      <c r="D25" s="8">
        <v>-0.1</v>
      </c>
      <c r="E25" s="8">
        <v>-0.6</v>
      </c>
      <c r="F25" s="7">
        <v>3264</v>
      </c>
      <c r="G25" s="8">
        <v>-3.4</v>
      </c>
      <c r="H25" s="7">
        <v>11683</v>
      </c>
      <c r="I25" s="7">
        <v>11681</v>
      </c>
      <c r="J25" s="8">
        <v>-1.4</v>
      </c>
      <c r="K25" s="8">
        <v>2.1</v>
      </c>
      <c r="L25" s="7">
        <v>5977</v>
      </c>
      <c r="M25" s="8">
        <v>-2.9</v>
      </c>
      <c r="N25" s="7">
        <v>13150</v>
      </c>
      <c r="O25" s="7">
        <v>14075</v>
      </c>
      <c r="P25" s="8">
        <v>-1.1000000000000001</v>
      </c>
      <c r="Q25" s="8">
        <v>1</v>
      </c>
      <c r="R25" s="7">
        <v>6923</v>
      </c>
      <c r="S25" s="8">
        <v>2.1</v>
      </c>
      <c r="T25" s="7">
        <v>1789</v>
      </c>
      <c r="U25" s="7">
        <v>2820</v>
      </c>
      <c r="V25" s="8">
        <v>-5</v>
      </c>
      <c r="W25" s="8">
        <v>-5.5</v>
      </c>
    </row>
    <row r="26" spans="1:23" x14ac:dyDescent="0.45">
      <c r="A26" s="10">
        <v>35795</v>
      </c>
      <c r="B26" s="7">
        <v>10092</v>
      </c>
      <c r="C26" s="7">
        <v>9293</v>
      </c>
      <c r="D26" s="8">
        <v>0</v>
      </c>
      <c r="E26" s="8">
        <v>0</v>
      </c>
      <c r="F26" s="7">
        <v>3278</v>
      </c>
      <c r="G26" s="8">
        <v>-4.2</v>
      </c>
      <c r="H26" s="7">
        <v>12412</v>
      </c>
      <c r="I26" s="7">
        <v>11754</v>
      </c>
      <c r="J26" s="8">
        <v>0.6</v>
      </c>
      <c r="K26" s="8">
        <v>3.1</v>
      </c>
      <c r="L26" s="7">
        <v>6727</v>
      </c>
      <c r="M26" s="8">
        <v>3.8</v>
      </c>
      <c r="N26" s="7">
        <v>15228</v>
      </c>
      <c r="O26" s="7">
        <v>14254</v>
      </c>
      <c r="P26" s="8">
        <v>1.3</v>
      </c>
      <c r="Q26" s="8">
        <v>3.2</v>
      </c>
      <c r="R26" s="7">
        <v>6787</v>
      </c>
      <c r="S26" s="8">
        <v>1.5</v>
      </c>
      <c r="T26" s="7">
        <v>3466</v>
      </c>
      <c r="U26" s="7">
        <v>3062</v>
      </c>
      <c r="V26" s="8">
        <v>8.6</v>
      </c>
      <c r="W26" s="8">
        <v>9.1</v>
      </c>
    </row>
    <row r="27" spans="1:23" x14ac:dyDescent="0.45">
      <c r="A27" s="10">
        <v>35885</v>
      </c>
      <c r="B27" s="7">
        <v>9028</v>
      </c>
      <c r="C27" s="7">
        <v>9225</v>
      </c>
      <c r="D27" s="8">
        <v>-0.7</v>
      </c>
      <c r="E27" s="8">
        <v>1.3</v>
      </c>
      <c r="F27" s="7">
        <v>3284</v>
      </c>
      <c r="G27" s="8">
        <v>-0.9</v>
      </c>
      <c r="H27" s="7">
        <v>11415</v>
      </c>
      <c r="I27" s="7">
        <v>12094</v>
      </c>
      <c r="J27" s="8">
        <v>2.9</v>
      </c>
      <c r="K27" s="8">
        <v>5.6</v>
      </c>
      <c r="L27" s="7">
        <v>7031</v>
      </c>
      <c r="M27" s="8">
        <v>3.8</v>
      </c>
      <c r="N27" s="7">
        <v>14139</v>
      </c>
      <c r="O27" s="7">
        <v>14095</v>
      </c>
      <c r="P27" s="8">
        <v>-1.1000000000000001</v>
      </c>
      <c r="Q27" s="8">
        <v>1.5</v>
      </c>
      <c r="R27" s="7">
        <v>6985</v>
      </c>
      <c r="S27" s="8">
        <v>2.6</v>
      </c>
      <c r="T27" s="7">
        <v>3612</v>
      </c>
      <c r="U27" s="7">
        <v>3008</v>
      </c>
      <c r="V27" s="8">
        <v>-1.8</v>
      </c>
      <c r="W27" s="8">
        <v>1.9</v>
      </c>
    </row>
    <row r="28" spans="1:23" x14ac:dyDescent="0.45">
      <c r="A28" s="10">
        <v>35976</v>
      </c>
      <c r="B28" s="7">
        <v>8913</v>
      </c>
      <c r="C28" s="7">
        <v>9190</v>
      </c>
      <c r="D28" s="8">
        <v>-0.4</v>
      </c>
      <c r="E28" s="8">
        <v>-1.5</v>
      </c>
      <c r="F28" s="7">
        <v>3187</v>
      </c>
      <c r="G28" s="8">
        <v>-2</v>
      </c>
      <c r="H28" s="7">
        <v>11925</v>
      </c>
      <c r="I28" s="7">
        <v>11926</v>
      </c>
      <c r="J28" s="8">
        <v>-1.4</v>
      </c>
      <c r="K28" s="8">
        <v>0.6</v>
      </c>
      <c r="L28" s="7">
        <v>6930</v>
      </c>
      <c r="M28" s="8">
        <v>1.2</v>
      </c>
      <c r="N28" s="7">
        <v>13801</v>
      </c>
      <c r="O28" s="7">
        <v>13914</v>
      </c>
      <c r="P28" s="8">
        <v>-1.3</v>
      </c>
      <c r="Q28" s="8">
        <v>-2.7</v>
      </c>
      <c r="R28" s="7">
        <v>7012</v>
      </c>
      <c r="S28" s="8">
        <v>0.3</v>
      </c>
      <c r="T28" s="7">
        <v>3222</v>
      </c>
      <c r="U28" s="7">
        <v>3136</v>
      </c>
      <c r="V28" s="8">
        <v>4.2</v>
      </c>
      <c r="W28" s="8">
        <v>5.2</v>
      </c>
    </row>
    <row r="29" spans="1:23" x14ac:dyDescent="0.45">
      <c r="A29" s="10">
        <v>36068</v>
      </c>
      <c r="B29" s="7">
        <v>8899</v>
      </c>
      <c r="C29" s="7">
        <v>9250</v>
      </c>
      <c r="D29" s="8">
        <v>0.7</v>
      </c>
      <c r="E29" s="8">
        <v>-0.7</v>
      </c>
      <c r="F29" s="7">
        <v>3203</v>
      </c>
      <c r="G29" s="8">
        <v>-1.9</v>
      </c>
      <c r="H29" s="7">
        <v>11995</v>
      </c>
      <c r="I29" s="7">
        <v>11995</v>
      </c>
      <c r="J29" s="8">
        <v>0.6</v>
      </c>
      <c r="K29" s="8">
        <v>2.7</v>
      </c>
      <c r="L29" s="7">
        <v>6234</v>
      </c>
      <c r="M29" s="8">
        <v>4.3</v>
      </c>
      <c r="N29" s="7">
        <v>12826</v>
      </c>
      <c r="O29" s="7">
        <v>13711</v>
      </c>
      <c r="P29" s="8">
        <v>-1.5</v>
      </c>
      <c r="Q29" s="8">
        <v>-2.5</v>
      </c>
      <c r="R29" s="7">
        <v>6700</v>
      </c>
      <c r="S29" s="8">
        <v>-3.2</v>
      </c>
      <c r="T29" s="7">
        <v>1884</v>
      </c>
      <c r="U29" s="7">
        <v>2941</v>
      </c>
      <c r="V29" s="8">
        <v>-6.2</v>
      </c>
      <c r="W29" s="8">
        <v>5.3</v>
      </c>
    </row>
    <row r="30" spans="1:23" x14ac:dyDescent="0.45">
      <c r="A30" s="10">
        <v>36160</v>
      </c>
      <c r="B30" s="7">
        <v>10217</v>
      </c>
      <c r="C30" s="7">
        <v>9378</v>
      </c>
      <c r="D30" s="8">
        <v>1.4</v>
      </c>
      <c r="E30" s="8">
        <v>1.2</v>
      </c>
      <c r="F30" s="7">
        <v>3311</v>
      </c>
      <c r="G30" s="8">
        <v>1</v>
      </c>
      <c r="H30" s="7">
        <v>13166</v>
      </c>
      <c r="I30" s="7">
        <v>12461</v>
      </c>
      <c r="J30" s="8">
        <v>3.9</v>
      </c>
      <c r="K30" s="8">
        <v>6.1</v>
      </c>
      <c r="L30" s="7">
        <v>6798</v>
      </c>
      <c r="M30" s="8">
        <v>1.1000000000000001</v>
      </c>
      <c r="N30" s="7">
        <v>14343</v>
      </c>
      <c r="O30" s="7">
        <v>13375</v>
      </c>
      <c r="P30" s="8">
        <v>-2.5</v>
      </c>
      <c r="Q30" s="8">
        <v>-5.8</v>
      </c>
      <c r="R30" s="7">
        <v>6391</v>
      </c>
      <c r="S30" s="8">
        <v>-5.8</v>
      </c>
      <c r="T30" s="7">
        <v>3198</v>
      </c>
      <c r="U30" s="7">
        <v>2808</v>
      </c>
      <c r="V30" s="8">
        <v>-4.5</v>
      </c>
      <c r="W30" s="8">
        <v>-7.7</v>
      </c>
    </row>
    <row r="31" spans="1:23" x14ac:dyDescent="0.45">
      <c r="A31" s="10">
        <v>36250</v>
      </c>
      <c r="B31" s="7">
        <v>9274</v>
      </c>
      <c r="C31" s="7">
        <v>9496</v>
      </c>
      <c r="D31" s="8">
        <v>1.3</v>
      </c>
      <c r="E31" s="8">
        <v>2.7</v>
      </c>
      <c r="F31" s="7">
        <v>3314</v>
      </c>
      <c r="G31" s="8">
        <v>0.9</v>
      </c>
      <c r="H31" s="7">
        <v>11831</v>
      </c>
      <c r="I31" s="7">
        <v>12539</v>
      </c>
      <c r="J31" s="8">
        <v>0.6</v>
      </c>
      <c r="K31" s="8">
        <v>3.6</v>
      </c>
      <c r="L31" s="7">
        <v>6956</v>
      </c>
      <c r="M31" s="8">
        <v>-1.1000000000000001</v>
      </c>
      <c r="N31" s="7">
        <v>13506</v>
      </c>
      <c r="O31" s="7">
        <v>13495</v>
      </c>
      <c r="P31" s="8">
        <v>0.9</v>
      </c>
      <c r="Q31" s="8">
        <v>-4.5</v>
      </c>
      <c r="R31" s="7">
        <v>6601</v>
      </c>
      <c r="S31" s="8">
        <v>-5.5</v>
      </c>
      <c r="T31" s="7">
        <v>3290</v>
      </c>
      <c r="U31" s="7">
        <v>2752</v>
      </c>
      <c r="V31" s="8">
        <v>-2</v>
      </c>
      <c r="W31" s="8">
        <v>-8.9</v>
      </c>
    </row>
    <row r="32" spans="1:23" x14ac:dyDescent="0.45">
      <c r="A32" s="10">
        <v>36341</v>
      </c>
      <c r="B32" s="7">
        <v>9343</v>
      </c>
      <c r="C32" s="7">
        <v>9647</v>
      </c>
      <c r="D32" s="8">
        <v>1.6</v>
      </c>
      <c r="E32" s="8">
        <v>4.8</v>
      </c>
      <c r="F32" s="7">
        <v>3322</v>
      </c>
      <c r="G32" s="8">
        <v>4.2</v>
      </c>
      <c r="H32" s="7">
        <v>12780</v>
      </c>
      <c r="I32" s="7">
        <v>12779</v>
      </c>
      <c r="J32" s="8">
        <v>1.9</v>
      </c>
      <c r="K32" s="8">
        <v>7.2</v>
      </c>
      <c r="L32" s="7">
        <v>7104</v>
      </c>
      <c r="M32" s="8">
        <v>2.5</v>
      </c>
      <c r="N32" s="7">
        <v>13554</v>
      </c>
      <c r="O32" s="7">
        <v>13700</v>
      </c>
      <c r="P32" s="8">
        <v>1.5</v>
      </c>
      <c r="Q32" s="8">
        <v>-1.8</v>
      </c>
      <c r="R32" s="7">
        <v>6712</v>
      </c>
      <c r="S32" s="8">
        <v>-4.3</v>
      </c>
      <c r="T32" s="7">
        <v>2841</v>
      </c>
      <c r="U32" s="7">
        <v>2798</v>
      </c>
      <c r="V32" s="8">
        <v>1.7</v>
      </c>
      <c r="W32" s="8">
        <v>-11.8</v>
      </c>
    </row>
    <row r="33" spans="1:23" x14ac:dyDescent="0.45">
      <c r="A33" s="10">
        <v>36433</v>
      </c>
      <c r="B33" s="7">
        <v>9544</v>
      </c>
      <c r="C33" s="7">
        <v>9911</v>
      </c>
      <c r="D33" s="8">
        <v>2.7</v>
      </c>
      <c r="E33" s="8">
        <v>7.2</v>
      </c>
      <c r="F33" s="7">
        <v>3345</v>
      </c>
      <c r="G33" s="8">
        <v>4.4000000000000004</v>
      </c>
      <c r="H33" s="7">
        <v>13783</v>
      </c>
      <c r="I33" s="7">
        <v>13792</v>
      </c>
      <c r="J33" s="8">
        <v>7.9</v>
      </c>
      <c r="K33" s="8">
        <v>14.9</v>
      </c>
      <c r="L33" s="7">
        <v>6594</v>
      </c>
      <c r="M33" s="8">
        <v>5.8</v>
      </c>
      <c r="N33" s="7">
        <v>13458</v>
      </c>
      <c r="O33" s="7">
        <v>14367</v>
      </c>
      <c r="P33" s="8">
        <v>4.9000000000000004</v>
      </c>
      <c r="Q33" s="8">
        <v>4.9000000000000004</v>
      </c>
      <c r="R33" s="7">
        <v>6562</v>
      </c>
      <c r="S33" s="8">
        <v>-2.1</v>
      </c>
      <c r="T33" s="7">
        <v>2003</v>
      </c>
      <c r="U33" s="7">
        <v>3059</v>
      </c>
      <c r="V33" s="8">
        <v>9.3000000000000007</v>
      </c>
      <c r="W33" s="8">
        <v>6.3</v>
      </c>
    </row>
    <row r="34" spans="1:23" x14ac:dyDescent="0.45">
      <c r="A34" s="10">
        <v>36525</v>
      </c>
      <c r="B34" s="7">
        <v>10936</v>
      </c>
      <c r="C34" s="7">
        <v>10030</v>
      </c>
      <c r="D34" s="8">
        <v>1.2</v>
      </c>
      <c r="E34" s="8">
        <v>7</v>
      </c>
      <c r="F34" s="7">
        <v>3552</v>
      </c>
      <c r="G34" s="8">
        <v>7.3</v>
      </c>
      <c r="H34" s="7">
        <v>14743</v>
      </c>
      <c r="I34" s="7">
        <v>13946</v>
      </c>
      <c r="J34" s="8">
        <v>1.1000000000000001</v>
      </c>
      <c r="K34" s="8">
        <v>12</v>
      </c>
      <c r="L34" s="7">
        <v>7263</v>
      </c>
      <c r="M34" s="8">
        <v>6.8</v>
      </c>
      <c r="N34" s="7">
        <v>16048</v>
      </c>
      <c r="O34" s="7">
        <v>14917</v>
      </c>
      <c r="P34" s="8">
        <v>3.8</v>
      </c>
      <c r="Q34" s="8">
        <v>11.9</v>
      </c>
      <c r="R34" s="7">
        <v>6792</v>
      </c>
      <c r="S34" s="8">
        <v>6.3</v>
      </c>
      <c r="T34" s="7">
        <v>3573</v>
      </c>
      <c r="U34" s="7">
        <v>3131</v>
      </c>
      <c r="V34" s="8">
        <v>2.4</v>
      </c>
      <c r="W34" s="8">
        <v>11.7</v>
      </c>
    </row>
    <row r="35" spans="1:23" x14ac:dyDescent="0.45">
      <c r="A35" s="10">
        <v>36616</v>
      </c>
      <c r="B35" s="7">
        <v>9914</v>
      </c>
      <c r="C35" s="7">
        <v>10061</v>
      </c>
      <c r="D35" s="8">
        <v>0.3</v>
      </c>
      <c r="E35" s="8">
        <v>6.9</v>
      </c>
      <c r="F35" s="7">
        <v>3490</v>
      </c>
      <c r="G35" s="8">
        <v>5.3</v>
      </c>
      <c r="H35" s="7">
        <v>13396</v>
      </c>
      <c r="I35" s="7">
        <v>14201</v>
      </c>
      <c r="J35" s="8">
        <v>1.8</v>
      </c>
      <c r="K35" s="8">
        <v>13.2</v>
      </c>
      <c r="L35" s="7">
        <v>7663</v>
      </c>
      <c r="M35" s="8">
        <v>10.199999999999999</v>
      </c>
      <c r="N35" s="7">
        <v>15352</v>
      </c>
      <c r="O35" s="7">
        <v>15411</v>
      </c>
      <c r="P35" s="8">
        <v>3.3</v>
      </c>
      <c r="Q35" s="8">
        <v>13.7</v>
      </c>
      <c r="R35" s="7">
        <v>7226</v>
      </c>
      <c r="S35" s="8">
        <v>9.5</v>
      </c>
      <c r="T35" s="7">
        <v>3968</v>
      </c>
      <c r="U35" s="7">
        <v>3341</v>
      </c>
      <c r="V35" s="8">
        <v>6.7</v>
      </c>
      <c r="W35" s="8">
        <v>20.6</v>
      </c>
    </row>
    <row r="36" spans="1:23" x14ac:dyDescent="0.45">
      <c r="A36" s="10">
        <v>36707</v>
      </c>
      <c r="B36" s="7">
        <v>9797</v>
      </c>
      <c r="C36" s="7">
        <v>10123</v>
      </c>
      <c r="D36" s="8">
        <v>0.6</v>
      </c>
      <c r="E36" s="8">
        <v>4.9000000000000004</v>
      </c>
      <c r="F36" s="7">
        <v>3504</v>
      </c>
      <c r="G36" s="8">
        <v>5.5</v>
      </c>
      <c r="H36" s="7">
        <v>14461</v>
      </c>
      <c r="I36" s="7">
        <v>14457</v>
      </c>
      <c r="J36" s="8">
        <v>1.8</v>
      </c>
      <c r="K36" s="8">
        <v>13.2</v>
      </c>
      <c r="L36" s="7">
        <v>7906</v>
      </c>
      <c r="M36" s="8">
        <v>11.3</v>
      </c>
      <c r="N36" s="7">
        <v>15401</v>
      </c>
      <c r="O36" s="7">
        <v>15561</v>
      </c>
      <c r="P36" s="8">
        <v>1</v>
      </c>
      <c r="Q36" s="8">
        <v>13.6</v>
      </c>
      <c r="R36" s="7">
        <v>7462</v>
      </c>
      <c r="S36" s="8">
        <v>11.2</v>
      </c>
      <c r="T36" s="7">
        <v>3357</v>
      </c>
      <c r="U36" s="7">
        <v>3349</v>
      </c>
      <c r="V36" s="8">
        <v>0.3</v>
      </c>
      <c r="W36" s="8">
        <v>18.100000000000001</v>
      </c>
    </row>
    <row r="37" spans="1:23" x14ac:dyDescent="0.45">
      <c r="A37" s="10">
        <v>36799</v>
      </c>
      <c r="B37" s="7">
        <v>10005</v>
      </c>
      <c r="C37" s="7">
        <v>10404</v>
      </c>
      <c r="D37" s="8">
        <v>2.8</v>
      </c>
      <c r="E37" s="8">
        <v>4.8</v>
      </c>
      <c r="F37" s="7">
        <v>3606</v>
      </c>
      <c r="G37" s="8">
        <v>7.8</v>
      </c>
      <c r="H37" s="7">
        <v>14914</v>
      </c>
      <c r="I37" s="7">
        <v>14917</v>
      </c>
      <c r="J37" s="8">
        <v>3.2</v>
      </c>
      <c r="K37" s="8">
        <v>8.1999999999999993</v>
      </c>
      <c r="L37" s="7">
        <v>7192</v>
      </c>
      <c r="M37" s="8">
        <v>9.1</v>
      </c>
      <c r="N37" s="7">
        <v>15186</v>
      </c>
      <c r="O37" s="7">
        <v>16123</v>
      </c>
      <c r="P37" s="8">
        <v>3.6</v>
      </c>
      <c r="Q37" s="8">
        <v>12.8</v>
      </c>
      <c r="R37" s="7">
        <v>7413</v>
      </c>
      <c r="S37" s="8">
        <v>13</v>
      </c>
      <c r="T37" s="7">
        <v>2433</v>
      </c>
      <c r="U37" s="7">
        <v>3554</v>
      </c>
      <c r="V37" s="8">
        <v>6.1</v>
      </c>
      <c r="W37" s="8">
        <v>21.5</v>
      </c>
    </row>
    <row r="38" spans="1:23" x14ac:dyDescent="0.45">
      <c r="A38" s="10">
        <v>36891</v>
      </c>
      <c r="B38" s="7">
        <v>11515</v>
      </c>
      <c r="C38" s="7">
        <v>10578</v>
      </c>
      <c r="D38" s="8">
        <v>1.7</v>
      </c>
      <c r="E38" s="8">
        <v>5.3</v>
      </c>
      <c r="F38" s="7">
        <v>3642</v>
      </c>
      <c r="G38" s="8">
        <v>2.5</v>
      </c>
      <c r="H38" s="7">
        <v>16374</v>
      </c>
      <c r="I38" s="7">
        <v>15507</v>
      </c>
      <c r="J38" s="8">
        <v>4</v>
      </c>
      <c r="K38" s="8">
        <v>11.1</v>
      </c>
      <c r="L38" s="7">
        <v>8130</v>
      </c>
      <c r="M38" s="8">
        <v>11.9</v>
      </c>
      <c r="N38" s="7">
        <v>18325</v>
      </c>
      <c r="O38" s="7">
        <v>17072</v>
      </c>
      <c r="P38" s="8">
        <v>5.9</v>
      </c>
      <c r="Q38" s="8">
        <v>14.2</v>
      </c>
      <c r="R38" s="7">
        <v>7881</v>
      </c>
      <c r="S38" s="8">
        <v>16</v>
      </c>
      <c r="T38" s="7">
        <v>4640</v>
      </c>
      <c r="U38" s="7">
        <v>4108</v>
      </c>
      <c r="V38" s="8">
        <v>15.6</v>
      </c>
      <c r="W38" s="8">
        <v>29.9</v>
      </c>
    </row>
    <row r="39" spans="1:23" x14ac:dyDescent="0.45">
      <c r="A39" s="10">
        <v>36981</v>
      </c>
      <c r="B39" s="7">
        <v>10368</v>
      </c>
      <c r="C39" s="7">
        <v>10592</v>
      </c>
      <c r="D39" s="8">
        <v>0.1</v>
      </c>
      <c r="E39" s="8">
        <v>4.5999999999999996</v>
      </c>
      <c r="F39" s="7">
        <v>3659</v>
      </c>
      <c r="G39" s="8">
        <v>4.8</v>
      </c>
      <c r="H39" s="7">
        <v>14973</v>
      </c>
      <c r="I39" s="7">
        <v>15867</v>
      </c>
      <c r="J39" s="8">
        <v>2.2999999999999998</v>
      </c>
      <c r="K39" s="8">
        <v>11.8</v>
      </c>
      <c r="L39" s="7">
        <v>8786</v>
      </c>
      <c r="M39" s="8">
        <v>14.7</v>
      </c>
      <c r="N39" s="7">
        <v>16985</v>
      </c>
      <c r="O39" s="7">
        <v>17173</v>
      </c>
      <c r="P39" s="8">
        <v>0.6</v>
      </c>
      <c r="Q39" s="8">
        <v>10.6</v>
      </c>
      <c r="R39" s="7">
        <v>8043</v>
      </c>
      <c r="S39" s="8">
        <v>11.3</v>
      </c>
      <c r="T39" s="7">
        <v>5014</v>
      </c>
      <c r="U39" s="7">
        <v>4294</v>
      </c>
      <c r="V39" s="8">
        <v>4.5</v>
      </c>
      <c r="W39" s="8">
        <v>26.3</v>
      </c>
    </row>
    <row r="40" spans="1:23" x14ac:dyDescent="0.45">
      <c r="A40" s="10">
        <v>37072</v>
      </c>
      <c r="B40" s="7">
        <v>10491</v>
      </c>
      <c r="C40" s="7">
        <v>10847</v>
      </c>
      <c r="D40" s="8">
        <v>2.4</v>
      </c>
      <c r="E40" s="8">
        <v>7.1</v>
      </c>
      <c r="F40" s="7">
        <v>3660</v>
      </c>
      <c r="G40" s="8">
        <v>4.5</v>
      </c>
      <c r="H40" s="7">
        <v>16578</v>
      </c>
      <c r="I40" s="7">
        <v>16563</v>
      </c>
      <c r="J40" s="8">
        <v>4.4000000000000004</v>
      </c>
      <c r="K40" s="8">
        <v>14.6</v>
      </c>
      <c r="L40" s="7">
        <v>8708</v>
      </c>
      <c r="M40" s="8">
        <v>10.1</v>
      </c>
      <c r="N40" s="7">
        <v>17253</v>
      </c>
      <c r="O40" s="7">
        <v>17331</v>
      </c>
      <c r="P40" s="8">
        <v>0.9</v>
      </c>
      <c r="Q40" s="8">
        <v>12</v>
      </c>
      <c r="R40" s="7">
        <v>8173</v>
      </c>
      <c r="S40" s="8">
        <v>9.5</v>
      </c>
      <c r="T40" s="7">
        <v>4252</v>
      </c>
      <c r="U40" s="7">
        <v>4224</v>
      </c>
      <c r="V40" s="8">
        <v>-1.6</v>
      </c>
      <c r="W40" s="8">
        <v>26.7</v>
      </c>
    </row>
    <row r="41" spans="1:23" x14ac:dyDescent="0.45">
      <c r="A41" s="10">
        <v>37164</v>
      </c>
      <c r="B41" s="7">
        <v>10577</v>
      </c>
      <c r="C41" s="7">
        <v>10997</v>
      </c>
      <c r="D41" s="8">
        <v>1.4</v>
      </c>
      <c r="E41" s="8">
        <v>5.7</v>
      </c>
      <c r="F41" s="7">
        <v>3705</v>
      </c>
      <c r="G41" s="8">
        <v>2.8</v>
      </c>
      <c r="H41" s="7">
        <v>16556</v>
      </c>
      <c r="I41" s="7">
        <v>16551</v>
      </c>
      <c r="J41" s="8">
        <v>-0.1</v>
      </c>
      <c r="K41" s="8">
        <v>11</v>
      </c>
      <c r="L41" s="7">
        <v>7883</v>
      </c>
      <c r="M41" s="8">
        <v>9.6</v>
      </c>
      <c r="N41" s="7">
        <v>15939</v>
      </c>
      <c r="O41" s="7">
        <v>16773</v>
      </c>
      <c r="P41" s="8">
        <v>-3.2</v>
      </c>
      <c r="Q41" s="8">
        <v>5</v>
      </c>
      <c r="R41" s="7">
        <v>7842</v>
      </c>
      <c r="S41" s="8">
        <v>5.8</v>
      </c>
      <c r="T41" s="7">
        <v>2692</v>
      </c>
      <c r="U41" s="7">
        <v>3714</v>
      </c>
      <c r="V41" s="8">
        <v>-12.1</v>
      </c>
      <c r="W41" s="8">
        <v>10.6</v>
      </c>
    </row>
    <row r="42" spans="1:23" x14ac:dyDescent="0.45">
      <c r="A42" s="10">
        <v>37256</v>
      </c>
      <c r="B42" s="7">
        <v>12208</v>
      </c>
      <c r="C42" s="7">
        <v>11211</v>
      </c>
      <c r="D42" s="8">
        <v>1.9</v>
      </c>
      <c r="E42" s="8">
        <v>6</v>
      </c>
      <c r="F42" s="7">
        <v>3834</v>
      </c>
      <c r="G42" s="8">
        <v>5.3</v>
      </c>
      <c r="H42" s="7">
        <v>17674</v>
      </c>
      <c r="I42" s="7">
        <v>16756</v>
      </c>
      <c r="J42" s="8">
        <v>1.2</v>
      </c>
      <c r="K42" s="8">
        <v>7.9</v>
      </c>
      <c r="L42" s="7">
        <v>9365</v>
      </c>
      <c r="M42" s="8">
        <v>15.2</v>
      </c>
      <c r="N42" s="7">
        <v>18332</v>
      </c>
      <c r="O42" s="7">
        <v>17241</v>
      </c>
      <c r="P42" s="8">
        <v>2.8</v>
      </c>
      <c r="Q42" s="8">
        <v>0</v>
      </c>
      <c r="R42" s="7">
        <v>7806</v>
      </c>
      <c r="S42" s="8">
        <v>-1</v>
      </c>
      <c r="T42" s="7">
        <v>4820</v>
      </c>
      <c r="U42" s="7">
        <v>4375</v>
      </c>
      <c r="V42" s="8">
        <v>17.8</v>
      </c>
      <c r="W42" s="8">
        <v>3.9</v>
      </c>
    </row>
    <row r="43" spans="1:23" x14ac:dyDescent="0.45">
      <c r="A43" s="10">
        <v>37346</v>
      </c>
      <c r="B43" s="7">
        <v>11183</v>
      </c>
      <c r="C43" s="7">
        <v>11422</v>
      </c>
      <c r="D43" s="8">
        <v>1.9</v>
      </c>
      <c r="E43" s="8">
        <v>7.9</v>
      </c>
      <c r="F43" s="7">
        <v>3843</v>
      </c>
      <c r="G43" s="8">
        <v>5.0999999999999996</v>
      </c>
      <c r="H43" s="7">
        <v>15934</v>
      </c>
      <c r="I43" s="7">
        <v>16903</v>
      </c>
      <c r="J43" s="8">
        <v>0.9</v>
      </c>
      <c r="K43" s="8">
        <v>6.4</v>
      </c>
      <c r="L43" s="7">
        <v>10194</v>
      </c>
      <c r="M43" s="8">
        <v>16</v>
      </c>
      <c r="N43" s="7">
        <v>17068</v>
      </c>
      <c r="O43" s="7">
        <v>17348</v>
      </c>
      <c r="P43" s="8">
        <v>0.6</v>
      </c>
      <c r="Q43" s="8">
        <v>0.5</v>
      </c>
      <c r="R43" s="7">
        <v>8389</v>
      </c>
      <c r="S43" s="8">
        <v>4.3</v>
      </c>
      <c r="T43" s="7">
        <v>4921</v>
      </c>
      <c r="U43" s="7">
        <v>4322</v>
      </c>
      <c r="V43" s="8">
        <v>-1.2</v>
      </c>
      <c r="W43" s="8">
        <v>-1.8</v>
      </c>
    </row>
    <row r="44" spans="1:23" x14ac:dyDescent="0.45">
      <c r="A44" s="10">
        <v>37437</v>
      </c>
      <c r="B44" s="7">
        <v>11359</v>
      </c>
      <c r="C44" s="7">
        <v>11754</v>
      </c>
      <c r="D44" s="8">
        <v>2.9</v>
      </c>
      <c r="E44" s="8">
        <v>8.3000000000000007</v>
      </c>
      <c r="F44" s="7">
        <v>3865</v>
      </c>
      <c r="G44" s="8">
        <v>5.6</v>
      </c>
      <c r="H44" s="7">
        <v>16889</v>
      </c>
      <c r="I44" s="7">
        <v>16843</v>
      </c>
      <c r="J44" s="8">
        <v>-0.4</v>
      </c>
      <c r="K44" s="8">
        <v>1.9</v>
      </c>
      <c r="L44" s="7">
        <v>9608</v>
      </c>
      <c r="M44" s="8">
        <v>10.3</v>
      </c>
      <c r="N44" s="7">
        <v>17502</v>
      </c>
      <c r="O44" s="7">
        <v>17470</v>
      </c>
      <c r="P44" s="8">
        <v>0.7</v>
      </c>
      <c r="Q44" s="8">
        <v>1.4</v>
      </c>
      <c r="R44" s="7">
        <v>8291</v>
      </c>
      <c r="S44" s="8">
        <v>1.4</v>
      </c>
      <c r="T44" s="7">
        <v>4083</v>
      </c>
      <c r="U44" s="7">
        <v>3984</v>
      </c>
      <c r="V44" s="8">
        <v>-7.8</v>
      </c>
      <c r="W44" s="8">
        <v>-4</v>
      </c>
    </row>
    <row r="45" spans="1:23" x14ac:dyDescent="0.45">
      <c r="A45" s="10">
        <v>37529</v>
      </c>
      <c r="B45" s="7">
        <v>11504</v>
      </c>
      <c r="C45" s="7">
        <v>11932</v>
      </c>
      <c r="D45" s="8">
        <v>1.5</v>
      </c>
      <c r="E45" s="8">
        <v>8.8000000000000007</v>
      </c>
      <c r="F45" s="7">
        <v>4028</v>
      </c>
      <c r="G45" s="8">
        <v>8.6999999999999993</v>
      </c>
      <c r="H45" s="7">
        <v>15650</v>
      </c>
      <c r="I45" s="7">
        <v>15627</v>
      </c>
      <c r="J45" s="8">
        <v>-7.2</v>
      </c>
      <c r="K45" s="8">
        <v>-5.5</v>
      </c>
      <c r="L45" s="7">
        <v>7461</v>
      </c>
      <c r="M45" s="8">
        <v>-5.4</v>
      </c>
      <c r="N45" s="7">
        <v>17579</v>
      </c>
      <c r="O45" s="7">
        <v>18041</v>
      </c>
      <c r="P45" s="8">
        <v>3.3</v>
      </c>
      <c r="Q45" s="8">
        <v>10.3</v>
      </c>
      <c r="R45" s="7">
        <v>9012</v>
      </c>
      <c r="S45" s="8">
        <v>14.9</v>
      </c>
      <c r="T45" s="7">
        <v>3750</v>
      </c>
      <c r="U45" s="7">
        <v>4446</v>
      </c>
      <c r="V45" s="8">
        <v>11.6</v>
      </c>
      <c r="W45" s="8">
        <v>39.299999999999997</v>
      </c>
    </row>
    <row r="46" spans="1:23" x14ac:dyDescent="0.45">
      <c r="A46" s="10">
        <v>37621</v>
      </c>
      <c r="B46" s="7">
        <v>13032</v>
      </c>
      <c r="C46" s="7">
        <v>11959</v>
      </c>
      <c r="D46" s="8">
        <v>0.2</v>
      </c>
      <c r="E46" s="8">
        <v>6.7</v>
      </c>
      <c r="F46" s="7">
        <v>4217</v>
      </c>
      <c r="G46" s="8">
        <v>10</v>
      </c>
      <c r="H46" s="7">
        <v>16421</v>
      </c>
      <c r="I46" s="7">
        <v>15604</v>
      </c>
      <c r="J46" s="8">
        <v>-0.1</v>
      </c>
      <c r="K46" s="8">
        <v>-7.1</v>
      </c>
      <c r="L46" s="7">
        <v>7207</v>
      </c>
      <c r="M46" s="8">
        <v>-23</v>
      </c>
      <c r="N46" s="7">
        <v>18258</v>
      </c>
      <c r="O46" s="7">
        <v>17881</v>
      </c>
      <c r="P46" s="8">
        <v>-0.9</v>
      </c>
      <c r="Q46" s="8">
        <v>-0.4</v>
      </c>
      <c r="R46" s="7">
        <v>9515</v>
      </c>
      <c r="S46" s="8">
        <v>21.9</v>
      </c>
      <c r="T46" s="7">
        <v>3983</v>
      </c>
      <c r="U46" s="7">
        <v>4131</v>
      </c>
      <c r="V46" s="8">
        <v>-7.1</v>
      </c>
      <c r="W46" s="8">
        <v>-17.399999999999999</v>
      </c>
    </row>
    <row r="47" spans="1:23" x14ac:dyDescent="0.45">
      <c r="A47" s="10">
        <v>37711</v>
      </c>
      <c r="B47" s="7">
        <v>11782</v>
      </c>
      <c r="C47" s="7">
        <v>12026</v>
      </c>
      <c r="D47" s="8">
        <v>0.6</v>
      </c>
      <c r="E47" s="8">
        <v>5.4</v>
      </c>
      <c r="F47" s="7">
        <v>4170</v>
      </c>
      <c r="G47" s="8">
        <v>8.5</v>
      </c>
      <c r="H47" s="7">
        <v>14746</v>
      </c>
      <c r="I47" s="7">
        <v>15642</v>
      </c>
      <c r="J47" s="8">
        <v>0.2</v>
      </c>
      <c r="K47" s="8">
        <v>-7.5</v>
      </c>
      <c r="L47" s="7">
        <v>7358</v>
      </c>
      <c r="M47" s="8">
        <v>-27.8</v>
      </c>
      <c r="N47" s="7">
        <v>17237</v>
      </c>
      <c r="O47" s="7">
        <v>17567</v>
      </c>
      <c r="P47" s="8">
        <v>-1.8</v>
      </c>
      <c r="Q47" s="8">
        <v>1</v>
      </c>
      <c r="R47" s="7">
        <v>10231</v>
      </c>
      <c r="S47" s="8">
        <v>22</v>
      </c>
      <c r="T47" s="7">
        <v>4259</v>
      </c>
      <c r="U47" s="7">
        <v>3916</v>
      </c>
      <c r="V47" s="8">
        <v>-5.2</v>
      </c>
      <c r="W47" s="8">
        <v>-13.5</v>
      </c>
    </row>
    <row r="48" spans="1:23" x14ac:dyDescent="0.45">
      <c r="A48" s="10">
        <v>37802</v>
      </c>
      <c r="B48" s="7">
        <v>11688</v>
      </c>
      <c r="C48" s="7">
        <v>12120</v>
      </c>
      <c r="D48" s="8">
        <v>0.8</v>
      </c>
      <c r="E48" s="8">
        <v>2.9</v>
      </c>
      <c r="F48" s="7">
        <v>4137</v>
      </c>
      <c r="G48" s="8">
        <v>7</v>
      </c>
      <c r="H48" s="7">
        <v>15607</v>
      </c>
      <c r="I48" s="7">
        <v>15561</v>
      </c>
      <c r="J48" s="8">
        <v>-0.5</v>
      </c>
      <c r="K48" s="8">
        <v>-7.6</v>
      </c>
      <c r="L48" s="7">
        <v>7509</v>
      </c>
      <c r="M48" s="8">
        <v>-21.8</v>
      </c>
      <c r="N48" s="7">
        <v>17820</v>
      </c>
      <c r="O48" s="7">
        <v>17423</v>
      </c>
      <c r="P48" s="8">
        <v>-0.8</v>
      </c>
      <c r="Q48" s="8">
        <v>1.8</v>
      </c>
      <c r="R48" s="7">
        <v>9963</v>
      </c>
      <c r="S48" s="8">
        <v>20.2</v>
      </c>
      <c r="T48" s="7">
        <v>4414</v>
      </c>
      <c r="U48" s="7">
        <v>3997</v>
      </c>
      <c r="V48" s="8">
        <v>2.1</v>
      </c>
      <c r="W48" s="8">
        <v>8.1</v>
      </c>
    </row>
    <row r="49" spans="1:23" x14ac:dyDescent="0.45">
      <c r="A49" s="10">
        <v>37894</v>
      </c>
      <c r="B49" s="7">
        <v>11937</v>
      </c>
      <c r="C49" s="7">
        <v>12364</v>
      </c>
      <c r="D49" s="8">
        <v>2</v>
      </c>
      <c r="E49" s="8">
        <v>3.8</v>
      </c>
      <c r="F49" s="7">
        <v>4269</v>
      </c>
      <c r="G49" s="8">
        <v>6</v>
      </c>
      <c r="H49" s="7">
        <v>15917</v>
      </c>
      <c r="I49" s="7">
        <v>15859</v>
      </c>
      <c r="J49" s="8">
        <v>1.9</v>
      </c>
      <c r="K49" s="8">
        <v>1.7</v>
      </c>
      <c r="L49" s="7">
        <v>7424</v>
      </c>
      <c r="M49" s="8">
        <v>-0.5</v>
      </c>
      <c r="N49" s="7">
        <v>17196</v>
      </c>
      <c r="O49" s="7">
        <v>17622</v>
      </c>
      <c r="P49" s="8">
        <v>1.1000000000000001</v>
      </c>
      <c r="Q49" s="8">
        <v>-2.2000000000000002</v>
      </c>
      <c r="R49" s="7">
        <v>9035</v>
      </c>
      <c r="S49" s="8">
        <v>0.3</v>
      </c>
      <c r="T49" s="7">
        <v>3347</v>
      </c>
      <c r="U49" s="7">
        <v>3967</v>
      </c>
      <c r="V49" s="8">
        <v>-0.8</v>
      </c>
      <c r="W49" s="8">
        <v>-10.7</v>
      </c>
    </row>
    <row r="50" spans="1:23" x14ac:dyDescent="0.45">
      <c r="A50" s="10">
        <v>37986</v>
      </c>
      <c r="B50" s="7">
        <v>13772</v>
      </c>
      <c r="C50" s="7">
        <v>12667</v>
      </c>
      <c r="D50" s="8">
        <v>2.5</v>
      </c>
      <c r="E50" s="8">
        <v>5.7</v>
      </c>
      <c r="F50" s="7">
        <v>4394</v>
      </c>
      <c r="G50" s="8">
        <v>4.2</v>
      </c>
      <c r="H50" s="7">
        <v>17034</v>
      </c>
      <c r="I50" s="7">
        <v>16217</v>
      </c>
      <c r="J50" s="8">
        <v>2.2999999999999998</v>
      </c>
      <c r="K50" s="8">
        <v>3.7</v>
      </c>
      <c r="L50" s="7">
        <v>7389</v>
      </c>
      <c r="M50" s="8">
        <v>2.5</v>
      </c>
      <c r="N50" s="7">
        <v>18458</v>
      </c>
      <c r="O50" s="7">
        <v>18104</v>
      </c>
      <c r="P50" s="8">
        <v>2.7</v>
      </c>
      <c r="Q50" s="8">
        <v>1.1000000000000001</v>
      </c>
      <c r="R50" s="7">
        <v>9523</v>
      </c>
      <c r="S50" s="8">
        <v>0.1</v>
      </c>
      <c r="T50" s="7">
        <v>4039</v>
      </c>
      <c r="U50" s="7">
        <v>4185</v>
      </c>
      <c r="V50" s="8">
        <v>5.5</v>
      </c>
      <c r="W50" s="8">
        <v>1.4</v>
      </c>
    </row>
    <row r="51" spans="1:23" x14ac:dyDescent="0.45">
      <c r="A51" s="10">
        <v>38077</v>
      </c>
      <c r="B51" s="7">
        <v>12825</v>
      </c>
      <c r="C51" s="7">
        <v>12879</v>
      </c>
      <c r="D51" s="8">
        <v>1.7</v>
      </c>
      <c r="E51" s="8">
        <v>8.9</v>
      </c>
      <c r="F51" s="7">
        <v>4466</v>
      </c>
      <c r="G51" s="8">
        <v>7.1</v>
      </c>
      <c r="H51" s="7">
        <v>15470</v>
      </c>
      <c r="I51" s="7">
        <v>16413</v>
      </c>
      <c r="J51" s="8">
        <v>1.2</v>
      </c>
      <c r="K51" s="8">
        <v>4.9000000000000004</v>
      </c>
      <c r="L51" s="7">
        <v>7437</v>
      </c>
      <c r="M51" s="8">
        <v>1.1000000000000001</v>
      </c>
      <c r="N51" s="7">
        <v>18007</v>
      </c>
      <c r="O51" s="7">
        <v>18348</v>
      </c>
      <c r="P51" s="8">
        <v>1.3</v>
      </c>
      <c r="Q51" s="8">
        <v>4.5</v>
      </c>
      <c r="R51" s="7">
        <v>10044</v>
      </c>
      <c r="S51" s="8">
        <v>-1.8</v>
      </c>
      <c r="T51" s="7">
        <v>4528</v>
      </c>
      <c r="U51" s="7">
        <v>4163</v>
      </c>
      <c r="V51" s="8">
        <v>-0.5</v>
      </c>
      <c r="W51" s="8">
        <v>6.3</v>
      </c>
    </row>
    <row r="52" spans="1:23" x14ac:dyDescent="0.45">
      <c r="A52" s="10">
        <v>38168</v>
      </c>
      <c r="B52" s="7">
        <v>12728</v>
      </c>
      <c r="C52" s="7">
        <v>13224</v>
      </c>
      <c r="D52" s="8">
        <v>2.7</v>
      </c>
      <c r="E52" s="8">
        <v>8.9</v>
      </c>
      <c r="F52" s="7">
        <v>4593</v>
      </c>
      <c r="G52" s="8">
        <v>11</v>
      </c>
      <c r="H52" s="7">
        <v>16782</v>
      </c>
      <c r="I52" s="7">
        <v>16752</v>
      </c>
      <c r="J52" s="8">
        <v>2.1</v>
      </c>
      <c r="K52" s="8">
        <v>7.5</v>
      </c>
      <c r="L52" s="7">
        <v>7736</v>
      </c>
      <c r="M52" s="8">
        <v>3</v>
      </c>
      <c r="N52" s="7">
        <v>19215</v>
      </c>
      <c r="O52" s="7">
        <v>18784</v>
      </c>
      <c r="P52" s="8">
        <v>2.4</v>
      </c>
      <c r="Q52" s="8">
        <v>7.8</v>
      </c>
      <c r="R52" s="7">
        <v>9930</v>
      </c>
      <c r="S52" s="8">
        <v>-0.3</v>
      </c>
      <c r="T52" s="7">
        <v>4813</v>
      </c>
      <c r="U52" s="7">
        <v>4362</v>
      </c>
      <c r="V52" s="8">
        <v>4.8</v>
      </c>
      <c r="W52" s="8">
        <v>9</v>
      </c>
    </row>
    <row r="53" spans="1:23" x14ac:dyDescent="0.45">
      <c r="A53" s="10">
        <v>38260</v>
      </c>
      <c r="B53" s="7">
        <v>13171</v>
      </c>
      <c r="C53" s="7">
        <v>13631</v>
      </c>
      <c r="D53" s="8">
        <v>3.1</v>
      </c>
      <c r="E53" s="8">
        <v>10.3</v>
      </c>
      <c r="F53" s="7">
        <v>4695</v>
      </c>
      <c r="G53" s="8">
        <v>10</v>
      </c>
      <c r="H53" s="7">
        <v>17046</v>
      </c>
      <c r="I53" s="7">
        <v>16924</v>
      </c>
      <c r="J53" s="8">
        <v>1</v>
      </c>
      <c r="K53" s="8">
        <v>7.1</v>
      </c>
      <c r="L53" s="7">
        <v>7680</v>
      </c>
      <c r="M53" s="8">
        <v>3.5</v>
      </c>
      <c r="N53" s="7">
        <v>18465</v>
      </c>
      <c r="O53" s="7">
        <v>18885</v>
      </c>
      <c r="P53" s="8">
        <v>0.5</v>
      </c>
      <c r="Q53" s="8">
        <v>7.4</v>
      </c>
      <c r="R53" s="7">
        <v>9363</v>
      </c>
      <c r="S53" s="8">
        <v>3.6</v>
      </c>
      <c r="T53" s="7">
        <v>3679</v>
      </c>
      <c r="U53" s="7">
        <v>4368</v>
      </c>
      <c r="V53" s="8">
        <v>0.1</v>
      </c>
      <c r="W53" s="8">
        <v>9.9</v>
      </c>
    </row>
    <row r="54" spans="1:23" x14ac:dyDescent="0.45">
      <c r="A54" s="10">
        <v>38352</v>
      </c>
      <c r="B54" s="7">
        <v>14988</v>
      </c>
      <c r="C54" s="7">
        <v>13853</v>
      </c>
      <c r="D54" s="8">
        <v>1.6</v>
      </c>
      <c r="E54" s="8">
        <v>8.8000000000000007</v>
      </c>
      <c r="F54" s="7">
        <v>4998</v>
      </c>
      <c r="G54" s="8">
        <v>13.7</v>
      </c>
      <c r="H54" s="7">
        <v>18069</v>
      </c>
      <c r="I54" s="7">
        <v>17228</v>
      </c>
      <c r="J54" s="8">
        <v>1.8</v>
      </c>
      <c r="K54" s="8">
        <v>6.1</v>
      </c>
      <c r="L54" s="7">
        <v>7693</v>
      </c>
      <c r="M54" s="8">
        <v>4.0999999999999996</v>
      </c>
      <c r="N54" s="7">
        <v>19220</v>
      </c>
      <c r="O54" s="7">
        <v>18904</v>
      </c>
      <c r="P54" s="8">
        <v>0.1</v>
      </c>
      <c r="Q54" s="8">
        <v>4.0999999999999996</v>
      </c>
      <c r="R54" s="7">
        <v>10288</v>
      </c>
      <c r="S54" s="8">
        <v>8</v>
      </c>
      <c r="T54" s="7">
        <v>3933</v>
      </c>
      <c r="U54" s="7">
        <v>4072</v>
      </c>
      <c r="V54" s="8">
        <v>-6.8</v>
      </c>
      <c r="W54" s="8">
        <v>-2.6</v>
      </c>
    </row>
    <row r="55" spans="1:23" x14ac:dyDescent="0.45">
      <c r="A55" s="10">
        <v>38442</v>
      </c>
      <c r="B55" s="7">
        <v>13866</v>
      </c>
      <c r="C55" s="7">
        <v>14040</v>
      </c>
      <c r="D55" s="8">
        <v>1.3</v>
      </c>
      <c r="E55" s="8">
        <v>8.1</v>
      </c>
      <c r="F55" s="7">
        <v>4883</v>
      </c>
      <c r="G55" s="8">
        <v>9.3000000000000007</v>
      </c>
      <c r="H55" s="7">
        <v>16219</v>
      </c>
      <c r="I55" s="7">
        <v>17219</v>
      </c>
      <c r="J55" s="8">
        <v>0</v>
      </c>
      <c r="K55" s="8">
        <v>4.8</v>
      </c>
      <c r="L55" s="7">
        <v>7911</v>
      </c>
      <c r="M55" s="8">
        <v>6.4</v>
      </c>
      <c r="N55" s="7">
        <v>18931</v>
      </c>
      <c r="O55" s="7">
        <v>19269</v>
      </c>
      <c r="P55" s="8">
        <v>1.9</v>
      </c>
      <c r="Q55" s="8">
        <v>5.0999999999999996</v>
      </c>
      <c r="R55" s="7">
        <v>10979</v>
      </c>
      <c r="S55" s="8">
        <v>9.3000000000000007</v>
      </c>
      <c r="T55" s="7">
        <v>4922</v>
      </c>
      <c r="U55" s="7">
        <v>4500</v>
      </c>
      <c r="V55" s="8">
        <v>10.5</v>
      </c>
      <c r="W55" s="8">
        <v>8.6999999999999993</v>
      </c>
    </row>
    <row r="56" spans="1:23" x14ac:dyDescent="0.45">
      <c r="A56" s="10">
        <v>38533</v>
      </c>
      <c r="B56" s="7">
        <v>13609</v>
      </c>
      <c r="C56" s="7">
        <v>14138</v>
      </c>
      <c r="D56" s="8">
        <v>0.7</v>
      </c>
      <c r="E56" s="8">
        <v>6.9</v>
      </c>
      <c r="F56" s="7">
        <v>5002</v>
      </c>
      <c r="G56" s="8">
        <v>8.9</v>
      </c>
      <c r="H56" s="7">
        <v>17568</v>
      </c>
      <c r="I56" s="7">
        <v>17566</v>
      </c>
      <c r="J56" s="8">
        <v>2</v>
      </c>
      <c r="K56" s="8">
        <v>4.7</v>
      </c>
      <c r="L56" s="7">
        <v>8153</v>
      </c>
      <c r="M56" s="8">
        <v>5.4</v>
      </c>
      <c r="N56" s="7">
        <v>19429</v>
      </c>
      <c r="O56" s="7">
        <v>18983</v>
      </c>
      <c r="P56" s="8">
        <v>-1.5</v>
      </c>
      <c r="Q56" s="8">
        <v>1.1000000000000001</v>
      </c>
      <c r="R56" s="7">
        <v>10970</v>
      </c>
      <c r="S56" s="8">
        <v>10.5</v>
      </c>
      <c r="T56" s="7">
        <v>4565</v>
      </c>
      <c r="U56" s="7">
        <v>4159</v>
      </c>
      <c r="V56" s="8">
        <v>-7.6</v>
      </c>
      <c r="W56" s="8">
        <v>-5.2</v>
      </c>
    </row>
    <row r="57" spans="1:23" x14ac:dyDescent="0.45">
      <c r="A57" s="10">
        <v>38625</v>
      </c>
      <c r="B57" s="7">
        <v>14082</v>
      </c>
      <c r="C57" s="7">
        <v>14572</v>
      </c>
      <c r="D57" s="8">
        <v>3.1</v>
      </c>
      <c r="E57" s="8">
        <v>6.9</v>
      </c>
      <c r="F57" s="7">
        <v>5059</v>
      </c>
      <c r="G57" s="8">
        <v>7.7</v>
      </c>
      <c r="H57" s="7">
        <v>17707</v>
      </c>
      <c r="I57" s="7">
        <v>17523</v>
      </c>
      <c r="J57" s="8">
        <v>-0.2</v>
      </c>
      <c r="K57" s="8">
        <v>3.9</v>
      </c>
      <c r="L57" s="7">
        <v>8317</v>
      </c>
      <c r="M57" s="8">
        <v>8.3000000000000007</v>
      </c>
      <c r="N57" s="7">
        <v>18897</v>
      </c>
      <c r="O57" s="7">
        <v>19337</v>
      </c>
      <c r="P57" s="8">
        <v>1.9</v>
      </c>
      <c r="Q57" s="8">
        <v>2.2999999999999998</v>
      </c>
      <c r="R57" s="7">
        <v>10271</v>
      </c>
      <c r="S57" s="8">
        <v>9.6999999999999993</v>
      </c>
      <c r="T57" s="7">
        <v>3617</v>
      </c>
      <c r="U57" s="7">
        <v>4313</v>
      </c>
      <c r="V57" s="8">
        <v>3.7</v>
      </c>
      <c r="W57" s="8">
        <v>-1.7</v>
      </c>
    </row>
    <row r="58" spans="1:23" x14ac:dyDescent="0.45">
      <c r="A58" s="10">
        <v>38717</v>
      </c>
      <c r="B58" s="7">
        <v>15618</v>
      </c>
      <c r="C58" s="7">
        <v>14481</v>
      </c>
      <c r="D58" s="8">
        <v>-0.6</v>
      </c>
      <c r="E58" s="8">
        <v>4.2</v>
      </c>
      <c r="F58" s="7">
        <v>5228</v>
      </c>
      <c r="G58" s="8">
        <v>4.5999999999999996</v>
      </c>
      <c r="H58" s="7">
        <v>18109</v>
      </c>
      <c r="I58" s="7">
        <v>17270</v>
      </c>
      <c r="J58" s="8">
        <v>-1.4</v>
      </c>
      <c r="K58" s="8">
        <v>0.2</v>
      </c>
      <c r="L58" s="7">
        <v>8087</v>
      </c>
      <c r="M58" s="8">
        <v>5.0999999999999996</v>
      </c>
      <c r="N58" s="7">
        <v>19919</v>
      </c>
      <c r="O58" s="7">
        <v>19598</v>
      </c>
      <c r="P58" s="8">
        <v>1.4</v>
      </c>
      <c r="Q58" s="8">
        <v>3.6</v>
      </c>
      <c r="R58" s="7">
        <v>11022</v>
      </c>
      <c r="S58" s="8">
        <v>7.1</v>
      </c>
      <c r="T58" s="7">
        <v>4309</v>
      </c>
      <c r="U58" s="7">
        <v>4456</v>
      </c>
      <c r="V58" s="8">
        <v>3.3</v>
      </c>
      <c r="W58" s="8">
        <v>9.6</v>
      </c>
    </row>
    <row r="59" spans="1:23" x14ac:dyDescent="0.45">
      <c r="A59" s="10">
        <v>38807</v>
      </c>
      <c r="B59" s="7">
        <v>14705</v>
      </c>
      <c r="C59" s="7">
        <v>14830</v>
      </c>
      <c r="D59" s="8">
        <v>2.4</v>
      </c>
      <c r="E59" s="8">
        <v>6.1</v>
      </c>
      <c r="F59" s="7">
        <v>5028</v>
      </c>
      <c r="G59" s="8">
        <v>3</v>
      </c>
      <c r="H59" s="7">
        <v>16538</v>
      </c>
      <c r="I59" s="7">
        <v>17590</v>
      </c>
      <c r="J59" s="8">
        <v>1.9</v>
      </c>
      <c r="K59" s="8">
        <v>2</v>
      </c>
      <c r="L59" s="7">
        <v>8113</v>
      </c>
      <c r="M59" s="8">
        <v>2.6</v>
      </c>
      <c r="N59" s="7">
        <v>19445</v>
      </c>
      <c r="O59" s="7">
        <v>19781</v>
      </c>
      <c r="P59" s="8">
        <v>0.9</v>
      </c>
      <c r="Q59" s="8">
        <v>2.7</v>
      </c>
      <c r="R59" s="7">
        <v>11803</v>
      </c>
      <c r="S59" s="8">
        <v>7.5</v>
      </c>
      <c r="T59" s="7">
        <v>4895</v>
      </c>
      <c r="U59" s="7">
        <v>4422</v>
      </c>
      <c r="V59" s="8">
        <v>-0.8</v>
      </c>
      <c r="W59" s="8">
        <v>-0.5</v>
      </c>
    </row>
    <row r="60" spans="1:23" x14ac:dyDescent="0.45">
      <c r="A60" s="10">
        <v>38898</v>
      </c>
      <c r="B60" s="7">
        <v>14427</v>
      </c>
      <c r="C60" s="7">
        <v>14988</v>
      </c>
      <c r="D60" s="8">
        <v>1.1000000000000001</v>
      </c>
      <c r="E60" s="8">
        <v>6</v>
      </c>
      <c r="F60" s="7">
        <v>5141</v>
      </c>
      <c r="G60" s="8">
        <v>2.8</v>
      </c>
      <c r="H60" s="7">
        <v>17593</v>
      </c>
      <c r="I60" s="7">
        <v>17604</v>
      </c>
      <c r="J60" s="8">
        <v>0.1</v>
      </c>
      <c r="K60" s="8">
        <v>0.1</v>
      </c>
      <c r="L60" s="7">
        <v>8400</v>
      </c>
      <c r="M60" s="8">
        <v>3</v>
      </c>
      <c r="N60" s="7">
        <v>21208</v>
      </c>
      <c r="O60" s="7">
        <v>20687</v>
      </c>
      <c r="P60" s="8">
        <v>4.5999999999999996</v>
      </c>
      <c r="Q60" s="8">
        <v>9.1999999999999993</v>
      </c>
      <c r="R60" s="7">
        <v>11682</v>
      </c>
      <c r="S60" s="8">
        <v>6.5</v>
      </c>
      <c r="T60" s="7">
        <v>5523</v>
      </c>
      <c r="U60" s="7">
        <v>5075</v>
      </c>
      <c r="V60" s="8">
        <v>14.7</v>
      </c>
      <c r="W60" s="8">
        <v>21</v>
      </c>
    </row>
    <row r="61" spans="1:23" x14ac:dyDescent="0.45">
      <c r="A61" s="10">
        <v>38990</v>
      </c>
      <c r="B61" s="7">
        <v>14724</v>
      </c>
      <c r="C61" s="7">
        <v>15284</v>
      </c>
      <c r="D61" s="8">
        <v>2</v>
      </c>
      <c r="E61" s="8">
        <v>4.5999999999999996</v>
      </c>
      <c r="F61" s="7">
        <v>5181</v>
      </c>
      <c r="G61" s="8">
        <v>2.4</v>
      </c>
      <c r="H61" s="7">
        <v>18373</v>
      </c>
      <c r="I61" s="7">
        <v>18150</v>
      </c>
      <c r="J61" s="8">
        <v>3.1</v>
      </c>
      <c r="K61" s="8">
        <v>3.8</v>
      </c>
      <c r="L61" s="7">
        <v>8505</v>
      </c>
      <c r="M61" s="8">
        <v>2.2999999999999998</v>
      </c>
      <c r="N61" s="7">
        <v>20459</v>
      </c>
      <c r="O61" s="7">
        <v>21037</v>
      </c>
      <c r="P61" s="8">
        <v>1.7</v>
      </c>
      <c r="Q61" s="8">
        <v>8.3000000000000007</v>
      </c>
      <c r="R61" s="7">
        <v>10630</v>
      </c>
      <c r="S61" s="8">
        <v>3.5</v>
      </c>
      <c r="T61" s="7">
        <v>4315</v>
      </c>
      <c r="U61" s="7">
        <v>5198</v>
      </c>
      <c r="V61" s="8">
        <v>2.4</v>
      </c>
      <c r="W61" s="8">
        <v>19.3</v>
      </c>
    </row>
    <row r="62" spans="1:23" x14ac:dyDescent="0.45">
      <c r="A62" s="10">
        <v>39082</v>
      </c>
      <c r="B62" s="7">
        <v>16824</v>
      </c>
      <c r="C62" s="7">
        <v>15628</v>
      </c>
      <c r="D62" s="8">
        <v>2.2999999999999998</v>
      </c>
      <c r="E62" s="8">
        <v>7.7</v>
      </c>
      <c r="F62" s="7">
        <v>5578</v>
      </c>
      <c r="G62" s="8">
        <v>6.7</v>
      </c>
      <c r="H62" s="7">
        <v>19100</v>
      </c>
      <c r="I62" s="7">
        <v>18210</v>
      </c>
      <c r="J62" s="8">
        <v>0.3</v>
      </c>
      <c r="K62" s="8">
        <v>5.5</v>
      </c>
      <c r="L62" s="7">
        <v>8357</v>
      </c>
      <c r="M62" s="8">
        <v>3.3</v>
      </c>
      <c r="N62" s="7">
        <v>20860</v>
      </c>
      <c r="O62" s="7">
        <v>20481</v>
      </c>
      <c r="P62" s="8">
        <v>-2.6</v>
      </c>
      <c r="Q62" s="8">
        <v>4.7</v>
      </c>
      <c r="R62" s="7">
        <v>11314</v>
      </c>
      <c r="S62" s="8">
        <v>2.7</v>
      </c>
      <c r="T62" s="7">
        <v>4688</v>
      </c>
      <c r="U62" s="7">
        <v>4820</v>
      </c>
      <c r="V62" s="8">
        <v>-7.3</v>
      </c>
      <c r="W62" s="8">
        <v>8.8000000000000007</v>
      </c>
    </row>
    <row r="63" spans="1:23" x14ac:dyDescent="0.45">
      <c r="A63" s="10">
        <v>39172</v>
      </c>
      <c r="B63" s="7">
        <v>15926</v>
      </c>
      <c r="C63" s="7">
        <v>16055</v>
      </c>
      <c r="D63" s="8">
        <v>2.7</v>
      </c>
      <c r="E63" s="8">
        <v>8.3000000000000007</v>
      </c>
      <c r="F63" s="7">
        <v>5410</v>
      </c>
      <c r="G63" s="8">
        <v>7.6</v>
      </c>
      <c r="H63" s="7">
        <v>17573</v>
      </c>
      <c r="I63" s="7">
        <v>18706</v>
      </c>
      <c r="J63" s="8">
        <v>2.7</v>
      </c>
      <c r="K63" s="8">
        <v>6.3</v>
      </c>
      <c r="L63" s="7">
        <v>8430</v>
      </c>
      <c r="M63" s="8">
        <v>3.9</v>
      </c>
      <c r="N63" s="7">
        <v>20137</v>
      </c>
      <c r="O63" s="7">
        <v>20405</v>
      </c>
      <c r="P63" s="8">
        <v>-0.4</v>
      </c>
      <c r="Q63" s="8">
        <v>3.6</v>
      </c>
      <c r="R63" s="7">
        <v>11505</v>
      </c>
      <c r="S63" s="8">
        <v>-2.5</v>
      </c>
      <c r="T63" s="7">
        <v>5271</v>
      </c>
      <c r="U63" s="7">
        <v>4710</v>
      </c>
      <c r="V63" s="8">
        <v>-2.2999999999999998</v>
      </c>
      <c r="W63" s="8">
        <v>7.7</v>
      </c>
    </row>
    <row r="64" spans="1:23" x14ac:dyDescent="0.45">
      <c r="A64" s="10">
        <v>39263</v>
      </c>
      <c r="B64" s="7">
        <v>15524</v>
      </c>
      <c r="C64" s="7">
        <v>16117</v>
      </c>
      <c r="D64" s="8">
        <v>0.4</v>
      </c>
      <c r="E64" s="8">
        <v>7.6</v>
      </c>
      <c r="F64" s="7">
        <v>5468</v>
      </c>
      <c r="G64" s="8">
        <v>6.4</v>
      </c>
      <c r="H64" s="7">
        <v>18983</v>
      </c>
      <c r="I64" s="7">
        <v>19009</v>
      </c>
      <c r="J64" s="8">
        <v>1.6</v>
      </c>
      <c r="K64" s="8">
        <v>7.9</v>
      </c>
      <c r="L64" s="7">
        <v>8719</v>
      </c>
      <c r="M64" s="8">
        <v>3.8</v>
      </c>
      <c r="N64" s="7">
        <v>21518</v>
      </c>
      <c r="O64" s="7">
        <v>20986</v>
      </c>
      <c r="P64" s="8">
        <v>2.9</v>
      </c>
      <c r="Q64" s="8">
        <v>1.5</v>
      </c>
      <c r="R64" s="7">
        <v>11661</v>
      </c>
      <c r="S64" s="8">
        <v>-0.2</v>
      </c>
      <c r="T64" s="7">
        <v>5405</v>
      </c>
      <c r="U64" s="7">
        <v>4998</v>
      </c>
      <c r="V64" s="8">
        <v>6.1</v>
      </c>
      <c r="W64" s="8">
        <v>-2.1</v>
      </c>
    </row>
    <row r="65" spans="1:23" x14ac:dyDescent="0.45">
      <c r="A65" s="10">
        <v>39355</v>
      </c>
      <c r="B65" s="7">
        <v>15500</v>
      </c>
      <c r="C65" s="7">
        <v>16076</v>
      </c>
      <c r="D65" s="8">
        <v>-0.3</v>
      </c>
      <c r="E65" s="8">
        <v>5.3</v>
      </c>
      <c r="F65" s="7">
        <v>5309</v>
      </c>
      <c r="G65" s="8">
        <v>2.5</v>
      </c>
      <c r="H65" s="7">
        <v>19713</v>
      </c>
      <c r="I65" s="7">
        <v>19461</v>
      </c>
      <c r="J65" s="8">
        <v>2.4</v>
      </c>
      <c r="K65" s="8">
        <v>7.3</v>
      </c>
      <c r="L65" s="7">
        <v>8617</v>
      </c>
      <c r="M65" s="8">
        <v>1.3</v>
      </c>
      <c r="N65" s="7">
        <v>20725</v>
      </c>
      <c r="O65" s="7">
        <v>21533</v>
      </c>
      <c r="P65" s="8">
        <v>2.6</v>
      </c>
      <c r="Q65" s="8">
        <v>1.3</v>
      </c>
      <c r="R65" s="7">
        <v>11142</v>
      </c>
      <c r="S65" s="8">
        <v>4.8</v>
      </c>
      <c r="T65" s="7">
        <v>4457</v>
      </c>
      <c r="U65" s="7">
        <v>5454</v>
      </c>
      <c r="V65" s="8">
        <v>9.1</v>
      </c>
      <c r="W65" s="8">
        <v>3.3</v>
      </c>
    </row>
    <row r="66" spans="1:23" x14ac:dyDescent="0.45">
      <c r="A66" s="10">
        <v>39447</v>
      </c>
      <c r="B66" s="7">
        <v>17479</v>
      </c>
      <c r="C66" s="7">
        <v>16211</v>
      </c>
      <c r="D66" s="8">
        <v>0.8</v>
      </c>
      <c r="E66" s="8">
        <v>3.9</v>
      </c>
      <c r="F66" s="7">
        <v>5529</v>
      </c>
      <c r="G66" s="8">
        <v>-0.9</v>
      </c>
      <c r="H66" s="7">
        <v>20861</v>
      </c>
      <c r="I66" s="7">
        <v>19881</v>
      </c>
      <c r="J66" s="8">
        <v>2.2000000000000002</v>
      </c>
      <c r="K66" s="8">
        <v>9.1999999999999993</v>
      </c>
      <c r="L66" s="7">
        <v>8611</v>
      </c>
      <c r="M66" s="8">
        <v>3</v>
      </c>
      <c r="N66" s="7">
        <v>22946</v>
      </c>
      <c r="O66" s="7">
        <v>22400</v>
      </c>
      <c r="P66" s="8">
        <v>4</v>
      </c>
      <c r="Q66" s="8">
        <v>10</v>
      </c>
      <c r="R66" s="7">
        <v>12353</v>
      </c>
      <c r="S66" s="8">
        <v>9.1999999999999993</v>
      </c>
      <c r="T66" s="7">
        <v>5676</v>
      </c>
      <c r="U66" s="7">
        <v>5787</v>
      </c>
      <c r="V66" s="8">
        <v>6.1</v>
      </c>
      <c r="W66" s="8">
        <v>21.1</v>
      </c>
    </row>
    <row r="67" spans="1:23" x14ac:dyDescent="0.45">
      <c r="A67" s="10">
        <v>39538</v>
      </c>
      <c r="B67" s="7">
        <v>16279</v>
      </c>
      <c r="C67" s="7">
        <v>16305</v>
      </c>
      <c r="D67" s="8">
        <v>0.6</v>
      </c>
      <c r="E67" s="8">
        <v>2.2000000000000002</v>
      </c>
      <c r="F67" s="7">
        <v>5450</v>
      </c>
      <c r="G67" s="8">
        <v>0.7</v>
      </c>
      <c r="H67" s="7">
        <v>18730</v>
      </c>
      <c r="I67" s="7">
        <v>19936</v>
      </c>
      <c r="J67" s="8">
        <v>0.3</v>
      </c>
      <c r="K67" s="8">
        <v>6.6</v>
      </c>
      <c r="L67" s="7">
        <v>8803</v>
      </c>
      <c r="M67" s="8">
        <v>4.4000000000000004</v>
      </c>
      <c r="N67" s="7">
        <v>22966</v>
      </c>
      <c r="O67" s="7">
        <v>23138</v>
      </c>
      <c r="P67" s="8">
        <v>3.3</v>
      </c>
      <c r="Q67" s="8">
        <v>14.1</v>
      </c>
      <c r="R67" s="7">
        <v>13372</v>
      </c>
      <c r="S67" s="8">
        <v>16.2</v>
      </c>
      <c r="T67" s="7">
        <v>7062</v>
      </c>
      <c r="U67" s="7">
        <v>6252</v>
      </c>
      <c r="V67" s="8">
        <v>8</v>
      </c>
      <c r="W67" s="8">
        <v>34</v>
      </c>
    </row>
    <row r="68" spans="1:23" x14ac:dyDescent="0.45">
      <c r="A68" s="10">
        <v>39629</v>
      </c>
      <c r="B68" s="7">
        <v>15500</v>
      </c>
      <c r="C68" s="7">
        <v>16100</v>
      </c>
      <c r="D68" s="8">
        <v>-1.3</v>
      </c>
      <c r="E68" s="8">
        <v>-0.2</v>
      </c>
      <c r="F68" s="7">
        <v>5397</v>
      </c>
      <c r="G68" s="8">
        <v>-1.3</v>
      </c>
      <c r="H68" s="7">
        <v>20134</v>
      </c>
      <c r="I68" s="7">
        <v>20162</v>
      </c>
      <c r="J68" s="8">
        <v>1.1000000000000001</v>
      </c>
      <c r="K68" s="8">
        <v>6.1</v>
      </c>
      <c r="L68" s="7">
        <v>9444</v>
      </c>
      <c r="M68" s="8">
        <v>8.3000000000000007</v>
      </c>
      <c r="N68" s="7">
        <v>24000</v>
      </c>
      <c r="O68" s="7">
        <v>23432</v>
      </c>
      <c r="P68" s="8">
        <v>1.3</v>
      </c>
      <c r="Q68" s="8">
        <v>11.5</v>
      </c>
      <c r="R68" s="7">
        <v>13479</v>
      </c>
      <c r="S68" s="8">
        <v>15.6</v>
      </c>
      <c r="T68" s="7">
        <v>6438</v>
      </c>
      <c r="U68" s="7">
        <v>5979</v>
      </c>
      <c r="V68" s="8">
        <v>-4.4000000000000004</v>
      </c>
      <c r="W68" s="8">
        <v>19.100000000000001</v>
      </c>
    </row>
    <row r="69" spans="1:23" x14ac:dyDescent="0.45">
      <c r="A69" s="10">
        <v>39721</v>
      </c>
      <c r="B69" s="7">
        <v>15633</v>
      </c>
      <c r="C69" s="7">
        <v>16147</v>
      </c>
      <c r="D69" s="8">
        <v>0.3</v>
      </c>
      <c r="E69" s="8">
        <v>0.9</v>
      </c>
      <c r="F69" s="7">
        <v>5452</v>
      </c>
      <c r="G69" s="8">
        <v>2.7</v>
      </c>
      <c r="H69" s="7">
        <v>20292</v>
      </c>
      <c r="I69" s="7">
        <v>20063</v>
      </c>
      <c r="J69" s="8">
        <v>-0.5</v>
      </c>
      <c r="K69" s="8">
        <v>2.9</v>
      </c>
      <c r="L69" s="7">
        <v>9965</v>
      </c>
      <c r="M69" s="8">
        <v>15.6</v>
      </c>
      <c r="N69" s="7">
        <v>22699</v>
      </c>
      <c r="O69" s="7">
        <v>23858</v>
      </c>
      <c r="P69" s="8">
        <v>1.8</v>
      </c>
      <c r="Q69" s="8">
        <v>9.5</v>
      </c>
      <c r="R69" s="7">
        <v>12928</v>
      </c>
      <c r="S69" s="8">
        <v>16</v>
      </c>
      <c r="T69" s="7">
        <v>5153</v>
      </c>
      <c r="U69" s="7">
        <v>6433</v>
      </c>
      <c r="V69" s="8">
        <v>7.6</v>
      </c>
      <c r="W69" s="8">
        <v>15.6</v>
      </c>
    </row>
    <row r="70" spans="1:23" x14ac:dyDescent="0.45">
      <c r="A70" s="10">
        <v>39813</v>
      </c>
      <c r="B70" s="7">
        <v>17181</v>
      </c>
      <c r="C70" s="7">
        <v>15868</v>
      </c>
      <c r="D70" s="8">
        <v>-1.7</v>
      </c>
      <c r="E70" s="8">
        <v>-1.7</v>
      </c>
      <c r="F70" s="7">
        <v>5633</v>
      </c>
      <c r="G70" s="8">
        <v>1.9</v>
      </c>
      <c r="H70" s="7">
        <v>20606</v>
      </c>
      <c r="I70" s="7">
        <v>19622</v>
      </c>
      <c r="J70" s="8">
        <v>-2.2000000000000002</v>
      </c>
      <c r="K70" s="8">
        <v>-1.2</v>
      </c>
      <c r="L70" s="7">
        <v>9691</v>
      </c>
      <c r="M70" s="8">
        <v>12.5</v>
      </c>
      <c r="N70" s="7">
        <v>24377</v>
      </c>
      <c r="O70" s="7">
        <v>23662</v>
      </c>
      <c r="P70" s="8">
        <v>-0.8</v>
      </c>
      <c r="Q70" s="8">
        <v>6.2</v>
      </c>
      <c r="R70" s="7">
        <v>13683</v>
      </c>
      <c r="S70" s="8">
        <v>10.8</v>
      </c>
      <c r="T70" s="7">
        <v>6791</v>
      </c>
      <c r="U70" s="7">
        <v>6829</v>
      </c>
      <c r="V70" s="8">
        <v>6.2</v>
      </c>
      <c r="W70" s="8">
        <v>19.600000000000001</v>
      </c>
    </row>
    <row r="71" spans="1:23" x14ac:dyDescent="0.45">
      <c r="A71" s="10">
        <v>39903</v>
      </c>
      <c r="B71" s="7">
        <v>15375</v>
      </c>
      <c r="C71" s="7">
        <v>15592</v>
      </c>
      <c r="D71" s="8">
        <v>-1.7</v>
      </c>
      <c r="E71" s="8">
        <v>-5.6</v>
      </c>
      <c r="F71" s="7">
        <v>5253</v>
      </c>
      <c r="G71" s="8">
        <v>-3.6</v>
      </c>
      <c r="H71" s="7">
        <v>17716</v>
      </c>
      <c r="I71" s="7">
        <v>18831</v>
      </c>
      <c r="J71" s="8">
        <v>-4</v>
      </c>
      <c r="K71" s="8">
        <v>-5.4</v>
      </c>
      <c r="L71" s="7">
        <v>9383</v>
      </c>
      <c r="M71" s="8">
        <v>6.6</v>
      </c>
      <c r="N71" s="7">
        <v>23200</v>
      </c>
      <c r="O71" s="7">
        <v>23220</v>
      </c>
      <c r="P71" s="8">
        <v>-1.9</v>
      </c>
      <c r="Q71" s="8">
        <v>1</v>
      </c>
      <c r="R71" s="7">
        <v>15048</v>
      </c>
      <c r="S71" s="8">
        <v>12.5</v>
      </c>
      <c r="T71" s="7">
        <v>8414</v>
      </c>
      <c r="U71" s="7">
        <v>7410</v>
      </c>
      <c r="V71" s="8">
        <v>8.5</v>
      </c>
      <c r="W71" s="8">
        <v>19.100000000000001</v>
      </c>
    </row>
    <row r="72" spans="1:23" x14ac:dyDescent="0.45">
      <c r="A72" s="10">
        <v>39994</v>
      </c>
      <c r="B72" s="7">
        <v>15261</v>
      </c>
      <c r="C72" s="7">
        <v>15834</v>
      </c>
      <c r="D72" s="8">
        <v>1.6</v>
      </c>
      <c r="E72" s="8">
        <v>-1.5</v>
      </c>
      <c r="F72" s="7">
        <v>5265</v>
      </c>
      <c r="G72" s="8">
        <v>-2.5</v>
      </c>
      <c r="H72" s="7">
        <v>18568</v>
      </c>
      <c r="I72" s="7">
        <v>18594</v>
      </c>
      <c r="J72" s="8">
        <v>-1.3</v>
      </c>
      <c r="K72" s="8">
        <v>-7.8</v>
      </c>
      <c r="L72" s="7">
        <v>9221</v>
      </c>
      <c r="M72" s="8">
        <v>-2.4</v>
      </c>
      <c r="N72" s="7">
        <v>21002</v>
      </c>
      <c r="O72" s="7">
        <v>20528</v>
      </c>
      <c r="P72" s="8">
        <v>-11.6</v>
      </c>
      <c r="Q72" s="8">
        <v>-12.5</v>
      </c>
      <c r="R72" s="7">
        <v>12367</v>
      </c>
      <c r="S72" s="8">
        <v>-8.1999999999999993</v>
      </c>
      <c r="T72" s="7">
        <v>5876</v>
      </c>
      <c r="U72" s="7">
        <v>5483</v>
      </c>
      <c r="V72" s="8">
        <v>-26</v>
      </c>
      <c r="W72" s="8">
        <v>-8.6999999999999993</v>
      </c>
    </row>
    <row r="73" spans="1:23" x14ac:dyDescent="0.45">
      <c r="A73" s="10">
        <v>40086</v>
      </c>
      <c r="B73" s="7">
        <v>15620</v>
      </c>
      <c r="C73" s="7">
        <v>16103</v>
      </c>
      <c r="D73" s="8">
        <v>1.7</v>
      </c>
      <c r="E73" s="8">
        <v>-0.1</v>
      </c>
      <c r="F73" s="7">
        <v>5316</v>
      </c>
      <c r="G73" s="8">
        <v>-2.5</v>
      </c>
      <c r="H73" s="7">
        <v>18612</v>
      </c>
      <c r="I73" s="7">
        <v>18453</v>
      </c>
      <c r="J73" s="8">
        <v>-0.8</v>
      </c>
      <c r="K73" s="8">
        <v>-8.3000000000000007</v>
      </c>
      <c r="L73" s="7">
        <v>8891</v>
      </c>
      <c r="M73" s="8">
        <v>-10.8</v>
      </c>
      <c r="N73" s="7">
        <v>19467</v>
      </c>
      <c r="O73" s="7">
        <v>20692</v>
      </c>
      <c r="P73" s="8">
        <v>0.8</v>
      </c>
      <c r="Q73" s="8">
        <v>-14.2</v>
      </c>
      <c r="R73" s="7">
        <v>11263</v>
      </c>
      <c r="S73" s="8">
        <v>-12.9</v>
      </c>
      <c r="T73" s="7">
        <v>4254</v>
      </c>
      <c r="U73" s="7">
        <v>5399</v>
      </c>
      <c r="V73" s="8">
        <v>-1.5</v>
      </c>
      <c r="W73" s="8">
        <v>-17.399999999999999</v>
      </c>
    </row>
    <row r="74" spans="1:23" x14ac:dyDescent="0.45">
      <c r="A74" s="10">
        <v>40178</v>
      </c>
      <c r="B74" s="7">
        <v>17657</v>
      </c>
      <c r="C74" s="7">
        <v>16337</v>
      </c>
      <c r="D74" s="8">
        <v>1.5</v>
      </c>
      <c r="E74" s="8">
        <v>2.8</v>
      </c>
      <c r="F74" s="7">
        <v>5526</v>
      </c>
      <c r="G74" s="8">
        <v>-1.9</v>
      </c>
      <c r="H74" s="7">
        <v>19684</v>
      </c>
      <c r="I74" s="7">
        <v>18723</v>
      </c>
      <c r="J74" s="8">
        <v>1.5</v>
      </c>
      <c r="K74" s="8">
        <v>-4.5</v>
      </c>
      <c r="L74" s="7">
        <v>8622</v>
      </c>
      <c r="M74" s="8">
        <v>-11</v>
      </c>
      <c r="N74" s="7">
        <v>21643</v>
      </c>
      <c r="O74" s="7">
        <v>20893</v>
      </c>
      <c r="P74" s="8">
        <v>1</v>
      </c>
      <c r="Q74" s="8">
        <v>-11.2</v>
      </c>
      <c r="R74" s="7">
        <v>11798</v>
      </c>
      <c r="S74" s="8">
        <v>-13.8</v>
      </c>
      <c r="T74" s="7">
        <v>5376</v>
      </c>
      <c r="U74" s="7">
        <v>5333</v>
      </c>
      <c r="V74" s="8">
        <v>-1.2</v>
      </c>
      <c r="W74" s="8">
        <v>-20.8</v>
      </c>
    </row>
    <row r="75" spans="1:23" x14ac:dyDescent="0.45">
      <c r="A75" s="10">
        <v>40268</v>
      </c>
      <c r="B75" s="7">
        <v>16267</v>
      </c>
      <c r="C75" s="7">
        <v>16483</v>
      </c>
      <c r="D75" s="8">
        <v>0.9</v>
      </c>
      <c r="E75" s="8">
        <v>5.8</v>
      </c>
      <c r="F75" s="7">
        <v>5524</v>
      </c>
      <c r="G75" s="8">
        <v>5.2</v>
      </c>
      <c r="H75" s="7">
        <v>18007</v>
      </c>
      <c r="I75" s="7">
        <v>19099</v>
      </c>
      <c r="J75" s="8">
        <v>2</v>
      </c>
      <c r="K75" s="8">
        <v>1.6</v>
      </c>
      <c r="L75" s="7">
        <v>8744</v>
      </c>
      <c r="M75" s="8">
        <v>-6.8</v>
      </c>
      <c r="N75" s="7">
        <v>21481</v>
      </c>
      <c r="O75" s="7">
        <v>21399</v>
      </c>
      <c r="P75" s="8">
        <v>2.4</v>
      </c>
      <c r="Q75" s="8">
        <v>-7.4</v>
      </c>
      <c r="R75" s="7">
        <v>12773</v>
      </c>
      <c r="S75" s="8">
        <v>-15.1</v>
      </c>
      <c r="T75" s="7">
        <v>6571</v>
      </c>
      <c r="U75" s="7">
        <v>5760</v>
      </c>
      <c r="V75" s="8">
        <v>8</v>
      </c>
      <c r="W75" s="8">
        <v>-21.9</v>
      </c>
    </row>
    <row r="76" spans="1:23" x14ac:dyDescent="0.45">
      <c r="A76" s="10">
        <v>40359</v>
      </c>
      <c r="B76" s="7">
        <v>16016</v>
      </c>
      <c r="C76" s="7">
        <v>16585</v>
      </c>
      <c r="D76" s="8">
        <v>0.6</v>
      </c>
      <c r="E76" s="8">
        <v>4.9000000000000004</v>
      </c>
      <c r="F76" s="7">
        <v>5552</v>
      </c>
      <c r="G76" s="8">
        <v>5.5</v>
      </c>
      <c r="H76" s="7">
        <v>19508</v>
      </c>
      <c r="I76" s="7">
        <v>19533</v>
      </c>
      <c r="J76" s="8">
        <v>2.2999999999999998</v>
      </c>
      <c r="K76" s="8">
        <v>5.0999999999999996</v>
      </c>
      <c r="L76" s="7">
        <v>9077</v>
      </c>
      <c r="M76" s="8">
        <v>-1.6</v>
      </c>
      <c r="N76" s="7">
        <v>22323</v>
      </c>
      <c r="O76" s="7">
        <v>21852</v>
      </c>
      <c r="P76" s="8">
        <v>2.1</v>
      </c>
      <c r="Q76" s="8">
        <v>6.3</v>
      </c>
      <c r="R76" s="7">
        <v>11699</v>
      </c>
      <c r="S76" s="8">
        <v>-5.4</v>
      </c>
      <c r="T76" s="7">
        <v>6799</v>
      </c>
      <c r="U76" s="7">
        <v>6402</v>
      </c>
      <c r="V76" s="8">
        <v>11.1</v>
      </c>
      <c r="W76" s="8">
        <v>15.7</v>
      </c>
    </row>
    <row r="77" spans="1:23" x14ac:dyDescent="0.45">
      <c r="A77" s="10">
        <v>40451</v>
      </c>
      <c r="B77" s="7">
        <v>16148</v>
      </c>
      <c r="C77" s="7">
        <v>16701</v>
      </c>
      <c r="D77" s="8">
        <v>0.7</v>
      </c>
      <c r="E77" s="8">
        <v>3.4</v>
      </c>
      <c r="F77" s="7">
        <v>5657</v>
      </c>
      <c r="G77" s="8">
        <v>6.4</v>
      </c>
      <c r="H77" s="7">
        <v>20359</v>
      </c>
      <c r="I77" s="7">
        <v>20256</v>
      </c>
      <c r="J77" s="8">
        <v>3.7</v>
      </c>
      <c r="K77" s="8">
        <v>9.4</v>
      </c>
      <c r="L77" s="7">
        <v>9251</v>
      </c>
      <c r="M77" s="8">
        <v>4.0999999999999996</v>
      </c>
      <c r="N77" s="7">
        <v>20642</v>
      </c>
      <c r="O77" s="7">
        <v>22094</v>
      </c>
      <c r="P77" s="8">
        <v>1.1000000000000001</v>
      </c>
      <c r="Q77" s="8">
        <v>6</v>
      </c>
      <c r="R77" s="7">
        <v>11481</v>
      </c>
      <c r="S77" s="8">
        <v>1.9</v>
      </c>
      <c r="T77" s="7">
        <v>4962</v>
      </c>
      <c r="U77" s="7">
        <v>6371</v>
      </c>
      <c r="V77" s="8">
        <v>-0.5</v>
      </c>
      <c r="W77" s="8">
        <v>16.600000000000001</v>
      </c>
    </row>
    <row r="78" spans="1:23" x14ac:dyDescent="0.45">
      <c r="A78" s="10">
        <v>40543</v>
      </c>
      <c r="B78" s="7">
        <v>17913</v>
      </c>
      <c r="C78" s="7">
        <v>16643</v>
      </c>
      <c r="D78" s="8">
        <v>-0.3</v>
      </c>
      <c r="E78" s="8">
        <v>1.4</v>
      </c>
      <c r="F78" s="7">
        <v>6019</v>
      </c>
      <c r="G78" s="8">
        <v>8.9</v>
      </c>
      <c r="H78" s="7">
        <v>21537</v>
      </c>
      <c r="I78" s="7">
        <v>20462</v>
      </c>
      <c r="J78" s="8">
        <v>1</v>
      </c>
      <c r="K78" s="8">
        <v>9.4</v>
      </c>
      <c r="L78" s="7">
        <v>9314</v>
      </c>
      <c r="M78" s="8">
        <v>8</v>
      </c>
      <c r="N78" s="7">
        <v>23377</v>
      </c>
      <c r="O78" s="7">
        <v>22470</v>
      </c>
      <c r="P78" s="8">
        <v>1.7</v>
      </c>
      <c r="Q78" s="8">
        <v>8</v>
      </c>
      <c r="R78" s="7">
        <v>13016</v>
      </c>
      <c r="S78" s="8">
        <v>10.3</v>
      </c>
      <c r="T78" s="7">
        <v>6815</v>
      </c>
      <c r="U78" s="7">
        <v>6644</v>
      </c>
      <c r="V78" s="8">
        <v>4.3</v>
      </c>
      <c r="W78" s="8">
        <v>26.8</v>
      </c>
    </row>
    <row r="79" spans="1:23" x14ac:dyDescent="0.45">
      <c r="A79" s="10">
        <v>40633</v>
      </c>
      <c r="B79" s="7">
        <v>16768</v>
      </c>
      <c r="C79" s="7">
        <v>16954</v>
      </c>
      <c r="D79" s="8">
        <v>1.9</v>
      </c>
      <c r="E79" s="8">
        <v>3.1</v>
      </c>
      <c r="F79" s="7">
        <v>5778</v>
      </c>
      <c r="G79" s="8">
        <v>4.5999999999999996</v>
      </c>
      <c r="H79" s="7">
        <v>19691</v>
      </c>
      <c r="I79" s="7">
        <v>20825</v>
      </c>
      <c r="J79" s="8">
        <v>1.8</v>
      </c>
      <c r="K79" s="8">
        <v>9.4</v>
      </c>
      <c r="L79" s="7">
        <v>9267</v>
      </c>
      <c r="M79" s="8">
        <v>6</v>
      </c>
      <c r="N79" s="7">
        <v>23302</v>
      </c>
      <c r="O79" s="7">
        <v>23128</v>
      </c>
      <c r="P79" s="8">
        <v>2.9</v>
      </c>
      <c r="Q79" s="8">
        <v>8.5</v>
      </c>
      <c r="R79" s="7">
        <v>14067</v>
      </c>
      <c r="S79" s="8">
        <v>10.1</v>
      </c>
      <c r="T79" s="7">
        <v>7707</v>
      </c>
      <c r="U79" s="7">
        <v>6759</v>
      </c>
      <c r="V79" s="8">
        <v>1.7</v>
      </c>
      <c r="W79" s="8">
        <v>17.3</v>
      </c>
    </row>
    <row r="80" spans="1:23" x14ac:dyDescent="0.45">
      <c r="A80" s="10">
        <v>40724</v>
      </c>
      <c r="B80" s="7">
        <v>16619</v>
      </c>
      <c r="C80" s="7">
        <v>17191</v>
      </c>
      <c r="D80" s="8">
        <v>1.4</v>
      </c>
      <c r="E80" s="8">
        <v>3.8</v>
      </c>
      <c r="F80" s="7">
        <v>5652</v>
      </c>
      <c r="G80" s="8">
        <v>1.8</v>
      </c>
      <c r="H80" s="7">
        <v>21331</v>
      </c>
      <c r="I80" s="7">
        <v>21382</v>
      </c>
      <c r="J80" s="8">
        <v>2.7</v>
      </c>
      <c r="K80" s="8">
        <v>9.3000000000000007</v>
      </c>
      <c r="L80" s="7">
        <v>9276</v>
      </c>
      <c r="M80" s="8">
        <v>2.2000000000000002</v>
      </c>
      <c r="N80" s="7">
        <v>24179</v>
      </c>
      <c r="O80" s="7">
        <v>23769</v>
      </c>
      <c r="P80" s="8">
        <v>2.8</v>
      </c>
      <c r="Q80" s="8">
        <v>8.3000000000000007</v>
      </c>
      <c r="R80" s="7">
        <v>12751</v>
      </c>
      <c r="S80" s="8">
        <v>9</v>
      </c>
      <c r="T80" s="7">
        <v>7515</v>
      </c>
      <c r="U80" s="7">
        <v>7152</v>
      </c>
      <c r="V80" s="8">
        <v>5.8</v>
      </c>
      <c r="W80" s="8">
        <v>10.5</v>
      </c>
    </row>
    <row r="81" spans="1:23" x14ac:dyDescent="0.45">
      <c r="A81" s="10">
        <v>40816</v>
      </c>
      <c r="B81" s="7">
        <v>16946</v>
      </c>
      <c r="C81" s="7">
        <v>17597</v>
      </c>
      <c r="D81" s="8">
        <v>2.4</v>
      </c>
      <c r="E81" s="8">
        <v>4.9000000000000004</v>
      </c>
      <c r="F81" s="7">
        <v>5874</v>
      </c>
      <c r="G81" s="8">
        <v>3.8</v>
      </c>
      <c r="H81" s="7">
        <v>20945</v>
      </c>
      <c r="I81" s="7">
        <v>20894</v>
      </c>
      <c r="J81" s="8">
        <v>-2.2999999999999998</v>
      </c>
      <c r="K81" s="8">
        <v>2.9</v>
      </c>
      <c r="L81" s="7">
        <v>9342</v>
      </c>
      <c r="M81" s="8">
        <v>1</v>
      </c>
      <c r="N81" s="7">
        <v>21974</v>
      </c>
      <c r="O81" s="7">
        <v>23611</v>
      </c>
      <c r="P81" s="8">
        <v>-0.7</v>
      </c>
      <c r="Q81" s="8">
        <v>6.5</v>
      </c>
      <c r="R81" s="7">
        <v>13156</v>
      </c>
      <c r="S81" s="8">
        <v>14.6</v>
      </c>
      <c r="T81" s="7">
        <v>5420</v>
      </c>
      <c r="U81" s="7">
        <v>6990</v>
      </c>
      <c r="V81" s="8">
        <v>-2.2999999999999998</v>
      </c>
      <c r="W81" s="8">
        <v>9.1999999999999993</v>
      </c>
    </row>
    <row r="82" spans="1:23" x14ac:dyDescent="0.45">
      <c r="A82" s="10">
        <v>40908</v>
      </c>
      <c r="B82" s="7">
        <v>19135</v>
      </c>
      <c r="C82" s="7">
        <v>17826</v>
      </c>
      <c r="D82" s="8">
        <v>1.3</v>
      </c>
      <c r="E82" s="8">
        <v>6.8</v>
      </c>
      <c r="F82" s="7">
        <v>5987</v>
      </c>
      <c r="G82" s="8">
        <v>-0.5</v>
      </c>
      <c r="H82" s="7">
        <v>22327</v>
      </c>
      <c r="I82" s="7">
        <v>21182</v>
      </c>
      <c r="J82" s="8">
        <v>1.4</v>
      </c>
      <c r="K82" s="8">
        <v>3.7</v>
      </c>
      <c r="L82" s="7">
        <v>9491</v>
      </c>
      <c r="M82" s="8">
        <v>1.9</v>
      </c>
      <c r="N82" s="7">
        <v>24714</v>
      </c>
      <c r="O82" s="7">
        <v>23615</v>
      </c>
      <c r="P82" s="8">
        <v>0</v>
      </c>
      <c r="Q82" s="8">
        <v>5.7</v>
      </c>
      <c r="R82" s="7">
        <v>14236</v>
      </c>
      <c r="S82" s="8">
        <v>9.4</v>
      </c>
      <c r="T82" s="7">
        <v>7359</v>
      </c>
      <c r="U82" s="7">
        <v>7058</v>
      </c>
      <c r="V82" s="8">
        <v>1</v>
      </c>
      <c r="W82" s="8">
        <v>8</v>
      </c>
    </row>
    <row r="83" spans="1:23" x14ac:dyDescent="0.45">
      <c r="A83" s="10">
        <v>40999</v>
      </c>
      <c r="B83" s="7">
        <v>17638</v>
      </c>
      <c r="C83" s="7">
        <v>17682</v>
      </c>
      <c r="D83" s="8">
        <v>-0.8</v>
      </c>
      <c r="E83" s="8">
        <v>5.2</v>
      </c>
      <c r="F83" s="7">
        <v>5943</v>
      </c>
      <c r="G83" s="8">
        <v>2.8</v>
      </c>
      <c r="H83" s="7">
        <v>20438</v>
      </c>
      <c r="I83" s="7">
        <v>21565</v>
      </c>
      <c r="J83" s="8">
        <v>1.8</v>
      </c>
      <c r="K83" s="8">
        <v>3.8</v>
      </c>
      <c r="L83" s="7">
        <v>9113</v>
      </c>
      <c r="M83" s="8">
        <v>-1.7</v>
      </c>
      <c r="N83" s="7">
        <v>23609</v>
      </c>
      <c r="O83" s="7">
        <v>23369</v>
      </c>
      <c r="P83" s="8">
        <v>-1</v>
      </c>
      <c r="Q83" s="8">
        <v>1.3</v>
      </c>
      <c r="R83" s="7">
        <v>14609</v>
      </c>
      <c r="S83" s="8">
        <v>3.9</v>
      </c>
      <c r="T83" s="7">
        <v>7587</v>
      </c>
      <c r="U83" s="7">
        <v>6664</v>
      </c>
      <c r="V83" s="8">
        <v>-5.6</v>
      </c>
      <c r="W83" s="8">
        <v>-1.6</v>
      </c>
    </row>
    <row r="84" spans="1:23" x14ac:dyDescent="0.45">
      <c r="A84" s="10">
        <v>41090</v>
      </c>
      <c r="B84" s="7">
        <v>17406</v>
      </c>
      <c r="C84" s="7">
        <v>17998</v>
      </c>
      <c r="D84" s="8">
        <v>1.8</v>
      </c>
      <c r="E84" s="8">
        <v>4.7</v>
      </c>
      <c r="F84" s="7">
        <v>6033</v>
      </c>
      <c r="G84" s="8">
        <v>6.7</v>
      </c>
      <c r="H84" s="7">
        <v>21407</v>
      </c>
      <c r="I84" s="7">
        <v>21499</v>
      </c>
      <c r="J84" s="8">
        <v>-0.3</v>
      </c>
      <c r="K84" s="8">
        <v>0.4</v>
      </c>
      <c r="L84" s="7">
        <v>9577</v>
      </c>
      <c r="M84" s="8">
        <v>3.2</v>
      </c>
      <c r="N84" s="7">
        <v>23786</v>
      </c>
      <c r="O84" s="7">
        <v>23574</v>
      </c>
      <c r="P84" s="8">
        <v>0.9</v>
      </c>
      <c r="Q84" s="8">
        <v>-1.6</v>
      </c>
      <c r="R84" s="7">
        <v>12963</v>
      </c>
      <c r="S84" s="8">
        <v>1.7</v>
      </c>
      <c r="T84" s="7">
        <v>7056</v>
      </c>
      <c r="U84" s="7">
        <v>6810</v>
      </c>
      <c r="V84" s="8">
        <v>2.2000000000000002</v>
      </c>
      <c r="W84" s="8">
        <v>-6.1</v>
      </c>
    </row>
    <row r="85" spans="1:23" x14ac:dyDescent="0.45">
      <c r="A85" s="10">
        <v>41182</v>
      </c>
      <c r="B85" s="7">
        <v>17301</v>
      </c>
      <c r="C85" s="7">
        <v>17982</v>
      </c>
      <c r="D85" s="8">
        <v>-0.1</v>
      </c>
      <c r="E85" s="8">
        <v>2.1</v>
      </c>
      <c r="F85" s="7">
        <v>6111</v>
      </c>
      <c r="G85" s="8">
        <v>4</v>
      </c>
      <c r="H85" s="7">
        <v>21438</v>
      </c>
      <c r="I85" s="7">
        <v>21421</v>
      </c>
      <c r="J85" s="8">
        <v>-0.4</v>
      </c>
      <c r="K85" s="8">
        <v>2.4</v>
      </c>
      <c r="L85" s="7">
        <v>9695</v>
      </c>
      <c r="M85" s="8">
        <v>3.8</v>
      </c>
      <c r="N85" s="7">
        <v>21979</v>
      </c>
      <c r="O85" s="7">
        <v>23618</v>
      </c>
      <c r="P85" s="8">
        <v>0.2</v>
      </c>
      <c r="Q85" s="8">
        <v>0</v>
      </c>
      <c r="R85" s="7">
        <v>12730</v>
      </c>
      <c r="S85" s="8">
        <v>-3.2</v>
      </c>
      <c r="T85" s="7">
        <v>5519</v>
      </c>
      <c r="U85" s="7">
        <v>7110</v>
      </c>
      <c r="V85" s="8">
        <v>4.4000000000000004</v>
      </c>
      <c r="W85" s="8">
        <v>1.8</v>
      </c>
    </row>
    <row r="86" spans="1:23" x14ac:dyDescent="0.45">
      <c r="A86" s="10">
        <v>41274</v>
      </c>
      <c r="B86" s="7">
        <v>19669</v>
      </c>
      <c r="C86" s="7">
        <v>18217</v>
      </c>
      <c r="D86" s="8">
        <v>1.3</v>
      </c>
      <c r="E86" s="8">
        <v>2.8</v>
      </c>
      <c r="F86" s="7">
        <v>6261</v>
      </c>
      <c r="G86" s="8">
        <v>4.5999999999999996</v>
      </c>
      <c r="H86" s="7">
        <v>22765</v>
      </c>
      <c r="I86" s="7">
        <v>21551</v>
      </c>
      <c r="J86" s="8">
        <v>0.6</v>
      </c>
      <c r="K86" s="8">
        <v>2</v>
      </c>
      <c r="L86" s="7">
        <v>9645</v>
      </c>
      <c r="M86" s="8">
        <v>1.6</v>
      </c>
      <c r="N86" s="7">
        <v>24502</v>
      </c>
      <c r="O86" s="7">
        <v>23252</v>
      </c>
      <c r="P86" s="8">
        <v>-1.5</v>
      </c>
      <c r="Q86" s="8">
        <v>-0.9</v>
      </c>
      <c r="R86" s="7">
        <v>13446</v>
      </c>
      <c r="S86" s="8">
        <v>-5.5</v>
      </c>
      <c r="T86" s="7">
        <v>6949</v>
      </c>
      <c r="U86" s="7">
        <v>6559</v>
      </c>
      <c r="V86" s="8">
        <v>-7.7</v>
      </c>
      <c r="W86" s="8">
        <v>-5.6</v>
      </c>
    </row>
    <row r="87" spans="1:23" x14ac:dyDescent="0.45">
      <c r="A87" s="10">
        <v>41364</v>
      </c>
      <c r="B87" s="7">
        <v>18211</v>
      </c>
      <c r="C87" s="7">
        <v>18467</v>
      </c>
      <c r="D87" s="8">
        <v>1.4</v>
      </c>
      <c r="E87" s="8">
        <v>3.3</v>
      </c>
      <c r="F87" s="7">
        <v>6213</v>
      </c>
      <c r="G87" s="8">
        <v>4.5</v>
      </c>
      <c r="H87" s="7">
        <v>20630</v>
      </c>
      <c r="I87" s="7">
        <v>21753</v>
      </c>
      <c r="J87" s="8">
        <v>0.9</v>
      </c>
      <c r="K87" s="8">
        <v>0.9</v>
      </c>
      <c r="L87" s="7">
        <v>9603</v>
      </c>
      <c r="M87" s="8">
        <v>5.4</v>
      </c>
      <c r="N87" s="7">
        <v>23749</v>
      </c>
      <c r="O87" s="7">
        <v>23481</v>
      </c>
      <c r="P87" s="8">
        <v>1</v>
      </c>
      <c r="Q87" s="8">
        <v>0.6</v>
      </c>
      <c r="R87" s="7">
        <v>14377</v>
      </c>
      <c r="S87" s="8">
        <v>-1.6</v>
      </c>
      <c r="T87" s="7">
        <v>7773</v>
      </c>
      <c r="U87" s="7">
        <v>6848</v>
      </c>
      <c r="V87" s="8">
        <v>4.4000000000000004</v>
      </c>
      <c r="W87" s="8">
        <v>2.5</v>
      </c>
    </row>
    <row r="88" spans="1:23" x14ac:dyDescent="0.45">
      <c r="A88" s="10">
        <v>41455</v>
      </c>
      <c r="B88" s="7">
        <v>17977</v>
      </c>
      <c r="C88" s="7">
        <v>18589</v>
      </c>
      <c r="D88" s="8">
        <v>0.7</v>
      </c>
      <c r="E88" s="8">
        <v>3.3</v>
      </c>
      <c r="F88" s="7">
        <v>6057</v>
      </c>
      <c r="G88" s="8">
        <v>0.4</v>
      </c>
      <c r="H88" s="7">
        <v>21485</v>
      </c>
      <c r="I88" s="7">
        <v>21624</v>
      </c>
      <c r="J88" s="8">
        <v>-0.6</v>
      </c>
      <c r="K88" s="8">
        <v>0.4</v>
      </c>
      <c r="L88" s="7">
        <v>9625</v>
      </c>
      <c r="M88" s="8">
        <v>0.5</v>
      </c>
      <c r="N88" s="7">
        <v>23517</v>
      </c>
      <c r="O88" s="7">
        <v>23539</v>
      </c>
      <c r="P88" s="8">
        <v>0.2</v>
      </c>
      <c r="Q88" s="8">
        <v>-1.1000000000000001</v>
      </c>
      <c r="R88" s="7">
        <v>13365</v>
      </c>
      <c r="S88" s="8">
        <v>3.1</v>
      </c>
      <c r="T88" s="7">
        <v>6883</v>
      </c>
      <c r="U88" s="7">
        <v>6742</v>
      </c>
      <c r="V88" s="8">
        <v>-1.6</v>
      </c>
      <c r="W88" s="8">
        <v>-2.4</v>
      </c>
    </row>
    <row r="89" spans="1:23" x14ac:dyDescent="0.45">
      <c r="A89" s="10">
        <v>41547</v>
      </c>
      <c r="B89" s="7">
        <v>18096</v>
      </c>
      <c r="C89" s="7">
        <v>18752</v>
      </c>
      <c r="D89" s="8">
        <v>0.9</v>
      </c>
      <c r="E89" s="8">
        <v>4.5999999999999996</v>
      </c>
      <c r="F89" s="7">
        <v>6239</v>
      </c>
      <c r="G89" s="8">
        <v>2.1</v>
      </c>
      <c r="H89" s="7">
        <v>21926</v>
      </c>
      <c r="I89" s="7">
        <v>21910</v>
      </c>
      <c r="J89" s="8">
        <v>1.3</v>
      </c>
      <c r="K89" s="8">
        <v>2.2999999999999998</v>
      </c>
      <c r="L89" s="7">
        <v>9932</v>
      </c>
      <c r="M89" s="8">
        <v>2.4</v>
      </c>
      <c r="N89" s="7">
        <v>22848</v>
      </c>
      <c r="O89" s="7">
        <v>24500</v>
      </c>
      <c r="P89" s="8">
        <v>4.0999999999999996</v>
      </c>
      <c r="Q89" s="8">
        <v>4</v>
      </c>
      <c r="R89" s="7">
        <v>14556</v>
      </c>
      <c r="S89" s="8">
        <v>14.3</v>
      </c>
      <c r="T89" s="7">
        <v>5767</v>
      </c>
      <c r="U89" s="7">
        <v>7389</v>
      </c>
      <c r="V89" s="8">
        <v>9.6</v>
      </c>
      <c r="W89" s="8">
        <v>4.5</v>
      </c>
    </row>
    <row r="90" spans="1:23" x14ac:dyDescent="0.45">
      <c r="A90" s="10">
        <v>41639</v>
      </c>
      <c r="B90" s="7">
        <v>20460</v>
      </c>
      <c r="C90" s="7">
        <v>18923</v>
      </c>
      <c r="D90" s="8">
        <v>0.9</v>
      </c>
      <c r="E90" s="8">
        <v>4</v>
      </c>
      <c r="F90" s="7">
        <v>6492</v>
      </c>
      <c r="G90" s="8">
        <v>3.7</v>
      </c>
      <c r="H90" s="7">
        <v>23667</v>
      </c>
      <c r="I90" s="7">
        <v>22356</v>
      </c>
      <c r="J90" s="8">
        <v>2</v>
      </c>
      <c r="K90" s="8">
        <v>4</v>
      </c>
      <c r="L90" s="7">
        <v>9611</v>
      </c>
      <c r="M90" s="8">
        <v>-0.4</v>
      </c>
      <c r="N90" s="7">
        <v>27215</v>
      </c>
      <c r="O90" s="7">
        <v>25623</v>
      </c>
      <c r="P90" s="8">
        <v>4.5999999999999996</v>
      </c>
      <c r="Q90" s="8">
        <v>11.1</v>
      </c>
      <c r="R90" s="7">
        <v>15555</v>
      </c>
      <c r="S90" s="8">
        <v>15.7</v>
      </c>
      <c r="T90" s="7">
        <v>9112</v>
      </c>
      <c r="U90" s="7">
        <v>8497</v>
      </c>
      <c r="V90" s="8">
        <v>15</v>
      </c>
      <c r="W90" s="8">
        <v>31.1</v>
      </c>
    </row>
    <row r="91" spans="1:23" x14ac:dyDescent="0.45">
      <c r="A91" s="10">
        <v>41729</v>
      </c>
      <c r="B91" s="7">
        <v>18833</v>
      </c>
      <c r="C91" s="7">
        <v>19101</v>
      </c>
      <c r="D91" s="8">
        <v>0.9</v>
      </c>
      <c r="E91" s="8">
        <v>3.4</v>
      </c>
      <c r="F91" s="7">
        <v>6434</v>
      </c>
      <c r="G91" s="8">
        <v>3.6</v>
      </c>
      <c r="H91" s="7">
        <v>21316</v>
      </c>
      <c r="I91" s="7">
        <v>22493</v>
      </c>
      <c r="J91" s="8">
        <v>0.6</v>
      </c>
      <c r="K91" s="8">
        <v>3.3</v>
      </c>
      <c r="L91" s="7">
        <v>9720</v>
      </c>
      <c r="M91" s="8">
        <v>1.2</v>
      </c>
      <c r="N91" s="7">
        <v>26250</v>
      </c>
      <c r="O91" s="7">
        <v>26043</v>
      </c>
      <c r="P91" s="8">
        <v>1.6</v>
      </c>
      <c r="Q91" s="8">
        <v>10.5</v>
      </c>
      <c r="R91" s="7">
        <v>16307</v>
      </c>
      <c r="S91" s="8">
        <v>13.4</v>
      </c>
      <c r="T91" s="7">
        <v>9592</v>
      </c>
      <c r="U91" s="7">
        <v>8487</v>
      </c>
      <c r="V91" s="8">
        <v>-0.1</v>
      </c>
      <c r="W91" s="8">
        <v>23.4</v>
      </c>
    </row>
    <row r="92" spans="1:23" x14ac:dyDescent="0.45">
      <c r="A92" s="10">
        <v>41820</v>
      </c>
      <c r="B92" s="7">
        <v>18671</v>
      </c>
      <c r="C92" s="7">
        <v>19311</v>
      </c>
      <c r="D92" s="8">
        <v>1.1000000000000001</v>
      </c>
      <c r="E92" s="8">
        <v>3.9</v>
      </c>
      <c r="F92" s="7">
        <v>6456</v>
      </c>
      <c r="G92" s="8">
        <v>6.6</v>
      </c>
      <c r="H92" s="7">
        <v>22748</v>
      </c>
      <c r="I92" s="7">
        <v>22945</v>
      </c>
      <c r="J92" s="8">
        <v>2</v>
      </c>
      <c r="K92" s="8">
        <v>5.9</v>
      </c>
      <c r="L92" s="7">
        <v>10012</v>
      </c>
      <c r="M92" s="8">
        <v>4</v>
      </c>
      <c r="N92" s="7">
        <v>25423</v>
      </c>
      <c r="O92" s="7">
        <v>25601</v>
      </c>
      <c r="P92" s="8">
        <v>-1.7</v>
      </c>
      <c r="Q92" s="8">
        <v>8.1</v>
      </c>
      <c r="R92" s="7">
        <v>14014</v>
      </c>
      <c r="S92" s="8">
        <v>4.9000000000000004</v>
      </c>
      <c r="T92" s="7">
        <v>8129</v>
      </c>
      <c r="U92" s="7">
        <v>8044</v>
      </c>
      <c r="V92" s="8">
        <v>-5.2</v>
      </c>
      <c r="W92" s="8">
        <v>18.100000000000001</v>
      </c>
    </row>
    <row r="93" spans="1:23" x14ac:dyDescent="0.45">
      <c r="A93" s="10">
        <v>41912</v>
      </c>
      <c r="B93" s="7">
        <v>18845</v>
      </c>
      <c r="C93" s="7">
        <v>19550</v>
      </c>
      <c r="D93" s="8">
        <v>1.2</v>
      </c>
      <c r="E93" s="8">
        <v>4.0999999999999996</v>
      </c>
      <c r="F93" s="7">
        <v>6611</v>
      </c>
      <c r="G93" s="8">
        <v>5.9</v>
      </c>
      <c r="H93" s="7">
        <v>22857</v>
      </c>
      <c r="I93" s="7">
        <v>22813</v>
      </c>
      <c r="J93" s="8">
        <v>-0.6</v>
      </c>
      <c r="K93" s="8">
        <v>4.2</v>
      </c>
      <c r="L93" s="7">
        <v>10018</v>
      </c>
      <c r="M93" s="8">
        <v>0.9</v>
      </c>
      <c r="N93" s="7">
        <v>23266</v>
      </c>
      <c r="O93" s="7">
        <v>24857</v>
      </c>
      <c r="P93" s="8">
        <v>-2.9</v>
      </c>
      <c r="Q93" s="8">
        <v>1.8</v>
      </c>
      <c r="R93" s="7">
        <v>13617</v>
      </c>
      <c r="S93" s="8">
        <v>-6.4</v>
      </c>
      <c r="T93" s="7">
        <v>5892</v>
      </c>
      <c r="U93" s="7">
        <v>7524</v>
      </c>
      <c r="V93" s="8">
        <v>-6.5</v>
      </c>
      <c r="W93" s="8">
        <v>2.2000000000000002</v>
      </c>
    </row>
    <row r="94" spans="1:23" x14ac:dyDescent="0.45">
      <c r="A94" s="10">
        <v>42004</v>
      </c>
      <c r="B94" s="7">
        <v>21444</v>
      </c>
      <c r="C94" s="7">
        <v>19733</v>
      </c>
      <c r="D94" s="8">
        <v>0.9</v>
      </c>
      <c r="E94" s="8">
        <v>4.8</v>
      </c>
      <c r="F94" s="7">
        <v>6780</v>
      </c>
      <c r="G94" s="8">
        <v>4.4000000000000004</v>
      </c>
      <c r="H94" s="7">
        <v>24309</v>
      </c>
      <c r="I94" s="7">
        <v>22915</v>
      </c>
      <c r="J94" s="8">
        <v>0.4</v>
      </c>
      <c r="K94" s="8">
        <v>2.7</v>
      </c>
      <c r="L94" s="7">
        <v>10215</v>
      </c>
      <c r="M94" s="8">
        <v>6.3</v>
      </c>
      <c r="N94" s="7">
        <v>26285</v>
      </c>
      <c r="O94" s="7">
        <v>24619</v>
      </c>
      <c r="P94" s="8">
        <v>-1</v>
      </c>
      <c r="Q94" s="8">
        <v>-3.4</v>
      </c>
      <c r="R94" s="7">
        <v>13767</v>
      </c>
      <c r="S94" s="8">
        <v>-11.5</v>
      </c>
      <c r="T94" s="7">
        <v>7893</v>
      </c>
      <c r="U94" s="7">
        <v>7272</v>
      </c>
      <c r="V94" s="8">
        <v>-3.3</v>
      </c>
      <c r="W94" s="8">
        <v>-13.4</v>
      </c>
    </row>
    <row r="95" spans="1:23" x14ac:dyDescent="0.45">
      <c r="A95" s="10">
        <v>42094</v>
      </c>
      <c r="B95" s="7">
        <v>19798</v>
      </c>
      <c r="C95" s="7">
        <v>20156</v>
      </c>
      <c r="D95" s="8">
        <v>2.1</v>
      </c>
      <c r="E95" s="8">
        <v>5.0999999999999996</v>
      </c>
      <c r="F95" s="7">
        <v>6703</v>
      </c>
      <c r="G95" s="8">
        <v>4.2</v>
      </c>
      <c r="H95" s="7">
        <v>21689</v>
      </c>
      <c r="I95" s="7">
        <v>22938</v>
      </c>
      <c r="J95" s="8">
        <v>0.1</v>
      </c>
      <c r="K95" s="8">
        <v>1.7</v>
      </c>
      <c r="L95" s="7">
        <v>10190</v>
      </c>
      <c r="M95" s="8">
        <v>4.8</v>
      </c>
      <c r="N95" s="7">
        <v>24307</v>
      </c>
      <c r="O95" s="7">
        <v>24259</v>
      </c>
      <c r="P95" s="8">
        <v>-1.5</v>
      </c>
      <c r="Q95" s="8">
        <v>-7.4</v>
      </c>
      <c r="R95" s="7">
        <v>13980</v>
      </c>
      <c r="S95" s="8">
        <v>-14.3</v>
      </c>
      <c r="T95" s="7">
        <v>8081</v>
      </c>
      <c r="U95" s="7">
        <v>7220</v>
      </c>
      <c r="V95" s="8">
        <v>-0.7</v>
      </c>
      <c r="W95" s="8">
        <v>-15.8</v>
      </c>
    </row>
    <row r="96" spans="1:23" x14ac:dyDescent="0.45">
      <c r="A96" s="10">
        <v>42185</v>
      </c>
      <c r="B96" s="7">
        <v>19446</v>
      </c>
      <c r="C96" s="7">
        <v>20118</v>
      </c>
      <c r="D96" s="8">
        <v>-0.2</v>
      </c>
      <c r="E96" s="8">
        <v>4.2</v>
      </c>
      <c r="F96" s="7">
        <v>6594</v>
      </c>
      <c r="G96" s="8">
        <v>2.1</v>
      </c>
      <c r="H96" s="7">
        <v>22662</v>
      </c>
      <c r="I96" s="7">
        <v>22888</v>
      </c>
      <c r="J96" s="8">
        <v>-0.2</v>
      </c>
      <c r="K96" s="8">
        <v>-0.4</v>
      </c>
      <c r="L96" s="7">
        <v>10369</v>
      </c>
      <c r="M96" s="8">
        <v>3.6</v>
      </c>
      <c r="N96" s="7">
        <v>24003</v>
      </c>
      <c r="O96" s="7">
        <v>24203</v>
      </c>
      <c r="P96" s="8">
        <v>-0.2</v>
      </c>
      <c r="Q96" s="8">
        <v>-5.6</v>
      </c>
      <c r="R96" s="7">
        <v>13214</v>
      </c>
      <c r="S96" s="8">
        <v>-5.7</v>
      </c>
      <c r="T96" s="7">
        <v>6984</v>
      </c>
      <c r="U96" s="7">
        <v>6917</v>
      </c>
      <c r="V96" s="8">
        <v>-4.2</v>
      </c>
      <c r="W96" s="8">
        <v>-14.1</v>
      </c>
    </row>
    <row r="97" spans="1:23" x14ac:dyDescent="0.45">
      <c r="A97" s="10">
        <v>42277</v>
      </c>
      <c r="B97" s="7">
        <v>19743</v>
      </c>
      <c r="C97" s="7">
        <v>20414</v>
      </c>
      <c r="D97" s="8">
        <v>1.5</v>
      </c>
      <c r="E97" s="8">
        <v>4.8</v>
      </c>
      <c r="F97" s="7">
        <v>6896</v>
      </c>
      <c r="G97" s="8">
        <v>4.3</v>
      </c>
      <c r="H97" s="7">
        <v>23554</v>
      </c>
      <c r="I97" s="7">
        <v>23460</v>
      </c>
      <c r="J97" s="8">
        <v>2.5</v>
      </c>
      <c r="K97" s="8">
        <v>3</v>
      </c>
      <c r="L97" s="7">
        <v>10594</v>
      </c>
      <c r="M97" s="8">
        <v>5.8</v>
      </c>
      <c r="N97" s="7">
        <v>23492</v>
      </c>
      <c r="O97" s="7">
        <v>25015</v>
      </c>
      <c r="P97" s="8">
        <v>3.4</v>
      </c>
      <c r="Q97" s="8">
        <v>1</v>
      </c>
      <c r="R97" s="7">
        <v>12915</v>
      </c>
      <c r="S97" s="8">
        <v>-5.2</v>
      </c>
      <c r="T97" s="7">
        <v>5854</v>
      </c>
      <c r="U97" s="7">
        <v>7467</v>
      </c>
      <c r="V97" s="8">
        <v>8</v>
      </c>
      <c r="W97" s="8">
        <v>-0.6</v>
      </c>
    </row>
    <row r="98" spans="1:23" x14ac:dyDescent="0.45">
      <c r="A98" s="10">
        <v>42369</v>
      </c>
      <c r="B98" s="7">
        <v>22412</v>
      </c>
      <c r="C98" s="7">
        <v>20682</v>
      </c>
      <c r="D98" s="8">
        <v>1.3</v>
      </c>
      <c r="E98" s="8">
        <v>4.5</v>
      </c>
      <c r="F98" s="7">
        <v>7072</v>
      </c>
      <c r="G98" s="8">
        <v>4.3</v>
      </c>
      <c r="H98" s="7">
        <v>24882</v>
      </c>
      <c r="I98" s="7">
        <v>23431</v>
      </c>
      <c r="J98" s="8">
        <v>-0.1</v>
      </c>
      <c r="K98" s="8">
        <v>2.4</v>
      </c>
      <c r="L98" s="7">
        <v>10786</v>
      </c>
      <c r="M98" s="8">
        <v>5.6</v>
      </c>
      <c r="N98" s="7">
        <v>26290</v>
      </c>
      <c r="O98" s="7">
        <v>24547</v>
      </c>
      <c r="P98" s="8">
        <v>-1.9</v>
      </c>
      <c r="Q98" s="8">
        <v>0</v>
      </c>
      <c r="R98" s="7">
        <v>13497</v>
      </c>
      <c r="S98" s="8">
        <v>-2</v>
      </c>
      <c r="T98" s="7">
        <v>7691</v>
      </c>
      <c r="U98" s="7">
        <v>7032</v>
      </c>
      <c r="V98" s="8">
        <v>-5.8</v>
      </c>
      <c r="W98" s="8">
        <v>-2.6</v>
      </c>
    </row>
    <row r="99" spans="1:23" x14ac:dyDescent="0.45">
      <c r="A99" s="10">
        <v>42460</v>
      </c>
      <c r="B99" s="7">
        <v>20784</v>
      </c>
      <c r="C99" s="7">
        <v>20819</v>
      </c>
      <c r="D99" s="8">
        <v>0.7</v>
      </c>
      <c r="E99" s="8">
        <v>5</v>
      </c>
      <c r="F99" s="7">
        <v>6897</v>
      </c>
      <c r="G99" s="8">
        <v>2.9</v>
      </c>
      <c r="H99" s="7">
        <v>22105</v>
      </c>
      <c r="I99" s="7">
        <v>23433</v>
      </c>
      <c r="J99" s="8">
        <v>0</v>
      </c>
      <c r="K99" s="8">
        <v>1.9</v>
      </c>
      <c r="L99" s="7">
        <v>10596</v>
      </c>
      <c r="M99" s="8">
        <v>4</v>
      </c>
      <c r="N99" s="7">
        <v>24077</v>
      </c>
      <c r="O99" s="7">
        <v>24198</v>
      </c>
      <c r="P99" s="8">
        <v>-1.4</v>
      </c>
      <c r="Q99" s="8">
        <v>-0.9</v>
      </c>
      <c r="R99" s="7">
        <v>13578</v>
      </c>
      <c r="S99" s="8">
        <v>-2.9</v>
      </c>
      <c r="T99" s="7">
        <v>7609</v>
      </c>
      <c r="U99" s="7">
        <v>6865</v>
      </c>
      <c r="V99" s="8">
        <v>-2.4</v>
      </c>
      <c r="W99" s="8">
        <v>-5.8</v>
      </c>
    </row>
    <row r="100" spans="1:23" x14ac:dyDescent="0.45">
      <c r="A100" s="10">
        <v>42551</v>
      </c>
      <c r="B100" s="7">
        <v>20576</v>
      </c>
      <c r="C100" s="7">
        <v>21269</v>
      </c>
      <c r="D100" s="8">
        <v>2.2000000000000002</v>
      </c>
      <c r="E100" s="8">
        <v>5.8</v>
      </c>
      <c r="F100" s="7">
        <v>6885</v>
      </c>
      <c r="G100" s="8">
        <v>4.4000000000000004</v>
      </c>
      <c r="H100" s="7">
        <v>23406</v>
      </c>
      <c r="I100" s="7">
        <v>23642</v>
      </c>
      <c r="J100" s="8">
        <v>0.9</v>
      </c>
      <c r="K100" s="8">
        <v>3.3</v>
      </c>
      <c r="L100" s="7">
        <v>10524</v>
      </c>
      <c r="M100" s="8">
        <v>1.5</v>
      </c>
      <c r="N100" s="7">
        <v>24193</v>
      </c>
      <c r="O100" s="7">
        <v>24271</v>
      </c>
      <c r="P100" s="8">
        <v>0.3</v>
      </c>
      <c r="Q100" s="8">
        <v>0.8</v>
      </c>
      <c r="R100" s="7">
        <v>12347</v>
      </c>
      <c r="S100" s="8">
        <v>-6.6</v>
      </c>
      <c r="T100" s="7">
        <v>6876</v>
      </c>
      <c r="U100" s="7">
        <v>6780</v>
      </c>
      <c r="V100" s="8">
        <v>-1.2</v>
      </c>
      <c r="W100" s="8">
        <v>-1.5</v>
      </c>
    </row>
    <row r="101" spans="1:23" x14ac:dyDescent="0.45">
      <c r="A101" s="10">
        <v>42643</v>
      </c>
      <c r="B101" s="7">
        <v>20711</v>
      </c>
      <c r="C101" s="7">
        <v>21598</v>
      </c>
      <c r="D101" s="8">
        <v>1.5</v>
      </c>
      <c r="E101" s="8">
        <v>4.9000000000000004</v>
      </c>
      <c r="F101" s="7">
        <v>7171</v>
      </c>
      <c r="G101" s="8">
        <v>4</v>
      </c>
      <c r="H101" s="7">
        <v>23994</v>
      </c>
      <c r="I101" s="7">
        <v>23883</v>
      </c>
      <c r="J101" s="8">
        <v>1</v>
      </c>
      <c r="K101" s="8">
        <v>1.9</v>
      </c>
      <c r="L101" s="7">
        <v>10647</v>
      </c>
      <c r="M101" s="8">
        <v>0.5</v>
      </c>
      <c r="N101" s="7">
        <v>23091</v>
      </c>
      <c r="O101" s="7">
        <v>24414</v>
      </c>
      <c r="P101" s="8">
        <v>0.6</v>
      </c>
      <c r="Q101" s="8">
        <v>-1.7</v>
      </c>
      <c r="R101" s="7">
        <v>12712</v>
      </c>
      <c r="S101" s="8">
        <v>-1.6</v>
      </c>
      <c r="T101" s="7">
        <v>5306</v>
      </c>
      <c r="U101" s="7">
        <v>6778</v>
      </c>
      <c r="V101" s="8">
        <v>0</v>
      </c>
      <c r="W101" s="8">
        <v>-9.4</v>
      </c>
    </row>
    <row r="102" spans="1:23" x14ac:dyDescent="0.45">
      <c r="A102" s="10">
        <v>42735</v>
      </c>
      <c r="B102" s="7">
        <v>23678</v>
      </c>
      <c r="C102" s="7">
        <v>22010</v>
      </c>
      <c r="D102" s="8">
        <v>1.9</v>
      </c>
      <c r="E102" s="8">
        <v>5.6</v>
      </c>
      <c r="F102" s="7">
        <v>7436</v>
      </c>
      <c r="G102" s="8">
        <v>5.0999999999999996</v>
      </c>
      <c r="H102" s="7">
        <v>25705</v>
      </c>
      <c r="I102" s="7">
        <v>24188</v>
      </c>
      <c r="J102" s="8">
        <v>1.3</v>
      </c>
      <c r="K102" s="8">
        <v>3.3</v>
      </c>
      <c r="L102" s="7">
        <v>10793</v>
      </c>
      <c r="M102" s="8">
        <v>0.1</v>
      </c>
      <c r="N102" s="7">
        <v>26712</v>
      </c>
      <c r="O102" s="7">
        <v>25031</v>
      </c>
      <c r="P102" s="8">
        <v>2.5</v>
      </c>
      <c r="Q102" s="8">
        <v>1.6</v>
      </c>
      <c r="R102" s="7">
        <v>13807</v>
      </c>
      <c r="S102" s="8">
        <v>2.2999999999999998</v>
      </c>
      <c r="T102" s="7">
        <v>7789</v>
      </c>
      <c r="U102" s="7">
        <v>7074</v>
      </c>
      <c r="V102" s="8">
        <v>4.4000000000000004</v>
      </c>
      <c r="W102" s="8">
        <v>1.3</v>
      </c>
    </row>
    <row r="103" spans="1:23" x14ac:dyDescent="0.45">
      <c r="A103" s="10">
        <v>42825</v>
      </c>
      <c r="B103" s="7">
        <v>22369</v>
      </c>
      <c r="C103" s="7">
        <v>22537</v>
      </c>
      <c r="D103" s="8">
        <v>2.4</v>
      </c>
      <c r="E103" s="8">
        <v>7.6</v>
      </c>
      <c r="F103" s="7">
        <v>7569</v>
      </c>
      <c r="G103" s="8">
        <v>9.6999999999999993</v>
      </c>
      <c r="H103" s="7">
        <v>23310</v>
      </c>
      <c r="I103" s="7">
        <v>24761</v>
      </c>
      <c r="J103" s="8">
        <v>2.4</v>
      </c>
      <c r="K103" s="8">
        <v>5.5</v>
      </c>
      <c r="L103" s="7">
        <v>10907</v>
      </c>
      <c r="M103" s="8">
        <v>2.9</v>
      </c>
      <c r="N103" s="7">
        <v>25531</v>
      </c>
      <c r="O103" s="7">
        <v>25737</v>
      </c>
      <c r="P103" s="8">
        <v>2.8</v>
      </c>
      <c r="Q103" s="8">
        <v>6</v>
      </c>
      <c r="R103" s="7">
        <v>14702</v>
      </c>
      <c r="S103" s="8">
        <v>8.3000000000000007</v>
      </c>
      <c r="T103" s="7">
        <v>8054</v>
      </c>
      <c r="U103" s="7">
        <v>7303</v>
      </c>
      <c r="V103" s="8">
        <v>3.2</v>
      </c>
      <c r="W103" s="8">
        <v>5.8</v>
      </c>
    </row>
    <row r="104" spans="1:23" x14ac:dyDescent="0.45">
      <c r="A104" s="10">
        <v>42916</v>
      </c>
      <c r="B104" s="7">
        <v>22082</v>
      </c>
      <c r="C104" s="7">
        <v>22804</v>
      </c>
      <c r="D104" s="8">
        <v>1.2</v>
      </c>
      <c r="E104" s="8">
        <v>7.3</v>
      </c>
      <c r="F104" s="7">
        <v>7569</v>
      </c>
      <c r="G104" s="8">
        <v>9.9</v>
      </c>
      <c r="H104" s="7">
        <v>24841</v>
      </c>
      <c r="I104" s="7">
        <v>25100</v>
      </c>
      <c r="J104" s="8">
        <v>1.4</v>
      </c>
      <c r="K104" s="8">
        <v>6.1</v>
      </c>
      <c r="L104" s="7">
        <v>11251</v>
      </c>
      <c r="M104" s="8">
        <v>6.9</v>
      </c>
      <c r="N104" s="7">
        <v>26454</v>
      </c>
      <c r="O104" s="7">
        <v>26523</v>
      </c>
      <c r="P104" s="8">
        <v>3.1</v>
      </c>
      <c r="Q104" s="8">
        <v>9.3000000000000007</v>
      </c>
      <c r="R104" s="7">
        <v>12912</v>
      </c>
      <c r="S104" s="8">
        <v>4.5999999999999996</v>
      </c>
      <c r="T104" s="7">
        <v>8187</v>
      </c>
      <c r="U104" s="7">
        <v>8057</v>
      </c>
      <c r="V104" s="8">
        <v>10.3</v>
      </c>
      <c r="W104" s="8">
        <v>19.100000000000001</v>
      </c>
    </row>
    <row r="105" spans="1:23" x14ac:dyDescent="0.45">
      <c r="A105" s="10">
        <v>43008</v>
      </c>
      <c r="B105" s="7">
        <v>21945</v>
      </c>
      <c r="C105" s="7">
        <v>22922</v>
      </c>
      <c r="D105" s="8">
        <v>0.5</v>
      </c>
      <c r="E105" s="8">
        <v>6</v>
      </c>
      <c r="F105" s="7">
        <v>7602</v>
      </c>
      <c r="G105" s="8">
        <v>6</v>
      </c>
      <c r="H105" s="7">
        <v>25475</v>
      </c>
      <c r="I105" s="7">
        <v>25284</v>
      </c>
      <c r="J105" s="8">
        <v>0.7</v>
      </c>
      <c r="K105" s="8">
        <v>6.2</v>
      </c>
      <c r="L105" s="7">
        <v>11426</v>
      </c>
      <c r="M105" s="8">
        <v>7.3</v>
      </c>
      <c r="N105" s="7">
        <v>25116</v>
      </c>
      <c r="O105" s="7">
        <v>26714</v>
      </c>
      <c r="P105" s="8">
        <v>0.7</v>
      </c>
      <c r="Q105" s="8">
        <v>8.8000000000000007</v>
      </c>
      <c r="R105" s="7">
        <v>13252</v>
      </c>
      <c r="S105" s="8">
        <v>4.3</v>
      </c>
      <c r="T105" s="7">
        <v>6389</v>
      </c>
      <c r="U105" s="7">
        <v>8181</v>
      </c>
      <c r="V105" s="8">
        <v>1.5</v>
      </c>
      <c r="W105" s="8">
        <v>20.399999999999999</v>
      </c>
    </row>
    <row r="106" spans="1:23" x14ac:dyDescent="0.45">
      <c r="A106" s="10">
        <v>43100</v>
      </c>
      <c r="B106" s="7">
        <v>25175</v>
      </c>
      <c r="C106" s="7">
        <v>23203</v>
      </c>
      <c r="D106" s="8">
        <v>1.2</v>
      </c>
      <c r="E106" s="8">
        <v>6.3</v>
      </c>
      <c r="F106" s="7">
        <v>7849</v>
      </c>
      <c r="G106" s="8">
        <v>5.6</v>
      </c>
      <c r="H106" s="7">
        <v>27897</v>
      </c>
      <c r="I106" s="7">
        <v>26244</v>
      </c>
      <c r="J106" s="8">
        <v>3.8</v>
      </c>
      <c r="K106" s="8">
        <v>8.5</v>
      </c>
      <c r="L106" s="7">
        <v>11713</v>
      </c>
      <c r="M106" s="8">
        <v>8.5</v>
      </c>
      <c r="N106" s="7">
        <v>29415</v>
      </c>
      <c r="O106" s="7">
        <v>27567</v>
      </c>
      <c r="P106" s="8">
        <v>3.2</v>
      </c>
      <c r="Q106" s="8">
        <v>10.1</v>
      </c>
      <c r="R106" s="7">
        <v>14674</v>
      </c>
      <c r="S106" s="8">
        <v>6.3</v>
      </c>
      <c r="T106" s="7">
        <v>9230</v>
      </c>
      <c r="U106" s="7">
        <v>8388</v>
      </c>
      <c r="V106" s="8">
        <v>2.5</v>
      </c>
      <c r="W106" s="8">
        <v>18.5</v>
      </c>
    </row>
    <row r="107" spans="1:23" x14ac:dyDescent="0.45">
      <c r="A107" s="10">
        <v>43190</v>
      </c>
      <c r="B107" s="7">
        <v>23126</v>
      </c>
      <c r="C107" s="7">
        <v>23357</v>
      </c>
      <c r="D107" s="8">
        <v>0.7</v>
      </c>
      <c r="E107" s="8">
        <v>3.4</v>
      </c>
      <c r="F107" s="7">
        <v>7859</v>
      </c>
      <c r="G107" s="8">
        <v>3.8</v>
      </c>
      <c r="H107" s="7">
        <v>24728</v>
      </c>
      <c r="I107" s="7">
        <v>26318</v>
      </c>
      <c r="J107" s="8">
        <v>0.3</v>
      </c>
      <c r="K107" s="8">
        <v>6.1</v>
      </c>
      <c r="L107" s="7">
        <v>12027</v>
      </c>
      <c r="M107" s="8">
        <v>10.3</v>
      </c>
      <c r="N107" s="7">
        <v>27310</v>
      </c>
      <c r="O107" s="7">
        <v>27561</v>
      </c>
      <c r="P107" s="8">
        <v>0</v>
      </c>
      <c r="Q107" s="8">
        <v>7</v>
      </c>
      <c r="R107" s="7">
        <v>15231</v>
      </c>
      <c r="S107" s="8">
        <v>3.6</v>
      </c>
      <c r="T107" s="7">
        <v>8749</v>
      </c>
      <c r="U107" s="7">
        <v>7979</v>
      </c>
      <c r="V107" s="8">
        <v>-4.9000000000000004</v>
      </c>
      <c r="W107" s="8">
        <v>8.6</v>
      </c>
    </row>
    <row r="108" spans="1:23" x14ac:dyDescent="0.45">
      <c r="A108" s="10">
        <v>43281</v>
      </c>
      <c r="B108" s="7">
        <v>22916</v>
      </c>
      <c r="C108" s="7">
        <v>23676</v>
      </c>
      <c r="D108" s="8">
        <v>1.4</v>
      </c>
      <c r="E108" s="8">
        <v>3.8</v>
      </c>
      <c r="F108" s="7">
        <v>7859</v>
      </c>
      <c r="G108" s="8">
        <v>3.8</v>
      </c>
      <c r="H108" s="7">
        <v>26646</v>
      </c>
      <c r="I108" s="7">
        <v>26940</v>
      </c>
      <c r="J108" s="8">
        <v>2.4</v>
      </c>
      <c r="K108" s="8">
        <v>7.3</v>
      </c>
      <c r="L108" s="7">
        <v>12580</v>
      </c>
      <c r="M108" s="8">
        <v>11.8</v>
      </c>
      <c r="N108" s="7">
        <v>28061</v>
      </c>
      <c r="O108" s="7">
        <v>28041</v>
      </c>
      <c r="P108" s="8">
        <v>1.7</v>
      </c>
      <c r="Q108" s="8">
        <v>6.1</v>
      </c>
      <c r="R108" s="7">
        <v>14236</v>
      </c>
      <c r="S108" s="8">
        <v>10.3</v>
      </c>
      <c r="T108" s="7">
        <v>8547</v>
      </c>
      <c r="U108" s="7">
        <v>8316</v>
      </c>
      <c r="V108" s="8">
        <v>4.2</v>
      </c>
      <c r="W108" s="8">
        <v>4.4000000000000004</v>
      </c>
    </row>
    <row r="109" spans="1:23" x14ac:dyDescent="0.45">
      <c r="A109" s="10">
        <v>43373</v>
      </c>
      <c r="B109" s="7">
        <v>22815</v>
      </c>
      <c r="C109" s="7">
        <v>23850</v>
      </c>
      <c r="D109" s="8">
        <v>0.7</v>
      </c>
      <c r="E109" s="8">
        <v>4</v>
      </c>
      <c r="F109" s="7">
        <v>8000</v>
      </c>
      <c r="G109" s="8">
        <v>5.2</v>
      </c>
      <c r="H109" s="7">
        <v>27695</v>
      </c>
      <c r="I109" s="7">
        <v>27427</v>
      </c>
      <c r="J109" s="8">
        <v>1.8</v>
      </c>
      <c r="K109" s="8">
        <v>8.6999999999999993</v>
      </c>
      <c r="L109" s="7">
        <v>12927</v>
      </c>
      <c r="M109" s="8">
        <v>13.1</v>
      </c>
      <c r="N109" s="7">
        <v>26814</v>
      </c>
      <c r="O109" s="7">
        <v>28444</v>
      </c>
      <c r="P109" s="8">
        <v>1.4</v>
      </c>
      <c r="Q109" s="8">
        <v>6.8</v>
      </c>
      <c r="R109" s="7">
        <v>14749</v>
      </c>
      <c r="S109" s="8">
        <v>11.3</v>
      </c>
      <c r="T109" s="7">
        <v>6541</v>
      </c>
      <c r="U109" s="7">
        <v>8404</v>
      </c>
      <c r="V109" s="8">
        <v>1.1000000000000001</v>
      </c>
      <c r="W109" s="8">
        <v>2.4</v>
      </c>
    </row>
    <row r="110" spans="1:23" x14ac:dyDescent="0.45">
      <c r="A110" s="10">
        <v>43465</v>
      </c>
      <c r="B110" s="7">
        <v>26313</v>
      </c>
      <c r="C110" s="7">
        <v>24212</v>
      </c>
      <c r="D110" s="8">
        <v>1.5</v>
      </c>
      <c r="E110" s="8">
        <v>4.5</v>
      </c>
      <c r="F110" s="7">
        <v>8191</v>
      </c>
      <c r="G110" s="8">
        <v>4.4000000000000004</v>
      </c>
      <c r="H110" s="7">
        <v>29272</v>
      </c>
      <c r="I110" s="7">
        <v>27552</v>
      </c>
      <c r="J110" s="8">
        <v>0.5</v>
      </c>
      <c r="K110" s="8">
        <v>4.9000000000000004</v>
      </c>
      <c r="L110" s="7">
        <v>12865</v>
      </c>
      <c r="M110" s="8">
        <v>9.8000000000000007</v>
      </c>
      <c r="N110" s="7">
        <v>30445</v>
      </c>
      <c r="O110" s="7">
        <v>28561</v>
      </c>
      <c r="P110" s="8">
        <v>0.4</v>
      </c>
      <c r="Q110" s="8">
        <v>3.5</v>
      </c>
      <c r="R110" s="7">
        <v>15519</v>
      </c>
      <c r="S110" s="8">
        <v>5.8</v>
      </c>
      <c r="T110" s="7">
        <v>9194</v>
      </c>
      <c r="U110" s="7">
        <v>8337</v>
      </c>
      <c r="V110" s="8">
        <v>-0.8</v>
      </c>
      <c r="W110" s="8">
        <v>-0.4</v>
      </c>
    </row>
    <row r="111" spans="1:23" x14ac:dyDescent="0.45">
      <c r="A111" s="10">
        <v>43555</v>
      </c>
      <c r="B111" s="7">
        <v>23975</v>
      </c>
      <c r="C111" s="7">
        <v>24247</v>
      </c>
      <c r="D111" s="8">
        <v>0.1</v>
      </c>
      <c r="E111" s="8">
        <v>3.7</v>
      </c>
      <c r="F111" s="7">
        <v>8251</v>
      </c>
      <c r="G111" s="8">
        <v>5</v>
      </c>
      <c r="H111" s="7">
        <v>26038</v>
      </c>
      <c r="I111" s="7">
        <v>27766</v>
      </c>
      <c r="J111" s="8">
        <v>0.8</v>
      </c>
      <c r="K111" s="8">
        <v>5.3</v>
      </c>
      <c r="L111" s="7">
        <v>12933</v>
      </c>
      <c r="M111" s="8">
        <v>7.5</v>
      </c>
      <c r="N111" s="7">
        <v>28356</v>
      </c>
      <c r="O111" s="7">
        <v>28623</v>
      </c>
      <c r="P111" s="8">
        <v>0.2</v>
      </c>
      <c r="Q111" s="8">
        <v>3.8</v>
      </c>
      <c r="R111" s="7">
        <v>15933</v>
      </c>
      <c r="S111" s="8">
        <v>4.5999999999999996</v>
      </c>
      <c r="T111" s="7">
        <v>9601</v>
      </c>
      <c r="U111" s="7">
        <v>8820</v>
      </c>
      <c r="V111" s="8">
        <v>5.8</v>
      </c>
      <c r="W111" s="8">
        <v>9.6999999999999993</v>
      </c>
    </row>
    <row r="112" spans="1:23" x14ac:dyDescent="0.45">
      <c r="A112" s="10">
        <v>43646</v>
      </c>
      <c r="B112" s="7">
        <v>23698</v>
      </c>
      <c r="C112" s="7">
        <v>24488</v>
      </c>
      <c r="D112" s="8">
        <v>1</v>
      </c>
      <c r="E112" s="8">
        <v>3.4</v>
      </c>
      <c r="F112" s="7">
        <v>8155</v>
      </c>
      <c r="G112" s="8">
        <v>3.8</v>
      </c>
      <c r="H112" s="7">
        <v>27624</v>
      </c>
      <c r="I112" s="7">
        <v>27924</v>
      </c>
      <c r="J112" s="8">
        <v>0.6</v>
      </c>
      <c r="K112" s="8">
        <v>3.7</v>
      </c>
      <c r="L112" s="7">
        <v>13178</v>
      </c>
      <c r="M112" s="8">
        <v>4.7</v>
      </c>
      <c r="N112" s="7">
        <v>28425</v>
      </c>
      <c r="O112" s="7">
        <v>28381</v>
      </c>
      <c r="P112" s="8">
        <v>-0.8</v>
      </c>
      <c r="Q112" s="8">
        <v>1.3</v>
      </c>
      <c r="R112" s="7">
        <v>14654</v>
      </c>
      <c r="S112" s="8">
        <v>2.9</v>
      </c>
      <c r="T112" s="7">
        <v>8843</v>
      </c>
      <c r="U112" s="7">
        <v>8568</v>
      </c>
      <c r="V112" s="8">
        <v>-2.9</v>
      </c>
      <c r="W112" s="8">
        <v>3.5</v>
      </c>
    </row>
    <row r="113" spans="1:23" x14ac:dyDescent="0.45">
      <c r="A113" s="10">
        <v>43738</v>
      </c>
      <c r="B113" s="7">
        <v>23776</v>
      </c>
      <c r="C113" s="7">
        <v>24858</v>
      </c>
      <c r="D113" s="8">
        <v>1.5</v>
      </c>
      <c r="E113" s="8">
        <v>4.2</v>
      </c>
      <c r="F113" s="7">
        <v>8424</v>
      </c>
      <c r="G113" s="8">
        <v>5.3</v>
      </c>
      <c r="H113" s="7">
        <v>28201</v>
      </c>
      <c r="I113" s="7">
        <v>27872</v>
      </c>
      <c r="J113" s="8">
        <v>-0.2</v>
      </c>
      <c r="K113" s="8">
        <v>1.8</v>
      </c>
      <c r="L113" s="7">
        <v>13217</v>
      </c>
      <c r="M113" s="8">
        <v>2.2000000000000002</v>
      </c>
      <c r="N113" s="7">
        <v>27076</v>
      </c>
      <c r="O113" s="7">
        <v>28780</v>
      </c>
      <c r="P113" s="8">
        <v>1.4</v>
      </c>
      <c r="Q113" s="8">
        <v>1</v>
      </c>
      <c r="R113" s="7">
        <v>15101</v>
      </c>
      <c r="S113" s="8">
        <v>2.4</v>
      </c>
      <c r="T113" s="7">
        <v>6870</v>
      </c>
      <c r="U113" s="7">
        <v>8840</v>
      </c>
      <c r="V113" s="8">
        <v>3.2</v>
      </c>
      <c r="W113" s="8">
        <v>5</v>
      </c>
    </row>
    <row r="114" spans="1:23" x14ac:dyDescent="0.45">
      <c r="A114" s="10">
        <v>43830</v>
      </c>
      <c r="B114" s="7">
        <v>27198</v>
      </c>
      <c r="C114" s="7">
        <v>25003</v>
      </c>
      <c r="D114" s="8">
        <v>0.6</v>
      </c>
      <c r="E114" s="8">
        <v>3.4</v>
      </c>
      <c r="F114" s="7">
        <v>8408</v>
      </c>
      <c r="G114" s="8">
        <v>2.6</v>
      </c>
      <c r="H114" s="7">
        <v>29839</v>
      </c>
      <c r="I114" s="7">
        <v>28115</v>
      </c>
      <c r="J114" s="8">
        <v>0.9</v>
      </c>
      <c r="K114" s="8">
        <v>1.9</v>
      </c>
      <c r="L114" s="7">
        <v>13100</v>
      </c>
      <c r="M114" s="8">
        <v>1.8</v>
      </c>
      <c r="N114" s="7">
        <v>31667</v>
      </c>
      <c r="O114" s="7">
        <v>29645</v>
      </c>
      <c r="P114" s="8">
        <v>3</v>
      </c>
      <c r="Q114" s="8">
        <v>4</v>
      </c>
      <c r="R114" s="7">
        <v>16260</v>
      </c>
      <c r="S114" s="8">
        <v>4.8</v>
      </c>
      <c r="T114" s="7">
        <v>10470</v>
      </c>
      <c r="U114" s="7">
        <v>9485</v>
      </c>
      <c r="V114" s="8">
        <v>7.3</v>
      </c>
      <c r="W114" s="8">
        <v>13.9</v>
      </c>
    </row>
    <row r="115" spans="1:23" x14ac:dyDescent="0.45">
      <c r="A115" s="10">
        <v>43921</v>
      </c>
      <c r="B115" s="7">
        <v>24794</v>
      </c>
      <c r="C115" s="7">
        <v>25096</v>
      </c>
      <c r="D115" s="8">
        <v>0.4</v>
      </c>
      <c r="E115" s="8">
        <v>3.4</v>
      </c>
      <c r="F115" s="7">
        <v>8360</v>
      </c>
      <c r="G115" s="8">
        <v>1.3</v>
      </c>
      <c r="H115" s="7">
        <v>26521</v>
      </c>
      <c r="I115" s="7">
        <v>28312</v>
      </c>
      <c r="J115" s="8">
        <v>0.7</v>
      </c>
      <c r="K115" s="8">
        <v>1.9</v>
      </c>
      <c r="L115" s="7">
        <v>12730</v>
      </c>
      <c r="M115" s="8">
        <v>-1.6</v>
      </c>
      <c r="N115" s="7">
        <v>29081</v>
      </c>
      <c r="O115" s="7">
        <v>29388</v>
      </c>
      <c r="P115" s="8">
        <v>-0.9</v>
      </c>
      <c r="Q115" s="8">
        <v>2.6</v>
      </c>
      <c r="R115" s="7">
        <v>17094</v>
      </c>
      <c r="S115" s="8">
        <v>7.3</v>
      </c>
      <c r="T115" s="7">
        <v>10265</v>
      </c>
      <c r="U115" s="7">
        <v>9482</v>
      </c>
      <c r="V115" s="8">
        <v>0</v>
      </c>
      <c r="W115" s="8">
        <v>6.9</v>
      </c>
    </row>
    <row r="116" spans="1:23" x14ac:dyDescent="0.45">
      <c r="A116" s="10">
        <v>44012</v>
      </c>
      <c r="B116" s="7">
        <v>20052</v>
      </c>
      <c r="C116" s="7">
        <v>20647</v>
      </c>
      <c r="D116" s="8">
        <v>-17.7</v>
      </c>
      <c r="E116" s="8">
        <v>-15.4</v>
      </c>
      <c r="F116" s="7">
        <v>7940</v>
      </c>
      <c r="G116" s="8">
        <v>-2.6</v>
      </c>
      <c r="H116" s="7">
        <v>24951</v>
      </c>
      <c r="I116" s="7">
        <v>25179</v>
      </c>
      <c r="J116" s="8">
        <v>-11.1</v>
      </c>
      <c r="K116" s="8">
        <v>-9.6999999999999993</v>
      </c>
      <c r="L116" s="7">
        <v>13076</v>
      </c>
      <c r="M116" s="8">
        <v>-0.8</v>
      </c>
      <c r="N116" s="7">
        <v>25632</v>
      </c>
      <c r="O116" s="7">
        <v>25525</v>
      </c>
      <c r="P116" s="8">
        <v>-13.1</v>
      </c>
      <c r="Q116" s="8">
        <v>-9.8000000000000007</v>
      </c>
      <c r="R116" s="7">
        <v>14455</v>
      </c>
      <c r="S116" s="8">
        <v>-1.4</v>
      </c>
      <c r="T116" s="7">
        <v>9611</v>
      </c>
      <c r="U116" s="7">
        <v>9280</v>
      </c>
      <c r="V116" s="8">
        <v>-2.1</v>
      </c>
      <c r="W116" s="8">
        <v>8.6999999999999993</v>
      </c>
    </row>
    <row r="117" spans="1:23" x14ac:dyDescent="0.45">
      <c r="A117" s="10">
        <v>44104</v>
      </c>
      <c r="B117" s="7">
        <v>25545</v>
      </c>
      <c r="C117" s="7">
        <v>26525</v>
      </c>
      <c r="D117" s="8">
        <v>28.5</v>
      </c>
      <c r="E117" s="8">
        <v>7.4</v>
      </c>
      <c r="F117" s="7">
        <v>8034</v>
      </c>
      <c r="G117" s="8">
        <v>-4.5999999999999996</v>
      </c>
      <c r="H117" s="7">
        <v>29795</v>
      </c>
      <c r="I117" s="7">
        <v>29407</v>
      </c>
      <c r="J117" s="8">
        <v>16.8</v>
      </c>
      <c r="K117" s="8">
        <v>5.7</v>
      </c>
      <c r="L117" s="7">
        <v>12407</v>
      </c>
      <c r="M117" s="8">
        <v>-6.1</v>
      </c>
      <c r="N117" s="7">
        <v>26692</v>
      </c>
      <c r="O117" s="7">
        <v>28387</v>
      </c>
      <c r="P117" s="8">
        <v>11.2</v>
      </c>
      <c r="Q117" s="8">
        <v>-1.4</v>
      </c>
      <c r="R117" s="7">
        <v>14597</v>
      </c>
      <c r="S117" s="8">
        <v>-3.3</v>
      </c>
      <c r="T117" s="7">
        <v>6849</v>
      </c>
      <c r="U117" s="7">
        <v>8806</v>
      </c>
      <c r="V117" s="8">
        <v>-5.0999999999999996</v>
      </c>
      <c r="W117" s="8">
        <v>-0.3</v>
      </c>
    </row>
    <row r="118" spans="1:23" x14ac:dyDescent="0.45">
      <c r="A118" s="10">
        <v>44196</v>
      </c>
      <c r="B118" s="7">
        <v>28505</v>
      </c>
      <c r="C118" s="7">
        <v>26267</v>
      </c>
      <c r="D118" s="8">
        <v>-1</v>
      </c>
      <c r="E118" s="8">
        <v>4.8</v>
      </c>
      <c r="F118" s="7">
        <v>8080</v>
      </c>
      <c r="G118" s="8">
        <v>-3.9</v>
      </c>
      <c r="H118" s="7">
        <v>30658</v>
      </c>
      <c r="I118" s="7">
        <v>28915</v>
      </c>
      <c r="J118" s="8">
        <v>-1.7</v>
      </c>
      <c r="K118" s="8">
        <v>2.7</v>
      </c>
      <c r="L118" s="7">
        <v>12130</v>
      </c>
      <c r="M118" s="8">
        <v>-7.4</v>
      </c>
      <c r="N118" s="7">
        <v>30495</v>
      </c>
      <c r="O118" s="7">
        <v>28524</v>
      </c>
      <c r="P118" s="8">
        <v>0.5</v>
      </c>
      <c r="Q118" s="8">
        <v>-3.7</v>
      </c>
      <c r="R118" s="7">
        <v>16406</v>
      </c>
      <c r="S118" s="8">
        <v>0.9</v>
      </c>
      <c r="T118" s="7">
        <v>9524</v>
      </c>
      <c r="U118" s="7">
        <v>8622</v>
      </c>
      <c r="V118" s="8">
        <v>-2.1</v>
      </c>
      <c r="W118" s="8">
        <v>-9</v>
      </c>
    </row>
    <row r="119" spans="1:23" x14ac:dyDescent="0.45">
      <c r="A119" s="10">
        <v>44286</v>
      </c>
      <c r="B119" s="7">
        <v>26321</v>
      </c>
      <c r="C119" s="7">
        <v>26907</v>
      </c>
      <c r="D119" s="8">
        <v>2.4</v>
      </c>
      <c r="E119" s="8">
        <v>6.2</v>
      </c>
      <c r="F119" s="7">
        <v>8254</v>
      </c>
      <c r="G119" s="8">
        <v>-1.3</v>
      </c>
      <c r="H119" s="7">
        <v>28146</v>
      </c>
      <c r="I119" s="7">
        <v>30015</v>
      </c>
      <c r="J119" s="8">
        <v>3.8</v>
      </c>
      <c r="K119" s="8">
        <v>6.1</v>
      </c>
      <c r="L119" s="7">
        <v>12471</v>
      </c>
      <c r="M119" s="8">
        <v>-2</v>
      </c>
      <c r="N119" s="7">
        <v>29061</v>
      </c>
      <c r="O119" s="7">
        <v>29526</v>
      </c>
      <c r="P119" s="8">
        <v>3.5</v>
      </c>
      <c r="Q119" s="8">
        <v>-0.1</v>
      </c>
      <c r="R119" s="7">
        <v>17477</v>
      </c>
      <c r="S119" s="8">
        <v>2.2000000000000002</v>
      </c>
      <c r="T119" s="7">
        <v>9831</v>
      </c>
      <c r="U119" s="7">
        <v>9120</v>
      </c>
      <c r="V119" s="8">
        <v>5.8</v>
      </c>
      <c r="W119" s="8">
        <v>-4.2</v>
      </c>
    </row>
    <row r="120" spans="1:23" x14ac:dyDescent="0.45">
      <c r="A120" s="10">
        <v>44377</v>
      </c>
      <c r="B120" s="7">
        <v>27482</v>
      </c>
      <c r="C120" s="7">
        <v>28254</v>
      </c>
      <c r="D120" s="8">
        <v>5</v>
      </c>
      <c r="E120" s="8">
        <v>37.1</v>
      </c>
      <c r="F120" s="7">
        <v>8289</v>
      </c>
      <c r="G120" s="8">
        <v>4.4000000000000004</v>
      </c>
      <c r="H120" s="7">
        <v>30996</v>
      </c>
      <c r="I120" s="7">
        <v>31354</v>
      </c>
      <c r="J120" s="8">
        <v>4.5</v>
      </c>
      <c r="K120" s="8">
        <v>24.2</v>
      </c>
      <c r="L120" s="7">
        <v>12979</v>
      </c>
      <c r="M120" s="8">
        <v>-0.7</v>
      </c>
      <c r="N120" s="7">
        <v>30635</v>
      </c>
      <c r="O120" s="7">
        <v>30428</v>
      </c>
      <c r="P120" s="8">
        <v>3.1</v>
      </c>
      <c r="Q120" s="8">
        <v>19.5</v>
      </c>
      <c r="R120" s="7">
        <v>16092</v>
      </c>
      <c r="S120" s="8">
        <v>11.3</v>
      </c>
      <c r="T120" s="7">
        <v>9903</v>
      </c>
      <c r="U120" s="7">
        <v>9510</v>
      </c>
      <c r="V120" s="8">
        <v>4.3</v>
      </c>
      <c r="W120" s="8">
        <v>3</v>
      </c>
    </row>
    <row r="121" spans="1:23" x14ac:dyDescent="0.45">
      <c r="A121" s="10">
        <v>44469</v>
      </c>
      <c r="B121" s="7">
        <v>25107</v>
      </c>
      <c r="C121" s="7">
        <v>26017</v>
      </c>
      <c r="D121" s="8">
        <v>-7.9</v>
      </c>
      <c r="E121" s="8">
        <v>-1.7</v>
      </c>
      <c r="F121" s="7">
        <v>9020</v>
      </c>
      <c r="G121" s="8">
        <v>12.3</v>
      </c>
      <c r="H121" s="7">
        <v>32032</v>
      </c>
      <c r="I121" s="7">
        <v>31609</v>
      </c>
      <c r="J121" s="8">
        <v>0.8</v>
      </c>
      <c r="K121" s="8">
        <v>7.5</v>
      </c>
      <c r="L121" s="7">
        <v>13848</v>
      </c>
      <c r="M121" s="8">
        <v>11.6</v>
      </c>
      <c r="N121" s="7">
        <v>27700</v>
      </c>
      <c r="O121" s="7">
        <v>29607</v>
      </c>
      <c r="P121" s="8">
        <v>-2.7</v>
      </c>
      <c r="Q121" s="8">
        <v>3.8</v>
      </c>
      <c r="R121" s="7">
        <v>17231</v>
      </c>
      <c r="S121" s="8">
        <v>18.100000000000001</v>
      </c>
      <c r="T121" s="7">
        <v>7687</v>
      </c>
      <c r="U121" s="7">
        <v>9847</v>
      </c>
      <c r="V121" s="8">
        <v>3.5</v>
      </c>
      <c r="W121" s="8">
        <v>12.2</v>
      </c>
    </row>
    <row r="122" spans="1:23" x14ac:dyDescent="0.45">
      <c r="A122" s="10">
        <v>44561</v>
      </c>
      <c r="B122" s="7">
        <v>31002</v>
      </c>
      <c r="C122" s="7">
        <v>28603</v>
      </c>
      <c r="D122" s="8">
        <v>9.9</v>
      </c>
      <c r="E122" s="8">
        <v>8.8000000000000007</v>
      </c>
      <c r="F122" s="7">
        <v>9040</v>
      </c>
      <c r="G122" s="8">
        <v>11.9</v>
      </c>
      <c r="H122" s="7">
        <v>35976</v>
      </c>
      <c r="I122" s="7">
        <v>33928</v>
      </c>
      <c r="J122" s="8">
        <v>7.3</v>
      </c>
      <c r="K122" s="8">
        <v>17.3</v>
      </c>
      <c r="L122" s="7">
        <v>14296</v>
      </c>
      <c r="M122" s="8">
        <v>17.8</v>
      </c>
      <c r="N122" s="7">
        <v>35246</v>
      </c>
      <c r="O122" s="7">
        <v>33065</v>
      </c>
      <c r="P122" s="8">
        <v>11.7</v>
      </c>
      <c r="Q122" s="8">
        <v>15.6</v>
      </c>
      <c r="R122" s="7">
        <v>19176</v>
      </c>
      <c r="S122" s="8">
        <v>16.899999999999999</v>
      </c>
      <c r="T122" s="7">
        <v>11419</v>
      </c>
      <c r="U122" s="7">
        <v>10376</v>
      </c>
      <c r="V122" s="8">
        <v>5.4</v>
      </c>
      <c r="W122" s="8">
        <v>19.899999999999999</v>
      </c>
    </row>
    <row r="123" spans="1:23" x14ac:dyDescent="0.45">
      <c r="A123" s="10">
        <v>44651</v>
      </c>
      <c r="B123" s="7">
        <v>28434</v>
      </c>
      <c r="C123" s="7">
        <v>29021</v>
      </c>
      <c r="D123" s="8">
        <v>1.5</v>
      </c>
      <c r="E123" s="8">
        <v>8</v>
      </c>
      <c r="F123" s="7">
        <v>9273</v>
      </c>
      <c r="G123" s="8">
        <v>12.3</v>
      </c>
      <c r="H123" s="7">
        <v>32754</v>
      </c>
      <c r="I123" s="7">
        <v>34873</v>
      </c>
      <c r="J123" s="8">
        <v>2.8</v>
      </c>
      <c r="K123" s="8">
        <v>16.399999999999999</v>
      </c>
      <c r="L123" s="7">
        <v>14851</v>
      </c>
      <c r="M123" s="8">
        <v>19.100000000000001</v>
      </c>
      <c r="N123" s="7">
        <v>33303</v>
      </c>
      <c r="O123" s="7">
        <v>33811</v>
      </c>
      <c r="P123" s="8">
        <v>2.2999999999999998</v>
      </c>
      <c r="Q123" s="8">
        <v>14.6</v>
      </c>
      <c r="R123" s="7">
        <v>20847</v>
      </c>
      <c r="S123" s="8">
        <v>19.3</v>
      </c>
      <c r="T123" s="7">
        <v>11462</v>
      </c>
      <c r="U123" s="7">
        <v>10656</v>
      </c>
      <c r="V123" s="8">
        <v>2.7</v>
      </c>
      <c r="W123" s="8">
        <v>16.600000000000001</v>
      </c>
    </row>
    <row r="124" spans="1:23" x14ac:dyDescent="0.45">
      <c r="A124" s="10">
        <v>44742</v>
      </c>
      <c r="B124" s="7">
        <v>28529</v>
      </c>
      <c r="C124" s="7">
        <v>29363</v>
      </c>
      <c r="D124" s="8">
        <v>1.2</v>
      </c>
      <c r="E124" s="8">
        <v>3.8</v>
      </c>
      <c r="F124" s="7">
        <v>9283</v>
      </c>
      <c r="G124" s="8">
        <v>12</v>
      </c>
      <c r="H124" s="7">
        <v>37341</v>
      </c>
      <c r="I124" s="7">
        <v>37900</v>
      </c>
      <c r="J124" s="8">
        <v>8.6999999999999993</v>
      </c>
      <c r="K124" s="8">
        <v>20.5</v>
      </c>
      <c r="L124" s="7">
        <v>17917</v>
      </c>
      <c r="M124" s="8">
        <v>38</v>
      </c>
      <c r="N124" s="7">
        <v>32738</v>
      </c>
      <c r="O124" s="7">
        <v>32394</v>
      </c>
      <c r="P124" s="8">
        <v>-4.2</v>
      </c>
      <c r="Q124" s="8">
        <v>6.9</v>
      </c>
      <c r="R124" s="7">
        <v>18297</v>
      </c>
      <c r="S124" s="8">
        <v>13.7</v>
      </c>
      <c r="T124" s="7">
        <v>11691</v>
      </c>
      <c r="U124" s="7">
        <v>11200</v>
      </c>
      <c r="V124" s="8">
        <v>5.0999999999999996</v>
      </c>
      <c r="W124" s="8">
        <v>18</v>
      </c>
    </row>
    <row r="125" spans="1:23" x14ac:dyDescent="0.45">
      <c r="A125" s="10">
        <v>44834</v>
      </c>
      <c r="B125" s="7">
        <v>28980</v>
      </c>
      <c r="C125" s="7">
        <v>30025</v>
      </c>
      <c r="D125" s="8">
        <v>2.2999999999999998</v>
      </c>
      <c r="E125" s="8">
        <v>15.4</v>
      </c>
      <c r="F125" s="7">
        <v>9420</v>
      </c>
      <c r="G125" s="8">
        <v>4.4000000000000004</v>
      </c>
      <c r="H125" s="7">
        <v>38903</v>
      </c>
      <c r="I125" s="7">
        <v>38534</v>
      </c>
      <c r="J125" s="8">
        <v>1.7</v>
      </c>
      <c r="K125" s="8">
        <v>21.5</v>
      </c>
      <c r="L125" s="7">
        <v>18984</v>
      </c>
      <c r="M125" s="8">
        <v>37.1</v>
      </c>
      <c r="N125" s="7">
        <v>32222</v>
      </c>
      <c r="O125" s="7">
        <v>34788</v>
      </c>
      <c r="P125" s="8">
        <v>7.4</v>
      </c>
      <c r="Q125" s="8">
        <v>16.3</v>
      </c>
      <c r="R125" s="7">
        <v>18783</v>
      </c>
      <c r="S125" s="8">
        <v>9</v>
      </c>
      <c r="T125" s="7">
        <v>10336</v>
      </c>
      <c r="U125" s="7">
        <v>13226</v>
      </c>
      <c r="V125" s="8">
        <v>18.100000000000001</v>
      </c>
      <c r="W125" s="8">
        <v>34.5</v>
      </c>
    </row>
    <row r="126" spans="1:23" x14ac:dyDescent="0.45">
      <c r="A126" s="10">
        <v>44926</v>
      </c>
      <c r="B126" s="7">
        <v>32689</v>
      </c>
      <c r="C126" s="7">
        <v>30140</v>
      </c>
      <c r="D126" s="8">
        <v>0.4</v>
      </c>
      <c r="E126" s="8">
        <v>5.4</v>
      </c>
      <c r="F126" s="7">
        <v>9829</v>
      </c>
      <c r="G126" s="8">
        <v>8.6999999999999993</v>
      </c>
      <c r="H126" s="7">
        <v>41552</v>
      </c>
      <c r="I126" s="7">
        <v>39129</v>
      </c>
      <c r="J126" s="8">
        <v>1.5</v>
      </c>
      <c r="K126" s="8">
        <v>15.5</v>
      </c>
      <c r="L126" s="7">
        <v>19454</v>
      </c>
      <c r="M126" s="8">
        <v>36.1</v>
      </c>
      <c r="N126" s="7">
        <v>35749</v>
      </c>
      <c r="O126" s="7">
        <v>33341</v>
      </c>
      <c r="P126" s="8">
        <v>-4.2</v>
      </c>
      <c r="Q126" s="8">
        <v>1.4</v>
      </c>
      <c r="R126" s="7">
        <v>20178</v>
      </c>
      <c r="S126" s="8">
        <v>5.2</v>
      </c>
      <c r="T126" s="7">
        <v>13145</v>
      </c>
      <c r="U126" s="7">
        <v>11921</v>
      </c>
      <c r="V126" s="8">
        <v>-9.9</v>
      </c>
      <c r="W126" s="8">
        <v>15.1</v>
      </c>
    </row>
    <row r="127" spans="1:23" x14ac:dyDescent="0.45">
      <c r="A127" s="10">
        <v>45016</v>
      </c>
      <c r="B127" s="7">
        <v>29763</v>
      </c>
      <c r="C127" s="7">
        <v>30072</v>
      </c>
      <c r="D127" s="8">
        <v>-0.2</v>
      </c>
      <c r="E127" s="8">
        <v>4.7</v>
      </c>
      <c r="F127" s="7">
        <v>9759</v>
      </c>
      <c r="G127" s="8">
        <v>5.2</v>
      </c>
      <c r="H127" s="7">
        <v>36441</v>
      </c>
      <c r="I127" s="7">
        <v>38703</v>
      </c>
      <c r="J127" s="8">
        <v>-1.1000000000000001</v>
      </c>
      <c r="K127" s="8">
        <v>11.3</v>
      </c>
      <c r="L127" s="7">
        <v>18751</v>
      </c>
      <c r="M127" s="8">
        <v>26.3</v>
      </c>
      <c r="N127" s="7">
        <v>31712</v>
      </c>
      <c r="O127" s="7">
        <v>32252</v>
      </c>
      <c r="P127" s="8">
        <v>-3.3</v>
      </c>
      <c r="Q127" s="8">
        <v>-4.8</v>
      </c>
      <c r="R127" s="7">
        <v>20304</v>
      </c>
      <c r="S127" s="8">
        <v>-2.6</v>
      </c>
      <c r="T127" s="7">
        <v>11713</v>
      </c>
      <c r="U127" s="7">
        <v>10897</v>
      </c>
      <c r="V127" s="8">
        <v>-8.6</v>
      </c>
      <c r="W127" s="8">
        <v>2.2000000000000002</v>
      </c>
    </row>
    <row r="128" spans="1:23" x14ac:dyDescent="0.45">
      <c r="A128" s="10">
        <v>45107</v>
      </c>
      <c r="B128" s="7">
        <v>29254</v>
      </c>
      <c r="C128" s="7">
        <v>30298</v>
      </c>
      <c r="D128" s="8">
        <v>0.8</v>
      </c>
      <c r="E128" s="8">
        <v>2.5</v>
      </c>
      <c r="F128" s="7">
        <v>9378</v>
      </c>
      <c r="G128" s="8">
        <v>1</v>
      </c>
      <c r="H128" s="7">
        <v>38023</v>
      </c>
      <c r="I128" s="7">
        <v>38491</v>
      </c>
      <c r="J128" s="8">
        <v>-0.5</v>
      </c>
      <c r="K128" s="8">
        <v>1.8</v>
      </c>
      <c r="L128" s="7">
        <v>19528</v>
      </c>
      <c r="M128" s="8">
        <v>9</v>
      </c>
      <c r="N128" s="7">
        <v>32874</v>
      </c>
      <c r="O128" s="7">
        <v>32524</v>
      </c>
      <c r="P128" s="8">
        <v>0.8</v>
      </c>
      <c r="Q128" s="8">
        <v>0.4</v>
      </c>
      <c r="R128" s="7">
        <v>18115</v>
      </c>
      <c r="S128" s="8">
        <v>-1</v>
      </c>
      <c r="T128" s="7">
        <v>11840</v>
      </c>
      <c r="U128" s="7">
        <v>11371</v>
      </c>
      <c r="V128" s="8">
        <v>4.4000000000000004</v>
      </c>
      <c r="W128" s="8">
        <v>1.3</v>
      </c>
    </row>
    <row r="129" spans="1:23" x14ac:dyDescent="0.45">
      <c r="A129" s="10">
        <v>45199</v>
      </c>
      <c r="B129" s="7">
        <v>29300</v>
      </c>
      <c r="C129" s="7">
        <v>30543</v>
      </c>
      <c r="D129" s="8">
        <v>0.8</v>
      </c>
      <c r="E129" s="8">
        <v>1.1000000000000001</v>
      </c>
      <c r="F129" s="7">
        <v>9551</v>
      </c>
      <c r="G129" s="8">
        <v>1.4</v>
      </c>
      <c r="H129" s="7">
        <v>38654</v>
      </c>
      <c r="I129" s="7">
        <v>38305</v>
      </c>
      <c r="J129" s="8">
        <v>-0.5</v>
      </c>
      <c r="K129" s="8">
        <v>-0.6</v>
      </c>
      <c r="L129" s="7">
        <v>19396</v>
      </c>
      <c r="M129" s="8">
        <v>2.2000000000000002</v>
      </c>
      <c r="N129" s="7">
        <v>29676</v>
      </c>
      <c r="O129" s="7">
        <v>31754</v>
      </c>
      <c r="P129" s="8">
        <v>-2.4</v>
      </c>
      <c r="Q129" s="8">
        <v>-7.9</v>
      </c>
      <c r="R129" s="7">
        <v>17953</v>
      </c>
      <c r="S129" s="8">
        <v>-4.4000000000000004</v>
      </c>
      <c r="T129" s="7">
        <v>8616</v>
      </c>
      <c r="U129" s="7">
        <v>11000</v>
      </c>
      <c r="V129" s="8">
        <v>-3.3</v>
      </c>
      <c r="W129" s="8">
        <v>-16.600000000000001</v>
      </c>
    </row>
    <row r="130" spans="1:23" x14ac:dyDescent="0.45">
      <c r="A130" s="10">
        <v>45291</v>
      </c>
      <c r="B130" s="7">
        <v>32569</v>
      </c>
      <c r="C130" s="7">
        <v>30068</v>
      </c>
      <c r="D130" s="8">
        <v>-1.6</v>
      </c>
      <c r="E130" s="8">
        <v>-0.4</v>
      </c>
      <c r="F130" s="7">
        <v>9428</v>
      </c>
      <c r="G130" s="8">
        <v>-4.0999999999999996</v>
      </c>
      <c r="H130" s="7">
        <v>40384</v>
      </c>
      <c r="I130" s="7">
        <v>38071</v>
      </c>
      <c r="J130" s="8">
        <v>-0.6</v>
      </c>
      <c r="K130" s="8">
        <v>-2.8</v>
      </c>
      <c r="L130" s="7">
        <v>18738</v>
      </c>
      <c r="M130" s="8">
        <v>-3.7</v>
      </c>
      <c r="N130" s="7">
        <v>33393</v>
      </c>
      <c r="O130" s="7">
        <v>31263</v>
      </c>
      <c r="P130" s="8">
        <v>-1.5</v>
      </c>
      <c r="Q130" s="8">
        <v>-6.6</v>
      </c>
      <c r="R130" s="7">
        <v>18914</v>
      </c>
      <c r="S130" s="8">
        <v>-6.3</v>
      </c>
      <c r="T130" s="7">
        <v>11445</v>
      </c>
      <c r="U130" s="7">
        <v>10418</v>
      </c>
      <c r="V130" s="8">
        <v>-5.3</v>
      </c>
      <c r="W130" s="8">
        <v>-12.9</v>
      </c>
    </row>
    <row r="131" spans="1:23" x14ac:dyDescent="0.45">
      <c r="A131" s="10">
        <v>45382</v>
      </c>
      <c r="B131" s="7">
        <v>29956</v>
      </c>
      <c r="C131" s="7">
        <v>30172</v>
      </c>
      <c r="D131" s="8">
        <v>0.3</v>
      </c>
      <c r="E131" s="8">
        <v>0.6</v>
      </c>
      <c r="F131" s="7">
        <v>9402</v>
      </c>
      <c r="G131" s="8">
        <v>-3.7</v>
      </c>
      <c r="H131" s="7">
        <v>35978</v>
      </c>
      <c r="I131" s="7">
        <v>38152</v>
      </c>
      <c r="J131" s="8">
        <v>0.2</v>
      </c>
      <c r="K131" s="8">
        <v>-1.3</v>
      </c>
      <c r="L131" s="7">
        <v>18357</v>
      </c>
      <c r="M131" s="8">
        <v>-2.1</v>
      </c>
      <c r="N131" s="7">
        <v>30781</v>
      </c>
      <c r="O131" s="7">
        <v>31238</v>
      </c>
      <c r="P131" s="8">
        <v>-0.1</v>
      </c>
      <c r="Q131" s="8">
        <v>-2.9</v>
      </c>
      <c r="R131" s="7">
        <v>19276</v>
      </c>
      <c r="S131" s="8">
        <v>-5.0999999999999996</v>
      </c>
      <c r="T131" s="7">
        <v>11384</v>
      </c>
      <c r="U131" s="7">
        <v>10554</v>
      </c>
      <c r="V131" s="8">
        <v>1.3</v>
      </c>
      <c r="W131" s="8">
        <v>-2.8</v>
      </c>
    </row>
    <row r="132" spans="1:23" x14ac:dyDescent="0.45">
      <c r="A132" s="10">
        <v>45473</v>
      </c>
      <c r="B132" s="7">
        <v>28783</v>
      </c>
      <c r="C132" s="7">
        <v>29847</v>
      </c>
      <c r="D132" s="8">
        <v>-1.1000000000000001</v>
      </c>
      <c r="E132" s="8">
        <v>-1.6</v>
      </c>
      <c r="F132" s="7">
        <v>9180</v>
      </c>
      <c r="G132" s="8">
        <v>-2.1</v>
      </c>
      <c r="H132" s="7">
        <v>37289</v>
      </c>
      <c r="I132" s="7">
        <v>37699</v>
      </c>
      <c r="J132" s="8">
        <v>-1.2</v>
      </c>
      <c r="K132" s="8">
        <v>-1.9</v>
      </c>
      <c r="L132" s="7">
        <v>18579</v>
      </c>
      <c r="M132" s="8">
        <v>-4.9000000000000004</v>
      </c>
      <c r="N132" s="7">
        <v>32225</v>
      </c>
      <c r="O132" s="7">
        <v>31891</v>
      </c>
      <c r="P132" s="8">
        <v>2.1</v>
      </c>
      <c r="Q132" s="8">
        <v>-2</v>
      </c>
      <c r="R132" s="7">
        <v>17559</v>
      </c>
      <c r="S132" s="8">
        <v>-3.1</v>
      </c>
      <c r="T132" s="7">
        <v>11234</v>
      </c>
      <c r="U132" s="7">
        <v>10812</v>
      </c>
      <c r="V132" s="8">
        <v>2.4</v>
      </c>
      <c r="W132" s="8">
        <v>-5.0999999999999996</v>
      </c>
    </row>
    <row r="133" spans="1:23" x14ac:dyDescent="0.45">
      <c r="A133" s="10">
        <v>45565</v>
      </c>
      <c r="B133" s="7">
        <v>28471</v>
      </c>
      <c r="C133" s="7">
        <v>29651</v>
      </c>
      <c r="D133" s="8">
        <v>-0.7</v>
      </c>
      <c r="E133" s="8">
        <v>-2.8</v>
      </c>
      <c r="F133" s="7">
        <v>9373</v>
      </c>
      <c r="G133" s="8">
        <v>-1.9</v>
      </c>
      <c r="H133" s="7">
        <v>37630</v>
      </c>
      <c r="I133" s="7">
        <v>37335</v>
      </c>
      <c r="J133" s="8">
        <v>-1</v>
      </c>
      <c r="K133" s="8">
        <v>-2.6</v>
      </c>
      <c r="L133" s="7">
        <v>18491</v>
      </c>
      <c r="M133" s="8">
        <v>-4.7</v>
      </c>
      <c r="N133" s="7">
        <v>29783</v>
      </c>
      <c r="O133" s="7">
        <v>31969</v>
      </c>
      <c r="P133" s="8">
        <v>0.2</v>
      </c>
      <c r="Q133" s="8">
        <v>0.4</v>
      </c>
      <c r="R133" s="7">
        <v>18412</v>
      </c>
      <c r="S133" s="8">
        <v>2.6</v>
      </c>
      <c r="T133" s="7">
        <v>8794</v>
      </c>
      <c r="U133" s="7">
        <v>11260</v>
      </c>
      <c r="V133" s="8">
        <v>4.0999999999999996</v>
      </c>
      <c r="W133" s="8">
        <v>2.1</v>
      </c>
    </row>
    <row r="134" spans="1:23" x14ac:dyDescent="0.45">
      <c r="A134" s="10">
        <v>45657</v>
      </c>
      <c r="B134" s="7">
        <v>32629</v>
      </c>
      <c r="C134" s="7">
        <v>30131</v>
      </c>
      <c r="D134" s="8">
        <v>1.6</v>
      </c>
      <c r="E134" s="8">
        <v>0.2</v>
      </c>
      <c r="F134" s="7">
        <v>9379</v>
      </c>
      <c r="G134" s="8">
        <v>-0.5</v>
      </c>
      <c r="H134" s="7">
        <v>39753</v>
      </c>
      <c r="I134" s="7">
        <v>37540</v>
      </c>
      <c r="J134" s="8">
        <v>0.5</v>
      </c>
      <c r="K134" s="8">
        <v>-1.6</v>
      </c>
      <c r="L134" s="7">
        <v>18052</v>
      </c>
      <c r="M134" s="8">
        <v>-3.7</v>
      </c>
      <c r="N134" s="7">
        <v>35137</v>
      </c>
      <c r="O134" s="7">
        <v>32845</v>
      </c>
      <c r="P134" s="8">
        <v>2.7</v>
      </c>
      <c r="Q134" s="8">
        <v>5.2</v>
      </c>
      <c r="R134" s="7">
        <v>20319</v>
      </c>
      <c r="S134" s="8">
        <v>7.4</v>
      </c>
      <c r="T134" s="7">
        <v>13263</v>
      </c>
      <c r="U134" s="7">
        <v>12055</v>
      </c>
      <c r="V134" s="8">
        <v>7.1</v>
      </c>
      <c r="W134" s="8">
        <v>15.9</v>
      </c>
    </row>
    <row r="135" spans="1:23" x14ac:dyDescent="0.45">
      <c r="A135" s="10">
        <v>45747</v>
      </c>
      <c r="B135" s="7">
        <v>30372</v>
      </c>
      <c r="C135" s="7">
        <v>30567</v>
      </c>
      <c r="D135" s="8">
        <v>1.4</v>
      </c>
      <c r="E135" s="8">
        <v>1.4</v>
      </c>
      <c r="F135" s="7">
        <v>9259</v>
      </c>
      <c r="G135" s="8">
        <v>-1.5</v>
      </c>
      <c r="H135" s="7">
        <v>36654</v>
      </c>
      <c r="I135" s="7">
        <v>38826</v>
      </c>
      <c r="J135" s="8">
        <v>3.4</v>
      </c>
      <c r="K135" s="8">
        <v>1.9</v>
      </c>
      <c r="L135" s="7">
        <v>17974</v>
      </c>
      <c r="M135" s="8">
        <v>-2.1</v>
      </c>
      <c r="N135" s="7">
        <v>34203</v>
      </c>
      <c r="O135" s="7">
        <v>34433</v>
      </c>
      <c r="P135" s="8">
        <v>4.8</v>
      </c>
      <c r="Q135" s="8">
        <v>11.1</v>
      </c>
      <c r="R135" s="7">
        <v>21204</v>
      </c>
      <c r="S135" s="8">
        <v>10</v>
      </c>
      <c r="T135" s="7">
        <v>14185</v>
      </c>
      <c r="U135" s="7">
        <v>13103</v>
      </c>
      <c r="V135" s="8">
        <v>8.6999999999999993</v>
      </c>
      <c r="W135" s="8">
        <v>24.6</v>
      </c>
    </row>
    <row r="136" spans="1:23" x14ac:dyDescent="0.45">
      <c r="A136" s="10">
        <v>45838</v>
      </c>
      <c r="B136" s="7">
        <v>29504</v>
      </c>
      <c r="C136" s="7">
        <v>30603</v>
      </c>
      <c r="D136" s="8">
        <v>0.1</v>
      </c>
      <c r="E136" s="8">
        <v>2.5</v>
      </c>
      <c r="F136" s="7">
        <v>9035</v>
      </c>
      <c r="G136" s="8">
        <v>-1.6</v>
      </c>
      <c r="H136" s="7">
        <v>38437</v>
      </c>
      <c r="I136" s="7">
        <v>38805</v>
      </c>
      <c r="J136" s="8">
        <v>-0.1</v>
      </c>
      <c r="K136" s="8">
        <v>3.1</v>
      </c>
      <c r="L136" s="7">
        <v>17940</v>
      </c>
      <c r="M136" s="8">
        <v>-3.4</v>
      </c>
      <c r="N136" s="7">
        <v>33745</v>
      </c>
      <c r="O136" s="7">
        <v>33388</v>
      </c>
      <c r="P136" s="8">
        <v>-3</v>
      </c>
      <c r="Q136" s="8">
        <v>4.7</v>
      </c>
      <c r="R136" s="7">
        <v>18594</v>
      </c>
      <c r="S136" s="8">
        <v>5.9</v>
      </c>
      <c r="T136" s="7">
        <v>12849</v>
      </c>
      <c r="U136" s="7">
        <v>12416</v>
      </c>
      <c r="V136" s="8">
        <v>-5.2</v>
      </c>
      <c r="W136" s="8">
        <v>14.4</v>
      </c>
    </row>
  </sheetData>
  <hyperlinks>
    <hyperlink ref="B5" location="'Series Definitions'!R2C3" display="RTS06.Q.S1G.na" xr:uid="{00000000-0004-0000-0000-000000000000}"/>
    <hyperlink ref="C5" location="'Series Definitions'!R3C3" display="RTS06.Q.S1G.ns" xr:uid="{00000000-0004-0000-0000-000001000000}"/>
    <hyperlink ref="D5" location="'Series Definitions'!R4C3" display="RTS06.Q.S1G.nsq" xr:uid="{00000000-0004-0000-0000-000002000000}"/>
    <hyperlink ref="E5" location="'Series Definitions'!R5C3" display="RTS06.Q.S1G.nay" xr:uid="{00000000-0004-0000-0000-000003000000}"/>
    <hyperlink ref="F5" location="'Series Definitions'!R6C3" display="RTS06.Q.VG.na" xr:uid="{00000000-0004-0000-0000-000004000000}"/>
    <hyperlink ref="G5" location="'Series Definitions'!R7C3" display="RTS06.Q.VG.nay" xr:uid="{00000000-0004-0000-0000-000005000000}"/>
    <hyperlink ref="H5" location="'Series Definitions'!R8C3" display="WTS06.Q.S1F0.na" xr:uid="{00000000-0004-0000-0000-000006000000}"/>
    <hyperlink ref="I5" location="'Series Definitions'!R9C3" display="WTS06.Q.S1F0.ns" xr:uid="{00000000-0004-0000-0000-000007000000}"/>
    <hyperlink ref="J5" location="'Series Definitions'!R10C3" display="WTS06.Q.S1F0.nsq" xr:uid="{00000000-0004-0000-0000-000008000000}"/>
    <hyperlink ref="K5" location="'Series Definitions'!R11C3" display="WTS06.Q.S1F0.nay" xr:uid="{00000000-0004-0000-0000-000009000000}"/>
    <hyperlink ref="L5" location="'Series Definitions'!R12C3" display="WTS06.Q.VF0.na" xr:uid="{00000000-0004-0000-0000-00000A000000}"/>
    <hyperlink ref="M5" location="'Series Definitions'!R13C3" display="WTS06.Q.VF0.nay" xr:uid="{00000000-0004-0000-0000-00000B000000}"/>
    <hyperlink ref="N5" location="'Series Definitions'!R14C3" display="MAN06.Q.S1C0.na" xr:uid="{00000000-0004-0000-0000-00000C000000}"/>
    <hyperlink ref="O5" location="'Series Definitions'!R15C3" display="MAN06.Q.S1C0.ns" xr:uid="{00000000-0004-0000-0000-00000D000000}"/>
    <hyperlink ref="P5" location="'Series Definitions'!R16C3" display="MAN06.Q.S1C0.nsq" xr:uid="{00000000-0004-0000-0000-00000E000000}"/>
    <hyperlink ref="Q5" location="'Series Definitions'!R17C3" display="MAN06.Q.S1C0.nay" xr:uid="{00000000-0004-0000-0000-00000F000000}"/>
    <hyperlink ref="R5" location="'Series Definitions'!R18C3" display="MAN06.Q.VC0.na" xr:uid="{00000000-0004-0000-0000-000010000000}"/>
    <hyperlink ref="S5" location="'Series Definitions'!R19C3" display="MAN06.Q.VC0.nay" xr:uid="{00000000-0004-0000-0000-000011000000}"/>
    <hyperlink ref="T5" location="'Series Definitions'!R20C3" display="MAN06.Q.S1C111.na" xr:uid="{00000000-0004-0000-0000-000012000000}"/>
    <hyperlink ref="U5" location="'Series Definitions'!R21C3" display="MAN06.Q.S1C111.ns" xr:uid="{00000000-0004-0000-0000-000013000000}"/>
    <hyperlink ref="V5" location="'Series Definitions'!R22C3" display="MAN06.Q.S1C111.nsq" xr:uid="{00000000-0004-0000-0000-000014000000}"/>
    <hyperlink ref="W5" location="'Series Definitions'!R23C3" display="MAN06.Q.S1C111.nay" xr:uid="{00000000-0004-0000-0000-00001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2" sqref="B2"/>
    </sheetView>
  </sheetViews>
  <sheetFormatPr defaultRowHeight="14.25" x14ac:dyDescent="0.45"/>
  <cols>
    <col min="1" max="1" width="19.53125" customWidth="1" collapsed="1"/>
    <col min="2" max="2" width="78.1328125" customWidth="1" collapsed="1"/>
  </cols>
  <sheetData>
    <row r="1" spans="1:2" x14ac:dyDescent="0.45">
      <c r="A1" s="3" t="s">
        <v>41</v>
      </c>
      <c r="B1" s="6" t="s">
        <v>42</v>
      </c>
    </row>
    <row r="2" spans="1:2" x14ac:dyDescent="0.45">
      <c r="A2" s="3" t="s">
        <v>43</v>
      </c>
      <c r="B2" s="3" t="s">
        <v>44</v>
      </c>
    </row>
    <row r="3" spans="1:2" x14ac:dyDescent="0.45">
      <c r="A3" s="3" t="s">
        <v>45</v>
      </c>
      <c r="B3" s="3" t="s">
        <v>46</v>
      </c>
    </row>
    <row r="4" spans="1:2" x14ac:dyDescent="0.45">
      <c r="A4" s="3" t="s">
        <v>47</v>
      </c>
      <c r="B4" s="9">
        <v>45909</v>
      </c>
    </row>
    <row r="6" spans="1:2" x14ac:dyDescent="0.45">
      <c r="A6" s="3" t="s">
        <v>48</v>
      </c>
    </row>
    <row r="7" spans="1:2" x14ac:dyDescent="0.45">
      <c r="A7" s="3">
        <v>1</v>
      </c>
      <c r="B7" s="3" t="s">
        <v>49</v>
      </c>
    </row>
    <row r="8" spans="1:2" x14ac:dyDescent="0.45">
      <c r="A8" s="3">
        <v>2</v>
      </c>
      <c r="B8" s="3" t="s">
        <v>50</v>
      </c>
    </row>
    <row r="9" spans="1:2" ht="25.5" x14ac:dyDescent="0.45">
      <c r="A9" s="3">
        <v>3</v>
      </c>
      <c r="B9" s="3" t="s">
        <v>51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4.25" x14ac:dyDescent="0.45"/>
  <cols>
    <col min="1" max="2" width="46.86328125" customWidth="1" collapsed="1"/>
    <col min="3" max="3" width="20.53125" customWidth="1" collapsed="1"/>
    <col min="4" max="4" width="19.53125" customWidth="1" collapsed="1"/>
    <col min="5" max="5" width="78.1328125" customWidth="1" collapsed="1"/>
  </cols>
  <sheetData>
    <row r="1" spans="1:5" x14ac:dyDescent="0.45">
      <c r="A1" s="4" t="s">
        <v>52</v>
      </c>
      <c r="B1" s="4" t="s">
        <v>53</v>
      </c>
      <c r="C1" s="4" t="s">
        <v>40</v>
      </c>
      <c r="D1" s="4" t="s">
        <v>39</v>
      </c>
      <c r="E1" s="4" t="s">
        <v>54</v>
      </c>
    </row>
    <row r="2" spans="1:5" x14ac:dyDescent="0.45">
      <c r="A2" s="3" t="s">
        <v>24</v>
      </c>
      <c r="B2" s="3" t="s">
        <v>4</v>
      </c>
      <c r="C2" s="12" t="s">
        <v>27</v>
      </c>
      <c r="D2" s="3" t="s">
        <v>25</v>
      </c>
      <c r="E2" t="str">
        <f t="shared" ref="E2:E23" si="0">"'"&amp;A2&amp;"'"</f>
        <v>'Manufacturing operating income'</v>
      </c>
    </row>
    <row r="3" spans="1:5" x14ac:dyDescent="0.45">
      <c r="A3" s="14" t="s">
        <v>24</v>
      </c>
      <c r="B3" s="3" t="s">
        <v>1</v>
      </c>
      <c r="C3" s="12" t="s">
        <v>26</v>
      </c>
      <c r="D3" s="3" t="s">
        <v>25</v>
      </c>
      <c r="E3" t="str">
        <f t="shared" si="0"/>
        <v>'Manufacturing operating income'</v>
      </c>
    </row>
    <row r="4" spans="1:5" x14ac:dyDescent="0.45">
      <c r="A4" s="3" t="s">
        <v>24</v>
      </c>
      <c r="B4" s="3" t="s">
        <v>7</v>
      </c>
      <c r="C4" s="12" t="s">
        <v>28</v>
      </c>
      <c r="E4" t="str">
        <f t="shared" si="0"/>
        <v>'Manufacturing operating income'</v>
      </c>
    </row>
    <row r="5" spans="1:5" x14ac:dyDescent="0.45">
      <c r="A5" s="3" t="s">
        <v>24</v>
      </c>
      <c r="B5" s="3" t="s">
        <v>10</v>
      </c>
      <c r="C5" s="12" t="s">
        <v>29</v>
      </c>
      <c r="E5" t="str">
        <f t="shared" si="0"/>
        <v>'Manufacturing operating income'</v>
      </c>
    </row>
    <row r="6" spans="1:5" x14ac:dyDescent="0.45">
      <c r="A6" s="3" t="s">
        <v>30</v>
      </c>
      <c r="B6" s="3" t="s">
        <v>1</v>
      </c>
      <c r="C6" s="12" t="s">
        <v>31</v>
      </c>
      <c r="D6" s="3" t="s">
        <v>25</v>
      </c>
      <c r="E6" t="str">
        <f t="shared" si="0"/>
        <v>'Manufacturing stocks'</v>
      </c>
    </row>
    <row r="7" spans="1:5" x14ac:dyDescent="0.45">
      <c r="A7" s="3" t="s">
        <v>30</v>
      </c>
      <c r="B7" s="3" t="s">
        <v>10</v>
      </c>
      <c r="C7" s="12" t="s">
        <v>32</v>
      </c>
      <c r="D7" s="3" t="s">
        <v>11</v>
      </c>
      <c r="E7" t="str">
        <f t="shared" si="0"/>
        <v>'Manufacturing stocks'</v>
      </c>
    </row>
    <row r="8" spans="1:5" x14ac:dyDescent="0.45">
      <c r="A8" s="3" t="s">
        <v>33</v>
      </c>
      <c r="B8" s="3" t="s">
        <v>4</v>
      </c>
      <c r="C8" s="12" t="s">
        <v>35</v>
      </c>
      <c r="D8" s="3" t="s">
        <v>25</v>
      </c>
      <c r="E8" t="str">
        <f t="shared" si="0"/>
        <v>'Meat and dairy manufacturing operating income'</v>
      </c>
    </row>
    <row r="9" spans="1:5" x14ac:dyDescent="0.45">
      <c r="A9" s="3" t="s">
        <v>33</v>
      </c>
      <c r="B9" s="3" t="s">
        <v>1</v>
      </c>
      <c r="C9" s="12" t="s">
        <v>34</v>
      </c>
      <c r="D9" s="3" t="s">
        <v>25</v>
      </c>
      <c r="E9" t="str">
        <f t="shared" si="0"/>
        <v>'Meat and dairy manufacturing operating income'</v>
      </c>
    </row>
    <row r="10" spans="1:5" x14ac:dyDescent="0.45">
      <c r="A10" s="3" t="s">
        <v>33</v>
      </c>
      <c r="B10" s="3" t="s">
        <v>7</v>
      </c>
      <c r="C10" s="12" t="s">
        <v>36</v>
      </c>
      <c r="E10" t="str">
        <f t="shared" si="0"/>
        <v>'Meat and dairy manufacturing operating income'</v>
      </c>
    </row>
    <row r="11" spans="1:5" x14ac:dyDescent="0.45">
      <c r="A11" s="3" t="s">
        <v>33</v>
      </c>
      <c r="B11" s="3" t="s">
        <v>10</v>
      </c>
      <c r="C11" s="12" t="s">
        <v>37</v>
      </c>
      <c r="E11" t="str">
        <f t="shared" si="0"/>
        <v>'Meat and dairy manufacturing operating income'</v>
      </c>
    </row>
    <row r="12" spans="1:5" x14ac:dyDescent="0.45">
      <c r="A12" s="3" t="s">
        <v>0</v>
      </c>
      <c r="B12" s="3" t="s">
        <v>4</v>
      </c>
      <c r="C12" s="12" t="s">
        <v>6</v>
      </c>
      <c r="D12" s="3" t="s">
        <v>5</v>
      </c>
      <c r="E12" t="str">
        <f t="shared" si="0"/>
        <v>'Retail trade sales'</v>
      </c>
    </row>
    <row r="13" spans="1:5" x14ac:dyDescent="0.45">
      <c r="A13" s="3" t="s">
        <v>0</v>
      </c>
      <c r="B13" s="3" t="s">
        <v>1</v>
      </c>
      <c r="C13" s="12" t="s">
        <v>3</v>
      </c>
      <c r="D13" s="3" t="s">
        <v>2</v>
      </c>
      <c r="E13" t="str">
        <f t="shared" si="0"/>
        <v>'Retail trade sales'</v>
      </c>
    </row>
    <row r="14" spans="1:5" x14ac:dyDescent="0.45">
      <c r="A14" s="3" t="s">
        <v>0</v>
      </c>
      <c r="B14" s="3" t="s">
        <v>7</v>
      </c>
      <c r="C14" s="12" t="s">
        <v>9</v>
      </c>
      <c r="D14" s="3" t="s">
        <v>8</v>
      </c>
      <c r="E14" t="str">
        <f t="shared" si="0"/>
        <v>'Retail trade sales'</v>
      </c>
    </row>
    <row r="15" spans="1:5" x14ac:dyDescent="0.45">
      <c r="A15" s="3" t="s">
        <v>0</v>
      </c>
      <c r="B15" s="3" t="s">
        <v>10</v>
      </c>
      <c r="C15" s="12" t="s">
        <v>12</v>
      </c>
      <c r="D15" s="3" t="s">
        <v>11</v>
      </c>
      <c r="E15" t="str">
        <f t="shared" si="0"/>
        <v>'Retail trade sales'</v>
      </c>
    </row>
    <row r="16" spans="1:5" x14ac:dyDescent="0.45">
      <c r="A16" s="3" t="s">
        <v>13</v>
      </c>
      <c r="B16" s="3" t="s">
        <v>1</v>
      </c>
      <c r="C16" s="12" t="s">
        <v>14</v>
      </c>
      <c r="D16" s="3" t="s">
        <v>2</v>
      </c>
      <c r="E16" t="str">
        <f t="shared" si="0"/>
        <v>'Retail trade stocks'</v>
      </c>
    </row>
    <row r="17" spans="1:5" x14ac:dyDescent="0.45">
      <c r="A17" s="3" t="s">
        <v>13</v>
      </c>
      <c r="B17" s="3" t="s">
        <v>10</v>
      </c>
      <c r="C17" s="12" t="s">
        <v>15</v>
      </c>
      <c r="D17" s="3" t="s">
        <v>11</v>
      </c>
      <c r="E17" t="str">
        <f t="shared" si="0"/>
        <v>'Retail trade stocks'</v>
      </c>
    </row>
    <row r="18" spans="1:5" x14ac:dyDescent="0.45">
      <c r="A18" s="3" t="s">
        <v>16</v>
      </c>
      <c r="B18" s="3" t="s">
        <v>4</v>
      </c>
      <c r="C18" s="12" t="s">
        <v>18</v>
      </c>
      <c r="D18" s="3" t="s">
        <v>5</v>
      </c>
      <c r="E18" t="str">
        <f t="shared" si="0"/>
        <v>'Wholesale trade sales'</v>
      </c>
    </row>
    <row r="19" spans="1:5" x14ac:dyDescent="0.45">
      <c r="A19" s="3" t="s">
        <v>16</v>
      </c>
      <c r="B19" s="3" t="s">
        <v>1</v>
      </c>
      <c r="C19" s="12" t="s">
        <v>17</v>
      </c>
      <c r="D19" s="3" t="s">
        <v>2</v>
      </c>
      <c r="E19" t="str">
        <f t="shared" si="0"/>
        <v>'Wholesale trade sales'</v>
      </c>
    </row>
    <row r="20" spans="1:5" x14ac:dyDescent="0.45">
      <c r="A20" s="3" t="s">
        <v>16</v>
      </c>
      <c r="B20" s="3" t="s">
        <v>7</v>
      </c>
      <c r="C20" s="12" t="s">
        <v>19</v>
      </c>
      <c r="D20" s="3" t="s">
        <v>8</v>
      </c>
      <c r="E20" t="str">
        <f t="shared" si="0"/>
        <v>'Wholesale trade sales'</v>
      </c>
    </row>
    <row r="21" spans="1:5" x14ac:dyDescent="0.45">
      <c r="A21" s="3" t="s">
        <v>16</v>
      </c>
      <c r="B21" s="3" t="s">
        <v>10</v>
      </c>
      <c r="C21" s="12" t="s">
        <v>20</v>
      </c>
      <c r="D21" s="3" t="s">
        <v>11</v>
      </c>
      <c r="E21" t="str">
        <f t="shared" si="0"/>
        <v>'Wholesale trade sales'</v>
      </c>
    </row>
    <row r="22" spans="1:5" x14ac:dyDescent="0.45">
      <c r="A22" s="3" t="s">
        <v>21</v>
      </c>
      <c r="B22" s="3" t="s">
        <v>1</v>
      </c>
      <c r="C22" s="12" t="s">
        <v>22</v>
      </c>
      <c r="D22" s="3" t="s">
        <v>2</v>
      </c>
      <c r="E22" t="str">
        <f t="shared" si="0"/>
        <v>'Wholesale trade stocks'</v>
      </c>
    </row>
    <row r="23" spans="1:5" x14ac:dyDescent="0.45">
      <c r="A23" s="3" t="s">
        <v>21</v>
      </c>
      <c r="B23" s="3" t="s">
        <v>10</v>
      </c>
      <c r="C23" s="12" t="s">
        <v>23</v>
      </c>
      <c r="D23" s="3" t="s">
        <v>11</v>
      </c>
      <c r="E23" t="str">
        <f t="shared" si="0"/>
        <v>'Wholesale trade stocks'</v>
      </c>
    </row>
    <row r="25" spans="1:5" x14ac:dyDescent="0.45">
      <c r="A25" t="s">
        <v>24</v>
      </c>
      <c r="C25" t="str">
        <f>_xlfn.TEXTJOIN(", ",TRUE,E2:E5)</f>
        <v>'Manufacturing operating income', 'Manufacturing operating income', 'Manufacturing operating income', 'Manufacturing operating income'</v>
      </c>
    </row>
    <row r="26" spans="1:5" x14ac:dyDescent="0.45">
      <c r="A26" t="s">
        <v>30</v>
      </c>
      <c r="C26" s="13" t="s">
        <v>55</v>
      </c>
    </row>
    <row r="27" spans="1:5" x14ac:dyDescent="0.45">
      <c r="A27" t="s">
        <v>33</v>
      </c>
    </row>
    <row r="28" spans="1:5" x14ac:dyDescent="0.45">
      <c r="A28" t="s">
        <v>0</v>
      </c>
    </row>
    <row r="29" spans="1:5" x14ac:dyDescent="0.45">
      <c r="A29" t="s">
        <v>13</v>
      </c>
    </row>
    <row r="30" spans="1:5" x14ac:dyDescent="0.45">
      <c r="A30" t="s">
        <v>16</v>
      </c>
    </row>
    <row r="31" spans="1:5" x14ac:dyDescent="0.45">
      <c r="A31" t="s">
        <v>21</v>
      </c>
    </row>
  </sheetData>
  <autoFilter ref="A1:E23" xr:uid="{00000000-0001-0000-0200-000000000000}"/>
  <hyperlinks>
    <hyperlink ref="C13" location="'Data'!R5C2" display="RTS06.Q.S1G.na" xr:uid="{00000000-0004-0000-0200-000000000000}"/>
    <hyperlink ref="C12" location="'Data'!R5C3" display="RTS06.Q.S1G.ns" xr:uid="{00000000-0004-0000-0200-000001000000}"/>
    <hyperlink ref="C14" location="'Data'!R5C4" display="RTS06.Q.S1G.nsq" xr:uid="{00000000-0004-0000-0200-000002000000}"/>
    <hyperlink ref="C15" location="'Data'!R5C5" display="RTS06.Q.S1G.nay" xr:uid="{00000000-0004-0000-0200-000003000000}"/>
    <hyperlink ref="C16" location="'Data'!R5C6" display="RTS06.Q.VG.na" xr:uid="{00000000-0004-0000-0200-000004000000}"/>
    <hyperlink ref="C17" location="'Data'!R5C7" display="RTS06.Q.VG.nay" xr:uid="{00000000-0004-0000-0200-000005000000}"/>
    <hyperlink ref="C19" location="'Data'!R5C8" display="WTS06.Q.S1F0.na" xr:uid="{00000000-0004-0000-0200-000006000000}"/>
    <hyperlink ref="C18" location="'Data'!R5C9" display="WTS06.Q.S1F0.ns" xr:uid="{00000000-0004-0000-0200-000007000000}"/>
    <hyperlink ref="C20" location="'Data'!R5C10" display="WTS06.Q.S1F0.nsq" xr:uid="{00000000-0004-0000-0200-000008000000}"/>
    <hyperlink ref="C21" location="'Data'!R5C11" display="WTS06.Q.S1F0.nay" xr:uid="{00000000-0004-0000-0200-000009000000}"/>
    <hyperlink ref="C22" location="'Data'!R5C12" display="WTS06.Q.VF0.na" xr:uid="{00000000-0004-0000-0200-00000A000000}"/>
    <hyperlink ref="C23" location="'Data'!R5C13" display="WTS06.Q.VF0.nay" xr:uid="{00000000-0004-0000-0200-00000B000000}"/>
    <hyperlink ref="C3" location="'Data'!R5C14" display="MAN06.Q.S1C0.na" xr:uid="{00000000-0004-0000-0200-00000C000000}"/>
    <hyperlink ref="C2" location="'Data'!R5C15" display="MAN06.Q.S1C0.ns" xr:uid="{00000000-0004-0000-0200-00000D000000}"/>
    <hyperlink ref="C4" location="'Data'!R5C16" display="MAN06.Q.S1C0.nsq" xr:uid="{00000000-0004-0000-0200-00000E000000}"/>
    <hyperlink ref="C5" location="'Data'!R5C17" display="MAN06.Q.S1C0.nay" xr:uid="{00000000-0004-0000-0200-00000F000000}"/>
    <hyperlink ref="C6" location="'Data'!R5C18" display="MAN06.Q.VC0.na" xr:uid="{00000000-0004-0000-0200-000010000000}"/>
    <hyperlink ref="C7" location="'Data'!R5C19" display="MAN06.Q.VC0.nay" xr:uid="{00000000-0004-0000-0200-000011000000}"/>
    <hyperlink ref="C9" location="'Data'!R5C20" display="MAN06.Q.S1C111.na" xr:uid="{00000000-0004-0000-0200-000012000000}"/>
    <hyperlink ref="C8" location="'Data'!R5C21" display="MAN06.Q.S1C111.ns" xr:uid="{00000000-0004-0000-0200-000013000000}"/>
    <hyperlink ref="C10" location="'Data'!R5C22" display="MAN06.Q.S1C111.nsq" xr:uid="{00000000-0004-0000-0200-000014000000}"/>
    <hyperlink ref="C11" location="'Data'!R5C23" display="MAN06.Q.S1C111.nay" xr:uid="{00000000-0004-0000-0200-000015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2025-09-09T11:37:00Z</dcterms:created>
  <dcterms:modified xsi:type="dcterms:W3CDTF">2025-11-02T03:47:02Z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